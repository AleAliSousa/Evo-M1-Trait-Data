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208" documentId="6_{3E294B1E-BE69-A04D-8F66-E6809E46817C}" xr6:coauthVersionLast="47" xr6:coauthVersionMax="47" xr10:uidLastSave="{DB1934E1-96D8-B044-ABD9-555549A1755F}"/>
  <bookViews>
    <workbookView xWindow="34560" yWindow="-5960" windowWidth="40940" windowHeight="18760" xr2:uid="{00000000-000D-0000-FFFF-FFFF00000000}"/>
  </bookViews>
  <sheets>
    <sheet name="Sheet1" sheetId="1" r:id="rId1"/>
    <sheet name="Pipeline" sheetId="3" r:id="rId2"/>
    <sheet name="Conflicts" sheetId="4" r:id="rId3"/>
    <sheet name="FileList" sheetId="6" r:id="rId4"/>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0" i="1" l="1"/>
  <c r="E60" i="1"/>
  <c r="F60" i="1"/>
  <c r="G60" i="1"/>
  <c r="H60" i="1"/>
  <c r="L60" i="1" s="1"/>
  <c r="M60" i="1" s="1" a="1"/>
  <c r="M60" i="1" s="1"/>
  <c r="H16" i="1"/>
  <c r="L16" i="1" s="1"/>
  <c r="M16" i="1" s="1" a="1"/>
  <c r="M16" i="1" s="1"/>
  <c r="G16" i="1"/>
  <c r="F16" i="1"/>
  <c r="E16" i="1"/>
  <c r="C16" i="1"/>
  <c r="C15" i="1"/>
  <c r="E15" i="1"/>
  <c r="F15" i="1"/>
  <c r="G15" i="1"/>
  <c r="H15" i="1"/>
  <c r="L15" i="1" s="1"/>
  <c r="M15" i="1" s="1" a="1"/>
  <c r="M15" i="1" s="1"/>
  <c r="C10" i="1"/>
  <c r="E10" i="1"/>
  <c r="F10" i="1"/>
  <c r="G10" i="1"/>
  <c r="H10" i="1"/>
  <c r="L10" i="1" s="1"/>
  <c r="M10" i="1" s="1" a="1"/>
  <c r="M10" i="1" s="1"/>
  <c r="L2" i="1"/>
  <c r="M2" i="1" s="1" a="1"/>
  <c r="M2" i="1" s="1"/>
  <c r="H2" i="1"/>
  <c r="G2" i="1"/>
  <c r="F2" i="1"/>
  <c r="E2" i="1"/>
  <c r="C2" i="1"/>
  <c r="C57" i="1"/>
  <c r="C63" i="1"/>
  <c r="C64" i="1"/>
  <c r="C53" i="1"/>
  <c r="C22" i="1"/>
  <c r="C23" i="1"/>
  <c r="C24" i="1"/>
  <c r="C32" i="1"/>
  <c r="C33" i="1"/>
  <c r="C34" i="1"/>
  <c r="C35" i="1"/>
  <c r="C36" i="1"/>
  <c r="C37" i="1"/>
  <c r="C49" i="1"/>
  <c r="C50" i="1"/>
  <c r="C48" i="1"/>
  <c r="C58" i="1"/>
  <c r="C59" i="1"/>
  <c r="C39" i="1"/>
  <c r="C38" i="1"/>
  <c r="C17" i="1"/>
  <c r="C54" i="1"/>
  <c r="C5" i="1"/>
  <c r="C4" i="1"/>
  <c r="C14" i="1"/>
  <c r="C51" i="1"/>
  <c r="C62" i="1"/>
  <c r="C18" i="1"/>
  <c r="C61" i="1"/>
  <c r="C7" i="1"/>
  <c r="C6" i="1"/>
  <c r="C8" i="1"/>
  <c r="C9" i="1"/>
  <c r="C11" i="1"/>
  <c r="C12" i="1"/>
  <c r="C13" i="1"/>
  <c r="C19" i="1"/>
  <c r="C20" i="1"/>
  <c r="C21" i="1"/>
  <c r="C25" i="1"/>
  <c r="C26" i="1"/>
  <c r="C27" i="1"/>
  <c r="C28" i="1"/>
  <c r="C29" i="1"/>
  <c r="C30" i="1"/>
  <c r="C31" i="1"/>
  <c r="C40" i="1"/>
  <c r="C41" i="1"/>
  <c r="C42" i="1"/>
  <c r="C43" i="1"/>
  <c r="C44" i="1"/>
  <c r="C45" i="1"/>
  <c r="C46" i="1"/>
  <c r="C47" i="1"/>
  <c r="C52" i="1"/>
  <c r="C55" i="1"/>
  <c r="C56" i="1"/>
  <c r="C3" i="1"/>
  <c r="H39" i="1"/>
  <c r="L39" i="1" s="1"/>
  <c r="M39" i="1" s="1" a="1"/>
  <c r="M39" i="1" s="1"/>
  <c r="H38" i="1"/>
  <c r="L38" i="1" s="1"/>
  <c r="M38" i="1" s="1" a="1"/>
  <c r="M38" i="1" s="1"/>
  <c r="G38" i="1"/>
  <c r="F38" i="1"/>
  <c r="E38" i="1"/>
  <c r="E61" i="1"/>
  <c r="F61" i="1"/>
  <c r="G61" i="1"/>
  <c r="H61" i="1"/>
  <c r="L61" i="1" s="1"/>
  <c r="M61" i="1" s="1" a="1"/>
  <c r="M61" i="1" s="1"/>
  <c r="E18" i="1"/>
  <c r="F18" i="1"/>
  <c r="G18" i="1"/>
  <c r="H18" i="1"/>
  <c r="L18" i="1" s="1"/>
  <c r="M18" i="1" s="1" a="1"/>
  <c r="M18" i="1" s="1"/>
  <c r="H62" i="1"/>
  <c r="L62" i="1" s="1"/>
  <c r="M62" i="1" s="1" a="1"/>
  <c r="M62" i="1" s="1"/>
  <c r="G62" i="1"/>
  <c r="F62" i="1"/>
  <c r="E62" i="1"/>
  <c r="H51" i="1"/>
  <c r="L51" i="1" s="1"/>
  <c r="M51" i="1" s="1" a="1"/>
  <c r="M51" i="1" s="1"/>
  <c r="G51" i="1"/>
  <c r="F51" i="1"/>
  <c r="E51" i="1"/>
  <c r="H14" i="1"/>
  <c r="L14" i="1" s="1"/>
  <c r="M14" i="1" s="1" a="1"/>
  <c r="M14" i="1" s="1"/>
  <c r="G14" i="1"/>
  <c r="F14" i="1"/>
  <c r="E14" i="1"/>
  <c r="H4" i="1"/>
  <c r="L4" i="1" s="1"/>
  <c r="M4" i="1" s="1" a="1"/>
  <c r="M4" i="1" s="1"/>
  <c r="G4" i="1"/>
  <c r="F4" i="1"/>
  <c r="E4" i="1"/>
  <c r="H5" i="1"/>
  <c r="L5" i="1" s="1"/>
  <c r="M5" i="1" s="1" a="1"/>
  <c r="M5" i="1" s="1"/>
  <c r="G5" i="1"/>
  <c r="F5" i="1"/>
  <c r="E5" i="1"/>
  <c r="H54" i="1"/>
  <c r="L54" i="1" s="1"/>
  <c r="M54" i="1" s="1" a="1"/>
  <c r="M54" i="1" s="1"/>
  <c r="G54" i="1"/>
  <c r="F54" i="1"/>
  <c r="E54" i="1"/>
  <c r="H17" i="1"/>
  <c r="L17" i="1" s="1"/>
  <c r="M17" i="1" s="1" a="1"/>
  <c r="M17" i="1" s="1"/>
  <c r="G17" i="1"/>
  <c r="F17" i="1"/>
  <c r="E17" i="1"/>
  <c r="G39" i="1"/>
  <c r="F39" i="1"/>
  <c r="E39" i="1"/>
  <c r="H59" i="1"/>
  <c r="L59" i="1" s="1"/>
  <c r="M59" i="1" s="1" a="1"/>
  <c r="M59" i="1" s="1"/>
  <c r="G59" i="1"/>
  <c r="F59" i="1"/>
  <c r="E59" i="1"/>
  <c r="H58" i="1"/>
  <c r="L58" i="1" s="1"/>
  <c r="M58" i="1" s="1" a="1"/>
  <c r="M58" i="1" s="1"/>
  <c r="G58" i="1"/>
  <c r="F58" i="1"/>
  <c r="E58" i="1"/>
  <c r="H48" i="1"/>
  <c r="L48" i="1" s="1"/>
  <c r="G48" i="1"/>
  <c r="F48" i="1"/>
  <c r="E48" i="1"/>
  <c r="H50" i="1"/>
  <c r="L50" i="1" s="1"/>
  <c r="M50" i="1" s="1" a="1"/>
  <c r="M50" i="1" s="1"/>
  <c r="G50" i="1"/>
  <c r="F50" i="1"/>
  <c r="E50" i="1"/>
  <c r="H49" i="1"/>
  <c r="L49" i="1" s="1"/>
  <c r="M49" i="1" s="1" a="1"/>
  <c r="M49" i="1" s="1"/>
  <c r="G49" i="1"/>
  <c r="F49" i="1"/>
  <c r="E49" i="1"/>
  <c r="H37" i="1"/>
  <c r="L37" i="1" s="1"/>
  <c r="M37" i="1" s="1" a="1"/>
  <c r="M37" i="1" s="1"/>
  <c r="G37" i="1"/>
  <c r="F37" i="1"/>
  <c r="E37" i="1"/>
  <c r="H36" i="1"/>
  <c r="L36" i="1" s="1"/>
  <c r="M36" i="1" s="1" a="1"/>
  <c r="M36" i="1" s="1"/>
  <c r="G36" i="1"/>
  <c r="F36" i="1"/>
  <c r="E36" i="1"/>
  <c r="H35" i="1"/>
  <c r="L35" i="1" s="1"/>
  <c r="M35" i="1" s="1" a="1"/>
  <c r="M35" i="1" s="1"/>
  <c r="G35" i="1"/>
  <c r="F35" i="1"/>
  <c r="E35" i="1"/>
  <c r="H34" i="1"/>
  <c r="L34" i="1" s="1"/>
  <c r="M34" i="1" s="1" a="1"/>
  <c r="M34" i="1" s="1"/>
  <c r="G34" i="1"/>
  <c r="F34" i="1"/>
  <c r="E34" i="1"/>
  <c r="H33" i="1"/>
  <c r="L33" i="1" s="1"/>
  <c r="M33" i="1" s="1" a="1"/>
  <c r="M33" i="1" s="1"/>
  <c r="G33" i="1"/>
  <c r="F33" i="1"/>
  <c r="E33" i="1"/>
  <c r="H32" i="1"/>
  <c r="L32" i="1" s="1"/>
  <c r="M32" i="1" s="1" a="1"/>
  <c r="M32" i="1" s="1"/>
  <c r="G32" i="1"/>
  <c r="F32" i="1"/>
  <c r="E32" i="1"/>
  <c r="H24" i="1"/>
  <c r="L24" i="1" s="1"/>
  <c r="M24" i="1" s="1" a="1"/>
  <c r="M24" i="1" s="1"/>
  <c r="G24" i="1"/>
  <c r="F24" i="1"/>
  <c r="E24" i="1"/>
  <c r="H23" i="1"/>
  <c r="L23" i="1" s="1"/>
  <c r="M23" i="1" s="1" a="1"/>
  <c r="M23" i="1" s="1"/>
  <c r="G23" i="1"/>
  <c r="F23" i="1"/>
  <c r="E23" i="1"/>
  <c r="H22" i="1"/>
  <c r="L22" i="1" s="1"/>
  <c r="M22" i="1" s="1" a="1"/>
  <c r="M22" i="1" s="1"/>
  <c r="G22" i="1"/>
  <c r="F22" i="1"/>
  <c r="E22" i="1"/>
  <c r="H53" i="1"/>
  <c r="L53" i="1" s="1"/>
  <c r="M53" i="1" s="1" a="1"/>
  <c r="M53" i="1" s="1"/>
  <c r="G53" i="1"/>
  <c r="F53" i="1"/>
  <c r="E53" i="1"/>
  <c r="T64" i="1"/>
  <c r="H64" i="1"/>
  <c r="L64" i="1" s="1"/>
  <c r="M64" i="1" s="1" a="1"/>
  <c r="M64" i="1" s="1"/>
  <c r="G64" i="1"/>
  <c r="F64" i="1"/>
  <c r="E64" i="1"/>
  <c r="T63" i="1"/>
  <c r="H63" i="1"/>
  <c r="L63" i="1" s="1"/>
  <c r="M63" i="1" s="1" a="1"/>
  <c r="M63" i="1" s="1"/>
  <c r="G63" i="1"/>
  <c r="F63" i="1"/>
  <c r="E63" i="1"/>
  <c r="T57" i="1"/>
  <c r="H57" i="1"/>
  <c r="L57" i="1" s="1"/>
  <c r="M57" i="1" s="1" a="1"/>
  <c r="M57" i="1" s="1"/>
  <c r="G57" i="1"/>
  <c r="F57" i="1"/>
  <c r="E57" i="1"/>
  <c r="T56" i="1"/>
  <c r="H56" i="1"/>
  <c r="L56" i="1" s="1"/>
  <c r="M56" i="1" s="1" a="1"/>
  <c r="M56" i="1" s="1"/>
  <c r="G56" i="1"/>
  <c r="F56" i="1"/>
  <c r="E56" i="1"/>
  <c r="T55" i="1"/>
  <c r="L55" i="1"/>
  <c r="M55" i="1" s="1" a="1"/>
  <c r="M55" i="1" s="1"/>
  <c r="H55" i="1"/>
  <c r="G55" i="1"/>
  <c r="F55" i="1"/>
  <c r="E55" i="1"/>
  <c r="T52" i="1"/>
  <c r="H52" i="1"/>
  <c r="L52" i="1" s="1"/>
  <c r="M52" i="1" s="1" a="1"/>
  <c r="M52" i="1" s="1"/>
  <c r="G52" i="1"/>
  <c r="F52" i="1"/>
  <c r="E52" i="1"/>
  <c r="H47" i="1"/>
  <c r="L47" i="1" s="1"/>
  <c r="M47" i="1" s="1" a="1"/>
  <c r="M47" i="1" s="1"/>
  <c r="G47" i="1"/>
  <c r="F47" i="1"/>
  <c r="E47" i="1"/>
  <c r="H46" i="1"/>
  <c r="L46" i="1" s="1"/>
  <c r="M46" i="1" s="1" a="1"/>
  <c r="M46" i="1" s="1"/>
  <c r="G46" i="1"/>
  <c r="F46" i="1"/>
  <c r="E46" i="1"/>
  <c r="H45" i="1"/>
  <c r="L45" i="1" s="1"/>
  <c r="M45" i="1" s="1" a="1"/>
  <c r="M45" i="1" s="1"/>
  <c r="G45" i="1"/>
  <c r="F45" i="1"/>
  <c r="E45" i="1"/>
  <c r="H44" i="1"/>
  <c r="L44" i="1" s="1"/>
  <c r="M44" i="1" s="1" a="1"/>
  <c r="M44" i="1" s="1"/>
  <c r="G44" i="1"/>
  <c r="F44" i="1"/>
  <c r="E44" i="1"/>
  <c r="T43" i="1"/>
  <c r="H43" i="1"/>
  <c r="L43" i="1" s="1"/>
  <c r="M43" i="1" s="1" a="1"/>
  <c r="M43" i="1" s="1"/>
  <c r="G43" i="1"/>
  <c r="F43" i="1"/>
  <c r="E43" i="1"/>
  <c r="T42" i="1"/>
  <c r="H42" i="1"/>
  <c r="L42" i="1" s="1"/>
  <c r="M42" i="1" s="1" a="1"/>
  <c r="M42" i="1" s="1"/>
  <c r="G42" i="1"/>
  <c r="F42" i="1"/>
  <c r="E42" i="1"/>
  <c r="T41" i="1"/>
  <c r="H41" i="1"/>
  <c r="L41" i="1" s="1"/>
  <c r="M41" i="1" s="1" a="1"/>
  <c r="M41" i="1" s="1"/>
  <c r="G41" i="1"/>
  <c r="F41" i="1"/>
  <c r="E41" i="1"/>
  <c r="T40" i="1"/>
  <c r="H40" i="1"/>
  <c r="L40" i="1" s="1"/>
  <c r="M40" i="1" s="1" a="1"/>
  <c r="M40" i="1" s="1"/>
  <c r="G40" i="1"/>
  <c r="F40" i="1"/>
  <c r="E40" i="1"/>
  <c r="H31" i="1"/>
  <c r="L31" i="1" s="1"/>
  <c r="M31" i="1" s="1" a="1"/>
  <c r="M31" i="1" s="1"/>
  <c r="G31" i="1"/>
  <c r="F31" i="1"/>
  <c r="E31" i="1"/>
  <c r="H30" i="1"/>
  <c r="L30" i="1" s="1"/>
  <c r="M30" i="1" s="1" a="1"/>
  <c r="M30" i="1" s="1"/>
  <c r="G30" i="1"/>
  <c r="F30" i="1"/>
  <c r="E30" i="1"/>
  <c r="H29" i="1"/>
  <c r="L29" i="1" s="1"/>
  <c r="M29" i="1" s="1" a="1"/>
  <c r="M29" i="1" s="1"/>
  <c r="G29" i="1"/>
  <c r="F29" i="1"/>
  <c r="E29" i="1"/>
  <c r="H28" i="1"/>
  <c r="L28" i="1" s="1"/>
  <c r="M28" i="1" s="1" a="1"/>
  <c r="M28" i="1" s="1"/>
  <c r="G28" i="1"/>
  <c r="F28" i="1"/>
  <c r="E28" i="1"/>
  <c r="H27" i="1"/>
  <c r="L27" i="1" s="1"/>
  <c r="M27" i="1" s="1" a="1"/>
  <c r="M27" i="1" s="1"/>
  <c r="G27" i="1"/>
  <c r="F27" i="1"/>
  <c r="E27" i="1"/>
  <c r="H26" i="1"/>
  <c r="L26" i="1" s="1"/>
  <c r="M26" i="1" s="1" a="1"/>
  <c r="M26" i="1" s="1"/>
  <c r="G26" i="1"/>
  <c r="F26" i="1"/>
  <c r="E26" i="1"/>
  <c r="H25" i="1"/>
  <c r="L25" i="1" s="1"/>
  <c r="M25" i="1" s="1" a="1"/>
  <c r="M25" i="1" s="1"/>
  <c r="G25" i="1"/>
  <c r="F25" i="1"/>
  <c r="E25" i="1"/>
  <c r="T21" i="1"/>
  <c r="H21" i="1"/>
  <c r="L21" i="1" s="1"/>
  <c r="M21" i="1" s="1" a="1"/>
  <c r="M21" i="1" s="1"/>
  <c r="G21" i="1"/>
  <c r="F21" i="1"/>
  <c r="E21" i="1"/>
  <c r="T20" i="1"/>
  <c r="H20" i="1"/>
  <c r="L20" i="1" s="1"/>
  <c r="M20" i="1" s="1" a="1"/>
  <c r="M20" i="1" s="1"/>
  <c r="G20" i="1"/>
  <c r="F20" i="1"/>
  <c r="E20" i="1"/>
  <c r="H19" i="1"/>
  <c r="L19" i="1" s="1"/>
  <c r="M19" i="1" s="1" a="1"/>
  <c r="M19" i="1" s="1"/>
  <c r="G19" i="1"/>
  <c r="F19" i="1"/>
  <c r="E19" i="1"/>
  <c r="H13" i="1"/>
  <c r="L13" i="1" s="1"/>
  <c r="M13" i="1" s="1" a="1"/>
  <c r="M13" i="1" s="1"/>
  <c r="G13" i="1"/>
  <c r="F13" i="1"/>
  <c r="E13" i="1"/>
  <c r="H12" i="1"/>
  <c r="L12" i="1" s="1"/>
  <c r="M12" i="1" s="1" a="1"/>
  <c r="M12" i="1" s="1"/>
  <c r="G12" i="1"/>
  <c r="F12" i="1"/>
  <c r="E12" i="1"/>
  <c r="H11" i="1"/>
  <c r="L11" i="1" s="1"/>
  <c r="M11" i="1" s="1" a="1"/>
  <c r="M11" i="1" s="1"/>
  <c r="G11" i="1"/>
  <c r="F11" i="1"/>
  <c r="E11" i="1"/>
  <c r="T9" i="1"/>
  <c r="H9" i="1"/>
  <c r="L9" i="1" s="1"/>
  <c r="M9" i="1" s="1" a="1"/>
  <c r="M9" i="1" s="1"/>
  <c r="G9" i="1"/>
  <c r="F9" i="1"/>
  <c r="E9" i="1"/>
  <c r="H8" i="1"/>
  <c r="L8" i="1" s="1"/>
  <c r="M8" i="1" s="1" a="1"/>
  <c r="M8" i="1" s="1"/>
  <c r="G8" i="1"/>
  <c r="F8" i="1"/>
  <c r="E8" i="1"/>
  <c r="T6" i="1"/>
  <c r="H6" i="1"/>
  <c r="L6" i="1" s="1"/>
  <c r="M6" i="1" s="1" a="1"/>
  <c r="M6" i="1" s="1"/>
  <c r="G6" i="1"/>
  <c r="F6" i="1"/>
  <c r="E6" i="1"/>
  <c r="H7" i="1"/>
  <c r="L7" i="1" s="1"/>
  <c r="M7" i="1" s="1" a="1"/>
  <c r="M7" i="1" s="1"/>
  <c r="G7" i="1"/>
  <c r="F7" i="1"/>
  <c r="E7" i="1"/>
  <c r="T3" i="1"/>
  <c r="H3" i="1"/>
  <c r="L3" i="1" s="1"/>
  <c r="M3" i="1" s="1" a="1"/>
  <c r="M3" i="1" s="1"/>
  <c r="G3" i="1"/>
  <c r="F3" i="1"/>
  <c r="E3" i="1"/>
  <c r="D60" i="1" l="1"/>
  <c r="K60" i="1" s="1"/>
  <c r="D16" i="1"/>
  <c r="K16" i="1" s="1"/>
  <c r="D15" i="1"/>
  <c r="K15" i="1" s="1"/>
  <c r="D10" i="1"/>
  <c r="K10" i="1" s="1"/>
  <c r="D6" i="1"/>
  <c r="K6" i="1" s="1"/>
  <c r="D24" i="1"/>
  <c r="K24" i="1" s="1"/>
  <c r="D42" i="1"/>
  <c r="K42" i="1" s="1"/>
  <c r="D44" i="1"/>
  <c r="K44" i="1" s="1"/>
  <c r="D9" i="1"/>
  <c r="K9" i="1" s="1"/>
  <c r="D7" i="1"/>
  <c r="K7" i="1" s="1"/>
  <c r="D2" i="1"/>
  <c r="K2" i="1" s="1"/>
  <c r="D18" i="1"/>
  <c r="K18" i="1" s="1"/>
  <c r="D11" i="1"/>
  <c r="K11" i="1" s="1"/>
  <c r="D27" i="1"/>
  <c r="K27" i="1" s="1"/>
  <c r="D54" i="1"/>
  <c r="K54" i="1" s="1"/>
  <c r="D12" i="1"/>
  <c r="K12" i="1" s="1"/>
  <c r="D4" i="1"/>
  <c r="K4" i="1" s="1"/>
  <c r="D8" i="1"/>
  <c r="K8" i="1" s="1"/>
  <c r="D31" i="1"/>
  <c r="K31" i="1" s="1"/>
  <c r="D52" i="1"/>
  <c r="K52" i="1" s="1"/>
  <c r="D38" i="1"/>
  <c r="K38" i="1" s="1"/>
  <c r="D22" i="1"/>
  <c r="K22" i="1" s="1"/>
  <c r="D33" i="1"/>
  <c r="K33" i="1" s="1"/>
  <c r="D62" i="1"/>
  <c r="K62" i="1" s="1"/>
  <c r="D20" i="1"/>
  <c r="K20" i="1" s="1"/>
  <c r="D25" i="1"/>
  <c r="K25" i="1" s="1"/>
  <c r="D30" i="1"/>
  <c r="K30" i="1" s="1"/>
  <c r="D39" i="1"/>
  <c r="K39" i="1" s="1"/>
  <c r="D40" i="1"/>
  <c r="K40" i="1" s="1"/>
  <c r="D19" i="1"/>
  <c r="K19" i="1" s="1"/>
  <c r="D46" i="1"/>
  <c r="K46" i="1" s="1"/>
  <c r="D3" i="1"/>
  <c r="K3" i="1" s="1"/>
  <c r="D13" i="1"/>
  <c r="K13" i="1" s="1"/>
  <c r="D34" i="1"/>
  <c r="K34" i="1" s="1"/>
  <c r="D17" i="1"/>
  <c r="K17" i="1" s="1"/>
  <c r="D14" i="1"/>
  <c r="K14" i="1" s="1"/>
  <c r="D28" i="1"/>
  <c r="K28" i="1" s="1"/>
  <c r="D41" i="1"/>
  <c r="K41" i="1" s="1"/>
  <c r="D43" i="1"/>
  <c r="K43" i="1" s="1"/>
  <c r="D45" i="1"/>
  <c r="K45" i="1" s="1"/>
  <c r="D32" i="1"/>
  <c r="K32" i="1" s="1"/>
  <c r="D59" i="1"/>
  <c r="K59" i="1" s="1"/>
  <c r="D61" i="1"/>
  <c r="K61" i="1" s="1"/>
  <c r="D23" i="1"/>
  <c r="K23" i="1" s="1"/>
  <c r="D48" i="1"/>
  <c r="K48" i="1" s="1"/>
  <c r="D57" i="1"/>
  <c r="K57" i="1" s="1"/>
  <c r="D64" i="1"/>
  <c r="K64" i="1" s="1"/>
  <c r="D36" i="1"/>
  <c r="K36" i="1" s="1"/>
  <c r="D5" i="1"/>
  <c r="K5" i="1" s="1"/>
  <c r="D51" i="1"/>
  <c r="K51" i="1" s="1"/>
  <c r="D29" i="1"/>
  <c r="K29" i="1" s="1"/>
  <c r="D37" i="1"/>
  <c r="K37" i="1" s="1"/>
  <c r="D50" i="1"/>
  <c r="K50" i="1" s="1"/>
  <c r="D58" i="1"/>
  <c r="K58" i="1" s="1"/>
  <c r="D56" i="1"/>
  <c r="K56" i="1" s="1"/>
  <c r="D63" i="1"/>
  <c r="K63" i="1" s="1"/>
  <c r="D53" i="1"/>
  <c r="K53" i="1" s="1"/>
  <c r="D35" i="1"/>
  <c r="K35" i="1" s="1"/>
  <c r="D49" i="1"/>
  <c r="K49" i="1" s="1"/>
  <c r="D21" i="1"/>
  <c r="K21" i="1" s="1"/>
  <c r="D26" i="1"/>
  <c r="K26" i="1" s="1"/>
  <c r="D47" i="1"/>
  <c r="K47" i="1" s="1"/>
  <c r="D55" i="1"/>
  <c r="K55" i="1" s="1"/>
  <c r="M48" i="1" a="1"/>
  <c r="M48" i="1" s="1"/>
</calcChain>
</file>

<file path=xl/sharedStrings.xml><?xml version="1.0" encoding="utf-8"?>
<sst xmlns="http://schemas.openxmlformats.org/spreadsheetml/2006/main" count="677" uniqueCount="366">
  <si>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</si>
  <si>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</si>
  <si>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</si>
  <si>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</si>
  <si>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</si>
  <si>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</si>
  <si>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</si>
  <si>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</si>
  <si>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</si>
  <si>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</si>
  <si>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</si>
  <si>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</si>
  <si>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</si>
  <si>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</si>
  <si>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</si>
  <si>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</si>
  <si>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</si>
  <si>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</si>
  <si>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</si>
  <si>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</si>
  <si>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</si>
  <si>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</si>
  <si>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</si>
  <si>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</si>
  <si>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</si>
  <si>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</si>
  <si>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</si>
  <si>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</si>
  <si>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</si>
  <si>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</si>
  <si>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</si>
  <si>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</si>
  <si>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</si>
  <si>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</si>
  <si>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</si>
  <si>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NA</t>
  </si>
  <si>
    <t>primary (derived from published materials)</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</si>
  <si>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</si>
  <si>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</si>
  <si>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</si>
  <si>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</si>
  <si>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</si>
  <si>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</si>
  <si>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</si>
  <si>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</si>
  <si>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</si>
  <si>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</si>
  <si>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</si>
  <si>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</si>
  <si>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</si>
  <si>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</si>
  <si>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</si>
  <si>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</si>
  <si>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</si>
  <si>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</si>
  <si>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</si>
  <si>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</si>
  <si>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</si>
  <si>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</si>
  <si>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</si>
  <si>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</si>
  <si>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</si>
  <si>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</si>
  <si>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</si>
  <si>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</si>
  <si>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</si>
  <si>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</si>
  <si>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</si>
  <si>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</si>
  <si>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</si>
  <si>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</si>
  <si>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</si>
  <si>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</si>
  <si>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</si>
  <si>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</si>
  <si>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</si>
  <si>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</si>
  <si>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</si>
  <si>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</si>
  <si>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</si>
  <si>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</si>
  <si>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</si>
  <si>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</si>
  <si>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</si>
  <si>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</si>
  <si>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</si>
  <si>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</si>
  <si>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</si>
  <si>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</si>
  <si>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</si>
  <si>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</si>
  <si>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</si>
  <si>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</si>
  <si>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</si>
  <si>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</si>
  <si>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</si>
  <si>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</si>
  <si>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</si>
  <si>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</si>
  <si>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</si>
  <si>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</si>
  <si>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</si>
  <si>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</si>
  <si>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</si>
  <si>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</si>
  <si>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</si>
  <si>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</si>
  <si>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</si>
  <si>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</si>
  <si>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</si>
  <si>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</si>
  <si>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</si>
  <si>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</si>
  <si>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</si>
  <si>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</si>
  <si>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</si>
  <si>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</si>
  <si>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</si>
  <si>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</si>
  <si>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</si>
  <si>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</si>
  <si>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</si>
  <si>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</si>
  <si>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</si>
  <si>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</si>
  <si>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</si>
  <si>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</si>
  <si>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</si>
  <si>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</si>
  <si>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</si>
  <si>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</si>
  <si>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</si>
  <si>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</si>
  <si>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</si>
  <si>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</si>
  <si>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</si>
  <si>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</si>
  <si>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</si>
  <si>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</si>
  <si>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</si>
  <si>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</si>
  <si>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</si>
  <si>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</si>
  <si>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</si>
  <si>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</si>
  <si>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</si>
  <si>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</si>
  <si>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</si>
  <si>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</si>
  <si>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</si>
  <si>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</si>
  <si>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</si>
  <si>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</si>
  <si>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</si>
  <si>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</si>
  <si>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</si>
  <si>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</si>
  <si>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</si>
  <si>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</si>
  <si>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</si>
  <si>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</si>
  <si>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</si>
  <si>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</si>
  <si>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</si>
  <si>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</si>
  <si>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</si>
  <si>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</si>
  <si>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</si>
  <si>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</si>
  <si>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</si>
  <si>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</si>
  <si>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</si>
  <si>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</si>
  <si>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</si>
  <si>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</si>
  <si>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</si>
  <si>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</si>
  <si>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</si>
  <si>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</si>
  <si>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</si>
  <si>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</si>
  <si>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</si>
  <si>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</si>
  <si>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</si>
  <si>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</si>
  <si>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</si>
  <si>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</si>
  <si>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</si>
  <si>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</si>
  <si>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</si>
  <si>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</si>
  <si>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</si>
  <si>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</si>
  <si>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</si>
  <si>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</si>
  <si>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</si>
  <si>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</si>
  <si>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</si>
  <si>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</si>
  <si>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</si>
  <si>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</si>
  <si>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</si>
  <si>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</si>
  <si>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</si>
  <si>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</si>
  <si>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</si>
  <si>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</si>
  <si>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</si>
  <si>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</si>
  <si>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</si>
  <si>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</si>
  <si>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</si>
  <si>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</si>
  <si>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</si>
  <si>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</si>
  <si>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</si>
  <si>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</si>
  <si>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</si>
  <si>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</si>
  <si>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</si>
  <si>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</si>
  <si>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</si>
  <si>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</si>
  <si>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</si>
  <si>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</si>
  <si>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</si>
  <si>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</si>
  <si>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</si>
  <si>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</si>
  <si>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SupplementaryTable1</t>
  </si>
  <si>
    <t>individuals</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</si>
  <si>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</si>
  <si>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</si>
  <si>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</si>
  <si>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</si>
  <si>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</si>
  <si>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</si>
  <si>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</si>
  <si>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</si>
  <si>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</si>
  <si>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</si>
  <si>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</si>
  <si>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</si>
  <si>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--&gt; Species note</t>
  </si>
  <si>
    <t xml:space="preserve">add a column to include any additional information about the species from the table legend, paper text, personal communication, etc </t>
  </si>
  <si>
    <t>--&gt; Species correction</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</si>
  <si>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</si>
  <si>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</si>
  <si>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</si>
  <si>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</si>
  <si>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</si>
  <si>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</si>
  <si>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</si>
  <si>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</si>
  <si>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</si>
  <si>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</si>
  <si>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</si>
  <si>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</si>
  <si>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</si>
  <si>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</si>
  <si>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</si>
  <si>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</si>
  <si>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</si>
  <si>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add a column to correct any errors in species designations (e.g., misidentified or combined different species of same genus)</t>
  </si>
  <si>
    <t>Table 1. Origin and use of the experimental animals.</t>
  </si>
  <si>
    <t>sample size and information</t>
  </si>
  <si>
    <t>Kverkova_etal_2018_Table1_snapshot.xlsx</t>
  </si>
  <si>
    <t>Kverkova_etal_2018_TableS1_snapshot.xlsx</t>
  </si>
  <si>
    <t>Kverkova_etal_2018_TableS5_snapshot.csv</t>
  </si>
  <si>
    <t>Table S1 Physiological and life-history variables</t>
  </si>
  <si>
    <t>L</t>
  </si>
  <si>
    <t>Supplementary Table S1. Morphometrical and cell number data used in this study (“our dataset”).</t>
  </si>
  <si>
    <t>Supplementary Table S1</t>
  </si>
  <si>
    <t>Table S2. Basal metabolic rate (BMR) database.</t>
  </si>
  <si>
    <t>Table 1. Cellular composition of the spinal cord</t>
  </si>
  <si>
    <t>Supplementary Table 1: Dataset of individual spinal cord measurements</t>
  </si>
  <si>
    <t>Supplementary Table 1</t>
  </si>
  <si>
    <t>primary (averages)</t>
  </si>
  <si>
    <t>primary (individual)</t>
  </si>
  <si>
    <t>primates and tree shrew</t>
  </si>
  <si>
    <t>total and exposed cortical surface area</t>
  </si>
  <si>
    <t>number spinal cord neurons</t>
  </si>
  <si>
    <t>BMR</t>
  </si>
  <si>
    <t>mouse (developmental)</t>
  </si>
  <si>
    <t>Species - binomials need to be added</t>
  </si>
  <si>
    <t>Burish_etal_2010_Table1_snapshot.csv</t>
  </si>
  <si>
    <t>Burish_etal_2010_SupplementaryTable1_snapshot.csv</t>
  </si>
  <si>
    <t>Table 1 Data</t>
  </si>
  <si>
    <t>Item full name</t>
  </si>
  <si>
    <t>if there are typos or shorthand species names used, can update based on heading, note, text</t>
  </si>
  <si>
    <t>Files</t>
  </si>
  <si>
    <t>10.1002%2Fcne.24985_TABLE1.tsv</t>
  </si>
  <si>
    <t>10.1002%2Fcne.24985_TABLE2.tsv</t>
  </si>
  <si>
    <t>10.1007%2Fs004220000205_Figure3.tsv</t>
  </si>
  <si>
    <t>10.1016%2Fj.jhevol.2008.08.004_Table2.tsv</t>
  </si>
  <si>
    <t>10.1016%2Fj.jhevol.2008.08.004_Table7.tsv</t>
  </si>
  <si>
    <t>10.1016%2Fj.jhevol.2008.08.004_TableS1.tsv</t>
  </si>
  <si>
    <t>10.1016%2Fj.jhevol.2008.08.004_TableS2.tsv</t>
  </si>
  <si>
    <t>10.1016%2Fj.jhevol.2008.08.004_TableS3.tsv</t>
  </si>
  <si>
    <t>10.1016%2Fj.jhevol.2008.08.004_Tree.nex</t>
  </si>
  <si>
    <t>10.1038%2Fs41467-020-14356-3_SupplementaryData3.tsv</t>
  </si>
  <si>
    <t>10.1038%2Fs41598-018-26062-8_Table1.tsv</t>
  </si>
  <si>
    <t>10.1038%2Fs41598-018-26062-8_TableS1.tsv</t>
  </si>
  <si>
    <t>10.1038%2Fs41598-018-26062-8_TableS5.tsv</t>
  </si>
  <si>
    <t>10.1093%2Fjmammal%2Fgyz043_SupplementaryDataSD1.tsv</t>
  </si>
  <si>
    <t>10.1093%2Fjmammal%2Fgyz043.ReadMe.md</t>
  </si>
  <si>
    <t>10.1093%2Foso%2F9780198568742.003.0006_Table6.1.tsv</t>
  </si>
  <si>
    <t>10.1126%2Fscience.aaa9101_TableS1.tsv</t>
  </si>
  <si>
    <t>10.1159%2F000124401_TableI.tsv</t>
  </si>
  <si>
    <t>10.1159%2F000319019_SupplementaryTable1.tsv</t>
  </si>
  <si>
    <t>10.1159%2F000319019_Table1.tsv</t>
  </si>
  <si>
    <t>10.1159%2F000323671_SupplementaryTable1.tsv</t>
  </si>
  <si>
    <t>10.1159%2F000323671_SupplementaryTable2.tsv</t>
  </si>
  <si>
    <t>10.1159%2F000323671.ReadMe.md</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</si>
  <si>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</si>
  <si>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</si>
  <si>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</si>
  <si>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</si>
  <si>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</si>
  <si>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</si>
  <si>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</si>
  <si>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10.1371%2Fjournal.pbio.1002000_TableS8.ReadMe.md</t>
  </si>
  <si>
    <t>10.1371%2Fjournal.pbio.1002000_TableS8.tsv</t>
  </si>
  <si>
    <t>10.1523%2FJNEUROSCI.2339-19.2020_Table1.tsv</t>
  </si>
  <si>
    <t>10.3389%25Ffnana.2013.00035.svg</t>
  </si>
  <si>
    <t>10.3389%2Ffnana.2013.00035_Figure2TopLeft.ReadMe.md</t>
  </si>
  <si>
    <t>10.3389%2Ffnana.2013.00035_Figure2TopLeft.tsv</t>
  </si>
  <si>
    <t>10.3389%2Ffnana.2013.00035_Table1-a.tsv</t>
  </si>
  <si>
    <t>10.3389%2Ffnana.2013.00035_Table1-b.tsv</t>
  </si>
  <si>
    <t>10.3389%2Ffnana.2013.00035.ReadMe.md</t>
  </si>
  <si>
    <t>10.3389%2Ffnana.2017.00118_Table1.tsv</t>
  </si>
  <si>
    <t>10.3389%2Ffnhum.2013.00424_TableS2partial.tsv</t>
  </si>
  <si>
    <t>10.3389%2Ffnhum.2013.00424.ReadMe.md</t>
  </si>
  <si>
    <t>10.7554%2FeLife.77875_Supplementaryfile3.tsv</t>
  </si>
  <si>
    <t>10.7554%2FeLife.77875_Table1.tsv</t>
  </si>
  <si>
    <t>README.md</t>
  </si>
  <si>
    <t>Table S1. Locomotor profiles for the species used in this
study.</t>
  </si>
  <si>
    <t>mammal_gait.txt</t>
  </si>
  <si>
    <t>MamFuncDat.txt</t>
  </si>
  <si>
    <t>References</t>
  </si>
  <si>
    <t>Table 1 The anatomical and behavioural traits used the comparative analysis</t>
  </si>
  <si>
    <t>reference list</t>
  </si>
  <si>
    <t>Iwaniuk, A. N., Pellis, S. M., &amp; Whishaw, I. Q. (1999). Is digital dexterity really related to corticospinal projections?: a re-analysis of the Heffner and Masterton data set using modern comparative statistics. Behav Brain Res, 101(2), 173-187. https://doi.org/10.1016/s0166-4328(98)00151-x</t>
  </si>
  <si>
    <t>Genoud, M., Isler, K., &amp; Martin, R. D. (2018). Comparative analyses of basal rate of metabolism in mammals: data selection does matter. Biol Rev Camb Philos Soc, 93(1), 404-438. https://doi.org/10.1111/brv.12350</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</si>
  <si>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</si>
  <si>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Burish, M. J., Peebles, J. K., Baldwin, M. K., Tavares, L., Kaas, J. H., &amp; Herculano-Houzel, S. (2010). Cellular scaling rules for primate spinal cords. Brain Behav Evol, 76(1), 45-59. https://doi.org/10.1159/000319019</t>
  </si>
  <si>
    <t>Fu, Y., Rusznak, Z., Herculano-Houzel, S., Watson, C., &amp; Paxinos, G. (2013). Cellular composition characterizing postnatal development and maturation of the mouse brain and spinal cord. Brain Struct Funct, 218(5), 1337-1354. https://doi.org/10.1007/s00429-012-0462-x</t>
  </si>
  <si>
    <t>MacLarnon, A. (1996). The scaling of gross dimensions of the spinal cord in primates and other species. J Hum Evol, 30(1), 71-87. https://doi.org/10.1006/jhev.1996.0005</t>
  </si>
  <si>
    <t>Wimberly, A. N., Slater, G. J., &amp; Granatosky, M. C. (2021). Evolutionary history of quadrupedal walking gaits shows mammalian release from locomotor constraint. Proc Biol Sci, 288(1957), 20210937. https://doi.org/10.1098/rspb.2021.0937</t>
  </si>
  <si>
    <t>Granatosky, M. C. (2018). A Review of locomotor diversity in mammals with analyses exploring the influence of substrate use, body mass and intermembral index in primates. Journal of Zoology, 306(4), 207-216. https://doi.org/10.1111/jzo.12608</t>
  </si>
  <si>
    <t>Wilman, H., Belmaker, J., Simpson, J., de la Rosa, C., Rivadeneira, M. M., &amp; Jetz, W. (2014). EltonTraits 1.0: Species‐level foraging attributes of the world's birds and mammals. Ecology, 95(7), 2027-2027. https://doi.org/10.1890/13-1917.1</t>
  </si>
  <si>
    <t>end</t>
  </si>
  <si>
    <t>10.0000/placeholder</t>
  </si>
  <si>
    <t>Tabelle 1</t>
  </si>
  <si>
    <t>Brodmann, K. (1913). Neue Forschungsergebnisse der Großhirnrindenanatomie mit besonderer Berücksichtigung anthropologischer Fragen. Verhandlungen der Gesellschaft Deutscher Naturforscher und Ärzte, 85(1), 200-240</t>
  </si>
  <si>
    <t>cortical area surface area, neuron density</t>
  </si>
  <si>
    <t>Collins, C. E., Airey, D. C., Young, N. A., Leitch, D. B., &amp; Kaas, J. H. (2010). Neuron densities vary across and within cortical areas in primates. Proc Natl Acad Sci U S A, 107(36), 15927-15932. https://doi.org/10.1073/pnas.1010356107</t>
  </si>
  <si>
    <t>Dataset S1</t>
  </si>
  <si>
    <t>Table 1 Age-dependent changes affecting the mouse central nervous system and pituitary</t>
  </si>
  <si>
    <t>Table S2. Database for multiple-regression model</t>
  </si>
  <si>
    <t>Garwicz, M., Christensson, M., &amp; Psouni, E. (2009). A unifying model for timing of walking onset in humans and other mammals. Proc Natl Acad Sci U S A, 106(51), 21889-21893. https://doi.org/10.1073/pnas.0905777106</t>
  </si>
  <si>
    <t>Table S1. Taxonomy of species included in the sample</t>
  </si>
  <si>
    <t>Table 1. Summary of experimental cases</t>
  </si>
  <si>
    <t>brain surface total area</t>
  </si>
  <si>
    <t>Turner, E. C., Young, N. A., Reed, J. L., Collins, C. E., Flaherty, D. K., Gabi, M., &amp; Kaas, J. H. (2016). Distributions of cells and neurons across the cortical sheet in old world macaques. Brain Behav Evol, 88(1), 1-13. https://doi.org/10.1159/000446762</t>
  </si>
  <si>
    <t>https://www.pnas.org/doi/suppl/10.1073/pnas.0905777106/suppl_file/0905777106si.pdf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</si>
</sst>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2"/>
      <color theme="1"/>
      <name val="Calibri"/>
      <family val="2"/>
      <scheme val="minor"/>
    </font>
    <font>
      <sz val="12"/>
      <color theme="1"/>
      <name val="Calibri"/>
      <family val="2"/>
      <scheme val="minor"/>
    </font>
    <font>
      <sz val="12"/>
      <color theme="1"/>
      <name val="Calibri"/>
      <family val="2"/>
    </font>
    <font>
      <sz val="12"/>
      <color rgb="FF000000"/>
      <name val="Calibri"/>
      <family val="2"/>
      <scheme val="minor"/>
    </font>
    <font>
      <sz val="12"/>
      <color rgb="FFFF0000"/>
      <name val="Calibri"/>
      <family val="2"/>
      <scheme val="minor"/>
    </font>
    <font>
      <sz val="12"/>
      <color rgb="FFFF0000"/>
      <name val="Calibri"/>
      <family val="2"/>
    </font>
    <font>
      <sz val="12"/>
      <color rgb="FF000000"/>
      <name val="Calibri"/>
      <family val="2"/>
    </font>
    <font>
      <b/>
      <sz val="12"/>
      <color theme="1"/>
      <name val="Calibri"/>
      <family val="2"/>
    </font>
    <font>
      <b/>
      <sz val="12"/>
      <color theme="1"/>
      <name val="Calibri"/>
      <family val="2"/>
      <scheme val="minor"/>
    </font>
    <font>
      <sz val="12"/>
      <color theme="1"/>
      <name val="Calibri"/>
      <family val="2"/>
    </font>
    <font>
      <i/>
      <sz val="12"/>
      <color theme="1"/>
      <name val="Calibri"/>
      <family val="2"/>
      <scheme val="minor"/>
    </font>
    <font>
      <sz val="12"/>
      <color rgb="FF3F3F76"/>
      <name val="Calibri"/>
      <family val="2"/>
      <scheme val="minor"/>
    </font>
    <font>
      <b/>
      <sz val="12"/>
      <color rgb="FF3F3F76"/>
      <name val="Calibri"/>
      <family val="2"/>
      <scheme val="minor"/>
    </font>
    <font>
      <u/>
      <sz val="12"/>
      <color theme="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CC99"/>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3">
    <xf numFmtId="0" fontId="0" fillId="0" borderId="0"/>
    <xf numFmtId="0" fontId="11" fillId="3" borderId="1" applyNumberFormat="0" applyAlignment="0" applyProtection="0"/>
    <xf numFmtId="0" fontId="13" fillId="0" borderId="0" applyNumberFormat="0" applyFill="0" applyBorder="0" applyAlignment="0" applyProtection="0"/>
  </cellStyleXfs>
  <cellXfs count="1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4" fillId="2" borderId="0" xfId="0" applyFont="1" applyFill="1"/>
    <xf numFmtId="0" fontId="6" fillId="0" borderId="0" xfId="0" applyFont="1"/>
    <xf numFmtId="0" fontId="7" fillId="0" borderId="0" xfId="0" applyFont="1"/>
    <xf numFmtId="0" fontId="8" fillId="0" borderId="0" xfId="0" applyFont="1"/>
    <xf numFmtId="0" fontId="9" fillId="0" borderId="0" xfId="0" applyFont="1"/>
    <xf numFmtId="0" fontId="9" fillId="0" borderId="0" xfId="0" applyFont="1" applyAlignment="1">
      <alignment wrapText="1"/>
    </xf>
    <xf numFmtId="0" fontId="10" fillId="0" borderId="0" xfId="0" applyFont="1"/>
    <xf numFmtId="0" fontId="11" fillId="3" borderId="1" xfId="1"/>
    <xf numFmtId="49" fontId="11" fillId="3" borderId="1" xfId="1" applyNumberFormat="1"/>
    <xf numFmtId="0" fontId="12" fillId="3" borderId="1" xfId="1" applyFont="1"/>
    <xf numFmtId="0" fontId="0" fillId="0" borderId="0" xfId="0" applyFont="1"/>
    <xf numFmtId="0" fontId="13" fillId="3" borderId="1" xfId="2" applyFill="1" applyBorder="1"/>
  </cellXfs>
  <cellStyles count="3">
    <cellStyle name="Hyperlink" xfId="2" builtinId="8"/>
    <cellStyle name="Input" xfId="1" builtinId="2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www.pnas.org/doi/suppl/10.1073/pnas.0905777106/suppl_file/0905777106si.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www.pnas.org/doi/suppl/10.1073/pnas.0905777106/suppl_file/0905777106si.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64"/>
  <sheetViews>
    <sheetView tabSelected="1" zoomScale="110" zoomScaleNormal="110" workbookViewId="0">
      <pane xSplit="10" ySplit="1" topLeftCell="O2" activePane="bottomRight" state="frozen"/>
      <selection pane="topRight" activeCell="B1" sqref="B1"/>
      <selection pane="bottomLeft" activeCell="A2" sqref="A2"/>
      <selection pane="bottomRight" activeCell="A12" sqref="A12:XFD12"/>
    </sheetView>
  </sheetViews>
  <sheetFormatPr baseColWidth="10" defaultRowHeight="16" x14ac:dyDescent="0.2"/>
  <cols>
    <col min="1" max="1" width="40.6640625" style="13" customWidth="1"/>
    <col min="2" max="2" width="2.1640625" style="13" customWidth="1"/>
    <col min="3" max="3" width="2" customWidth="1"/>
    <col min="4" max="4" width="23.6640625" customWidth="1"/>
    <col min="5" max="5" width="16.83203125" customWidth="1"/>
    <col min="6" max="6" width="15" customWidth="1"/>
    <col min="7" max="7" width="2.1640625" customWidth="1"/>
    <col min="8" max="8" width="4.5" customWidth="1"/>
    <col min="9" max="9" width="37.5" style="13" customWidth="1"/>
    <col min="10" max="10" width="17.1640625" style="13" customWidth="1"/>
    <col min="11" max="11" width="31.1640625" customWidth="1"/>
    <col min="12" max="12" width="46.5" customWidth="1"/>
    <col min="13" max="13" width="49.83203125" customWidth="1"/>
    <col min="14" max="14" width="15.33203125" style="13" customWidth="1"/>
    <col min="15" max="15" width="24" style="13" customWidth="1"/>
    <col min="16" max="16" width="5" style="13" customWidth="1"/>
    <col min="17" max="20" width="14.1640625" style="13" customWidth="1"/>
    <col min="21" max="21" width="13.83203125" style="13" customWidth="1"/>
    <col min="22" max="22" width="12.6640625" style="13" customWidth="1"/>
    <col min="23" max="23" width="22.1640625" style="13" customWidth="1"/>
    <col min="24" max="24" width="14.33203125" style="13" customWidth="1"/>
    <col min="25" max="25" width="39.5" style="13" customWidth="1"/>
    <col min="26" max="26" width="11.1640625" style="13" customWidth="1"/>
    <col min="27" max="27" width="5" style="13" customWidth="1"/>
    <col min="28" max="28" width="7.5" style="13" customWidth="1"/>
    <col min="29" max="29" width="10.6640625" style="13" customWidth="1"/>
    <col min="30" max="30" width="6.5" style="13" customWidth="1"/>
    <col min="31" max="31" width="11" style="13" customWidth="1"/>
    <col min="32" max="34" width="10.83203125" style="13" customWidth="1"/>
    <col min="35" max="35" width="12.5" style="13" customWidth="1"/>
    <col min="36" max="36" width="12.1640625" style="13" customWidth="1"/>
    <col min="37" max="37" width="10.83203125" style="13"/>
  </cols>
  <sheetData>
    <row r="1" spans="1:37" s="9" customFormat="1" ht="16" customHeight="1" x14ac:dyDescent="0.2">
      <c r="A1" s="15" t="s">
        <v>0</v>
      </c>
      <c r="B1" s="15" t="s">
        <v>5</v>
      </c>
      <c r="C1" s="9" t="s">
        <v>351</v>
      </c>
      <c r="D1" s="9" t="s">
        <v>1</v>
      </c>
      <c r="E1" s="8" t="s">
        <v>2</v>
      </c>
      <c r="F1" s="8" t="s">
        <v>3</v>
      </c>
      <c r="G1" s="8" t="s">
        <v>4</v>
      </c>
      <c r="H1" s="9" t="s">
        <v>6</v>
      </c>
      <c r="I1" s="15" t="s">
        <v>7</v>
      </c>
      <c r="J1" s="15" t="s">
        <v>8</v>
      </c>
      <c r="K1" s="9" t="s">
        <v>9</v>
      </c>
      <c r="L1" s="9" t="s">
        <v>10</v>
      </c>
      <c r="M1" s="9" t="s">
        <v>13</v>
      </c>
      <c r="N1" s="15" t="s">
        <v>288</v>
      </c>
      <c r="O1" s="15" t="s">
        <v>11</v>
      </c>
      <c r="P1" s="15" t="s">
        <v>12</v>
      </c>
      <c r="Q1" s="15" t="s">
        <v>14</v>
      </c>
      <c r="R1" s="15" t="s">
        <v>15</v>
      </c>
      <c r="S1" s="15" t="s">
        <v>16</v>
      </c>
      <c r="T1" s="15" t="s">
        <v>17</v>
      </c>
      <c r="U1" s="15" t="s">
        <v>18</v>
      </c>
      <c r="V1" s="15" t="s">
        <v>19</v>
      </c>
      <c r="W1" s="15" t="s">
        <v>20</v>
      </c>
      <c r="X1" s="15" t="s">
        <v>21</v>
      </c>
      <c r="Y1" s="15" t="s">
        <v>22</v>
      </c>
      <c r="Z1" s="15" t="s">
        <v>23</v>
      </c>
      <c r="AA1" s="15" t="s">
        <v>24</v>
      </c>
      <c r="AB1" s="15" t="s">
        <v>25</v>
      </c>
      <c r="AC1" s="15" t="s">
        <v>26</v>
      </c>
      <c r="AD1" s="15" t="s">
        <v>27</v>
      </c>
      <c r="AE1" s="15" t="s">
        <v>28</v>
      </c>
      <c r="AF1" s="15" t="s">
        <v>29</v>
      </c>
      <c r="AG1" s="15" t="s">
        <v>30</v>
      </c>
      <c r="AH1" s="15" t="s">
        <v>31</v>
      </c>
      <c r="AI1" s="15" t="s">
        <v>32</v>
      </c>
      <c r="AJ1" s="15" t="s">
        <v>33</v>
      </c>
      <c r="AK1" s="15" t="s">
        <v>34</v>
      </c>
    </row>
    <row r="2" spans="1:37" ht="16" customHeight="1" x14ac:dyDescent="0.2">
      <c r="A2" s="13" t="s">
        <v>354</v>
      </c>
      <c r="C2" t="str">
        <f>RIGHT(A2,1)</f>
        <v>0</v>
      </c>
      <c r="D2" t="str">
        <f>E2 &amp; IF(F2&lt;&gt;"", "_" &amp; F2, "_") &amp; IF(G2&lt;&gt;"", "_" &amp; G2, "_") &amp; IF(B2&lt;&gt;"", "_" &amp; B2, "")</f>
        <v>Brodmann__1913</v>
      </c>
      <c r="E2" s="2" t="str">
        <f>SUBSTITUTE(SUBSTITUTE(_xlfn.TEXTBEFORE(A2,","), "-", ""), " ", "")</f>
        <v>Brodmann</v>
      </c>
      <c r="F2" s="2" t="str">
        <f>IF(ISNUMBER(FIND("&amp;", A2)),
    IF(LEN(A2)-LEN(SUBSTITUTE(A2, ",", ""))&gt;=6, "etal", MID(A2, SEARCH("&amp; ", A2)+2, SEARCH(",", A2, SEARCH("&amp; ", A2)+2) - SEARCH("&amp; ", A2)-2)),
    ""
)</f>
        <v/>
      </c>
      <c r="G2" s="2" t="str">
        <f>_xlfn.TEXTBEFORE(_xlfn.TEXTAFTER(A2, "("), ")")</f>
        <v>1913</v>
      </c>
      <c r="H2" t="e">
        <f>_xlfn.TEXTAFTER(A2,"https://doi.org/")</f>
        <v>#N/A</v>
      </c>
      <c r="I2" s="13" t="s">
        <v>352</v>
      </c>
      <c r="J2" s="13" t="s">
        <v>353</v>
      </c>
      <c r="K2" s="1" t="str">
        <f>TRIM(_xlfn.TEXTJOIN("_",FALSE,D2,(SUBSTITUTE(SUBSTITUTE(J2," ",""), "_", ""))))</f>
        <v>Brodmann__1913_Tabelle1</v>
      </c>
      <c r="L2" s="1" t="str">
        <f>IF(ISBLANK(I2),TRIM(SUBSTITUTE(SUBSTITUTE(SUBSTITUTE(_xlfn.TEXTJOIN("_", FALSE, H2, SUBSTITUTE(J2,"_", "")), "/", "%2F"), ":", "%3A"), " ", "")),TRIM(SUBSTITUTE(SUBSTITUTE(SUBSTITUTE(_xlfn.TEXTJOIN("_", FALSE, I2, SUBSTITUTE(J2,"_", "")), "/", "%2F"), ":", "%3A"), " ", "")))</f>
        <v>10.0000%2Fplaceholder_Tabelle1</v>
      </c>
      <c r="M2" t="str">
        <f t="array" ref="M2">IFERROR(INDEX(FileList!$A$1:$A$43, MATCH(L2, _xlfn.TEXTBEFORE(FileList!$A$1:$A$43, ".tsv"), 0)), "notfound")</f>
        <v>notfound</v>
      </c>
    </row>
    <row r="3" spans="1:37" ht="17" customHeight="1" x14ac:dyDescent="0.2">
      <c r="A3" s="13" t="s">
        <v>38</v>
      </c>
      <c r="C3" t="str">
        <f>RIGHT(A3,1)</f>
        <v>3</v>
      </c>
      <c r="D3" t="str">
        <f>E3 &amp; IF(F3&lt;&gt;"", "_" &amp; F3, "_") &amp; IF(G3&lt;&gt;"", "_" &amp; G3, "_") &amp; IF(B3&lt;&gt;"", "_" &amp; B3, "")</f>
        <v>Burger_etal_2019</v>
      </c>
      <c r="E3" s="2" t="str">
        <f>SUBSTITUTE(SUBSTITUTE(_xlfn.TEXTBEFORE(A3,","), "-", ""), " ", "")</f>
        <v>Burger</v>
      </c>
      <c r="F3" s="2" t="str">
        <f>IF(ISNUMBER(FIND("&amp;", A3)),
    IF(LEN(A3)-LEN(SUBSTITUTE(A3, ",", ""))&gt;=6, "etal", MID(A3, SEARCH("&amp; ", A3)+2, SEARCH(",", A3, SEARCH("&amp; ", A3)+2) - SEARCH("&amp; ", A3)-2)),
    ""
)</f>
        <v>etal</v>
      </c>
      <c r="G3" s="2" t="str">
        <f>_xlfn.TEXTBEFORE(_xlfn.TEXTAFTER(A3, "("), ")")</f>
        <v>2019</v>
      </c>
      <c r="H3" t="str">
        <f>_xlfn.TEXTAFTER(A3,"https://doi.org/")</f>
        <v>10.1093/jmammal/gyz043</v>
      </c>
      <c r="J3" s="13" t="s">
        <v>39</v>
      </c>
      <c r="K3" s="1" t="str">
        <f>TRIM(_xlfn.TEXTJOIN("_",FALSE,D3,(SUBSTITUTE(SUBSTITUTE(J3," ",""), "_", ""))))</f>
        <v>Burger_etal_2019_SupplementaryDataSD1</v>
      </c>
      <c r="L3" s="6" t="str">
        <f>IF(ISBLANK(I3),TRIM(SUBSTITUTE(SUBSTITUTE(SUBSTITUTE(_xlfn.TEXTJOIN("_", FALSE, H3, SUBSTITUTE(J3,"_", "")), "/", "%2F"), ":", "%3A"), " ", "")),TRIM(SUBSTITUTE(SUBSTITUTE(SUBSTITUTE(_xlfn.TEXTJOIN("_", FALSE, I3, SUBSTITUTE(J3,"_", "")), "/", "%2F"), ":", "%3A"), " ", "")))</f>
        <v>10.1093%2Fjmammal%2Fgyz043_SupplementaryDataSD1</v>
      </c>
      <c r="M3" t="str">
        <f t="array" ref="M3">IFERROR(INDEX(FileList!$A$1:$A$43, MATCH(L3, _xlfn.TEXTBEFORE(FileList!$A$1:$A$43, ".tsv"), 0)), "notfound")</f>
        <v>10.1093%2Fjmammal%2Fgyz043_SupplementaryDataSD1.tsv</v>
      </c>
      <c r="O3" s="13" t="s">
        <v>40</v>
      </c>
      <c r="P3" s="13" t="s">
        <v>41</v>
      </c>
      <c r="Q3" s="13" t="s">
        <v>42</v>
      </c>
      <c r="R3" s="13" t="s">
        <v>43</v>
      </c>
      <c r="S3" s="13" t="s">
        <v>44</v>
      </c>
      <c r="T3" s="13" t="str">
        <f>IF(S3="N", R3, "write file name")</f>
        <v>gyz043_suppl_Supplement_Data.csv</v>
      </c>
      <c r="U3" s="13" t="s">
        <v>45</v>
      </c>
      <c r="V3" s="13" t="s">
        <v>46</v>
      </c>
      <c r="W3" s="13" t="s">
        <v>47</v>
      </c>
      <c r="Y3" s="13" t="s">
        <v>48</v>
      </c>
      <c r="Z3" s="13" t="s">
        <v>49</v>
      </c>
      <c r="AD3" s="13" t="s">
        <v>50</v>
      </c>
      <c r="AE3" s="13" t="s">
        <v>37</v>
      </c>
      <c r="AI3" s="13">
        <v>17</v>
      </c>
      <c r="AK3" s="13">
        <v>23</v>
      </c>
    </row>
    <row r="4" spans="1:37" ht="17" customHeight="1" x14ac:dyDescent="0.2">
      <c r="A4" s="13" t="s">
        <v>345</v>
      </c>
      <c r="C4" t="str">
        <f>RIGHT(A4,1)</f>
        <v>9</v>
      </c>
      <c r="D4" t="str">
        <f>E4 &amp; IF(F4&lt;&gt;"", "_" &amp; F4, "_") &amp; IF(G4&lt;&gt;"", "_" &amp; G4, "_") &amp; IF(B4&lt;&gt;"", "_" &amp; B4, "")</f>
        <v>Burish_etal_2010</v>
      </c>
      <c r="E4" s="7" t="str">
        <f>SUBSTITUTE(SUBSTITUTE(_xlfn.TEXTBEFORE(A4,","), "-", ""), " ", "")</f>
        <v>Burish</v>
      </c>
      <c r="F4" s="2" t="str">
        <f>IF(ISNUMBER(FIND("&amp;", A4)),
    IF(LEN(A4)-LEN(SUBSTITUTE(A4, ",", ""))&gt;=6, "etal", MID(A4, SEARCH("&amp; ", A4)+2, SEARCH(",", A4, SEARCH("&amp; ", A4)+2) - SEARCH("&amp; ", A4)-2)),
    ""
)</f>
        <v>etal</v>
      </c>
      <c r="G4" s="7" t="str">
        <f>_xlfn.TEXTBEFORE(_xlfn.TEXTAFTER(A4, "("), ")")</f>
        <v>2010</v>
      </c>
      <c r="H4" t="str">
        <f>_xlfn.TEXTAFTER(A4,"https://doi.org/")</f>
        <v>10.1159/000319019</v>
      </c>
      <c r="J4" s="13" t="s">
        <v>276</v>
      </c>
      <c r="K4" s="3" t="str">
        <f>TRIM(_xlfn.TEXTJOIN("_",FALSE,D4,(SUBSTITUTE(SUBSTITUTE(J4," ",""), "_", ""))))</f>
        <v>Burish_etal_2010_SupplementaryTable1</v>
      </c>
      <c r="L4" s="3" t="str">
        <f>IF(ISBLANK(I4),TRIM(SUBSTITUTE(SUBSTITUTE(SUBSTITUTE(_xlfn.TEXTJOIN("_", FALSE, H4, SUBSTITUTE(J4,"_", "")), "/", "%2F"), ":", "%3A"), " ", "")),TRIM(SUBSTITUTE(SUBSTITUTE(SUBSTITUTE(_xlfn.TEXTJOIN("_", FALSE, I4, SUBSTITUTE(J4,"_", "")), "/", "%2F"), ":", "%3A"), " ", "")))</f>
        <v>10.1159%2F000319019_SupplementaryTable1</v>
      </c>
      <c r="M4" t="str">
        <f t="array" ref="M4">IFERROR(INDEX(FileList!$A$1:$A$43, MATCH(L4, _xlfn.TEXTBEFORE(FileList!$A$1:$A$43, ".tsv"), 0)), "notfound")</f>
        <v>10.1159%2F000319019_SupplementaryTable1.tsv</v>
      </c>
      <c r="N4" s="13" t="s">
        <v>275</v>
      </c>
      <c r="P4" s="13" t="s">
        <v>284</v>
      </c>
      <c r="R4" s="13" t="s">
        <v>286</v>
      </c>
      <c r="Z4" s="13" t="s">
        <v>278</v>
      </c>
      <c r="AC4" s="13" t="s">
        <v>281</v>
      </c>
      <c r="AE4" s="13" t="s">
        <v>279</v>
      </c>
    </row>
    <row r="5" spans="1:37" ht="16" customHeight="1" x14ac:dyDescent="0.2">
      <c r="A5" s="13" t="s">
        <v>345</v>
      </c>
      <c r="C5" t="str">
        <f>RIGHT(A5,1)</f>
        <v>9</v>
      </c>
      <c r="D5" t="str">
        <f>E5 &amp; IF(F5&lt;&gt;"", "_" &amp; F5, "_") &amp; IF(G5&lt;&gt;"", "_" &amp; G5, "_") &amp; IF(B5&lt;&gt;"", "_" &amp; B5, "")</f>
        <v>Burish_etal_2010</v>
      </c>
      <c r="E5" s="7" t="str">
        <f>SUBSTITUTE(SUBSTITUTE(_xlfn.TEXTBEFORE(A5,","), "-", ""), " ", "")</f>
        <v>Burish</v>
      </c>
      <c r="F5" s="2" t="str">
        <f>IF(ISNUMBER(FIND("&amp;", A5)),
    IF(LEN(A5)-LEN(SUBSTITUTE(A5, ",", ""))&gt;=6, "etal", MID(A5, SEARCH("&amp; ", A5)+2, SEARCH(",", A5, SEARCH("&amp; ", A5)+2) - SEARCH("&amp; ", A5)-2)),
    ""
)</f>
        <v>etal</v>
      </c>
      <c r="G5" s="7" t="str">
        <f>_xlfn.TEXTBEFORE(_xlfn.TEXTAFTER(A5, "("), ")")</f>
        <v>2010</v>
      </c>
      <c r="H5" t="str">
        <f>_xlfn.TEXTAFTER(A5,"https://doi.org/")</f>
        <v>10.1159/000319019</v>
      </c>
      <c r="J5" s="13" t="s">
        <v>52</v>
      </c>
      <c r="K5" s="3" t="str">
        <f>TRIM(_xlfn.TEXTJOIN("_",FALSE,D5,(SUBSTITUTE(SUBSTITUTE(J5," ",""), "_", ""))))</f>
        <v>Burish_etal_2010_Table1</v>
      </c>
      <c r="L5" s="3" t="str">
        <f>IF(ISBLANK(I5),TRIM(SUBSTITUTE(SUBSTITUTE(SUBSTITUTE(_xlfn.TEXTJOIN("_", FALSE, H5, SUBSTITUTE(J5,"_", "")), "/", "%2F"), ":", "%3A"), " ", "")),TRIM(SUBSTITUTE(SUBSTITUTE(SUBSTITUTE(_xlfn.TEXTJOIN("_", FALSE, I5, SUBSTITUTE(J5,"_", "")), "/", "%2F"), ":", "%3A"), " ", "")))</f>
        <v>10.1159%2F000319019_Table1</v>
      </c>
      <c r="M5" t="str">
        <f t="array" ref="M5">IFERROR(INDEX(FileList!$A$1:$A$43, MATCH(L5, _xlfn.TEXTBEFORE(FileList!$A$1:$A$43, ".tsv"), 0)), "notfound")</f>
        <v>10.1159%2F000319019_Table1.tsv</v>
      </c>
      <c r="N5" s="13" t="s">
        <v>274</v>
      </c>
      <c r="P5" s="13" t="s">
        <v>41</v>
      </c>
      <c r="Q5" s="13" t="s">
        <v>53</v>
      </c>
      <c r="R5" s="13" t="s">
        <v>285</v>
      </c>
      <c r="Z5" s="13" t="s">
        <v>277</v>
      </c>
      <c r="AC5" s="13" t="s">
        <v>281</v>
      </c>
      <c r="AE5" s="13" t="s">
        <v>279</v>
      </c>
    </row>
    <row r="6" spans="1:37" ht="16" customHeight="1" x14ac:dyDescent="0.2">
      <c r="A6" s="13" t="s">
        <v>51</v>
      </c>
      <c r="C6" t="str">
        <f>RIGHT(A6,1)</f>
        <v>5</v>
      </c>
      <c r="D6" t="str">
        <f>E6 &amp; IF(F6&lt;&gt;"", "_" &amp; F6, "_") &amp; IF(G6&lt;&gt;"", "_" &amp; G6, "_") &amp; IF(B6&lt;&gt;"", "_" &amp; B6, "")</f>
        <v>Caspar_etal_2022</v>
      </c>
      <c r="E6" s="2" t="str">
        <f>SUBSTITUTE(SUBSTITUTE(_xlfn.TEXTBEFORE(A6,","), "-", ""), " ", "")</f>
        <v>Caspar</v>
      </c>
      <c r="F6" s="2" t="str">
        <f>IF(ISNUMBER(FIND("&amp;", A6)),
    IF(LEN(A6)-LEN(SUBSTITUTE(A6, ",", ""))&gt;=6, "etal", MID(A6, SEARCH("&amp; ", A6)+2, SEARCH(",", A6, SEARCH("&amp; ", A6)+2) - SEARCH("&amp; ", A6)-2)),
    ""
)</f>
        <v>etal</v>
      </c>
      <c r="G6" s="2" t="str">
        <f>_xlfn.TEXTBEFORE(_xlfn.TEXTAFTER(A6, "("), ")")</f>
        <v>2022</v>
      </c>
      <c r="H6" t="str">
        <f>_xlfn.TEXTAFTER(A6,"https://doi.org/")</f>
        <v>10.7554/eLife.77875</v>
      </c>
      <c r="J6" s="13" t="s">
        <v>65</v>
      </c>
      <c r="K6" s="1" t="str">
        <f>TRIM(_xlfn.TEXTJOIN("_",FALSE,D6,(SUBSTITUTE(SUBSTITUTE(J6," ",""), "_", ""))))</f>
        <v>Caspar_etal_2022_Supplementaryfile3</v>
      </c>
      <c r="L6" s="1" t="str">
        <f>IF(ISBLANK(I6),TRIM(SUBSTITUTE(SUBSTITUTE(SUBSTITUTE(_xlfn.TEXTJOIN("_", FALSE, H6, SUBSTITUTE(J6,"_", "")), "/", "%2F"), ":", "%3A"), " ", "")),TRIM(SUBSTITUTE(SUBSTITUTE(SUBSTITUTE(_xlfn.TEXTJOIN("_", FALSE, I6, SUBSTITUTE(J6,"_", "")), "/", "%2F"), ":", "%3A"), " ", "")))</f>
        <v>10.7554%2FeLife.77875_Supplementaryfile3</v>
      </c>
      <c r="M6" t="str">
        <f t="array" ref="M6">IFERROR(INDEX(FileList!$A$1:$A$43, MATCH(L6, _xlfn.TEXTBEFORE(FileList!$A$1:$A$43, ".tsv"), 0)), "notfound")</f>
        <v>notfound</v>
      </c>
      <c r="N6" s="13" t="s">
        <v>70</v>
      </c>
      <c r="P6" s="13" t="s">
        <v>41</v>
      </c>
      <c r="Q6" s="13" t="s">
        <v>53</v>
      </c>
      <c r="R6" s="13" t="s">
        <v>66</v>
      </c>
      <c r="S6" s="13" t="s">
        <v>44</v>
      </c>
      <c r="T6" s="13" t="str">
        <f>IF(S6="N", R6, "write file name")</f>
        <v>elife-77875-supp3-v1.xlsx</v>
      </c>
      <c r="U6" s="13" t="s">
        <v>67</v>
      </c>
      <c r="V6" s="13" t="s">
        <v>46</v>
      </c>
      <c r="W6" s="13" t="s">
        <v>68</v>
      </c>
      <c r="X6" s="13" t="s">
        <v>69</v>
      </c>
      <c r="Y6" s="13" t="s">
        <v>71</v>
      </c>
      <c r="Z6" s="13" t="s">
        <v>49</v>
      </c>
      <c r="AE6" s="13" t="s">
        <v>64</v>
      </c>
      <c r="AI6" s="13">
        <v>5</v>
      </c>
      <c r="AK6" s="13">
        <v>12</v>
      </c>
    </row>
    <row r="7" spans="1:37" ht="16" customHeight="1" x14ac:dyDescent="0.2">
      <c r="A7" s="13" t="s">
        <v>51</v>
      </c>
      <c r="C7" t="str">
        <f>RIGHT(A7,1)</f>
        <v>5</v>
      </c>
      <c r="D7" t="str">
        <f>E7 &amp; IF(F7&lt;&gt;"", "_" &amp; F7, "_") &amp; IF(G7&lt;&gt;"", "_" &amp; G7, "_") &amp; IF(B7&lt;&gt;"", "_" &amp; B7, "")</f>
        <v>Caspar_etal_2022</v>
      </c>
      <c r="E7" s="2" t="str">
        <f>SUBSTITUTE(SUBSTITUTE(_xlfn.TEXTBEFORE(A7,","), "-", ""), " ", "")</f>
        <v>Caspar</v>
      </c>
      <c r="F7" s="2" t="str">
        <f>IF(ISNUMBER(FIND("&amp;", A7)),
    IF(LEN(A7)-LEN(SUBSTITUTE(A7, ",", ""))&gt;=6, "etal", MID(A7, SEARCH("&amp; ", A7)+2, SEARCH(",", A7, SEARCH("&amp; ", A7)+2) - SEARCH("&amp; ", A7)-2)),
    ""
)</f>
        <v>etal</v>
      </c>
      <c r="G7" s="2" t="str">
        <f>_xlfn.TEXTBEFORE(_xlfn.TEXTAFTER(A7, "("), ")")</f>
        <v>2022</v>
      </c>
      <c r="H7" t="str">
        <f>_xlfn.TEXTAFTER(A7,"https://doi.org/")</f>
        <v>10.7554/eLife.77875</v>
      </c>
      <c r="J7" s="13" t="s">
        <v>52</v>
      </c>
      <c r="K7" s="1" t="str">
        <f>TRIM(_xlfn.TEXTJOIN("_",FALSE,D7,(SUBSTITUTE(SUBSTITUTE(J7," ",""), "_", ""))))</f>
        <v>Caspar_etal_2022_Table1</v>
      </c>
      <c r="L7" s="1" t="str">
        <f>IF(ISBLANK(I7),TRIM(SUBSTITUTE(SUBSTITUTE(SUBSTITUTE(_xlfn.TEXTJOIN("_", FALSE, H7, SUBSTITUTE(J7,"_", "")), "/", "%2F"), ":", "%3A"), " ", "")),TRIM(SUBSTITUTE(SUBSTITUTE(SUBSTITUTE(_xlfn.TEXTJOIN("_", FALSE, I7, SUBSTITUTE(J7,"_", "")), "/", "%2F"), ":", "%3A"), " ", "")))</f>
        <v>10.7554%2FeLife.77875_Table1</v>
      </c>
      <c r="M7" t="str">
        <f t="array" ref="M7">IFERROR(INDEX(FileList!$A$1:$A$43, MATCH(L7, _xlfn.TEXTBEFORE(FileList!$A$1:$A$43, ".tsv"), 0)), "notfound")</f>
        <v>notfound</v>
      </c>
      <c r="N7" s="13" t="s">
        <v>60</v>
      </c>
      <c r="P7" s="13" t="s">
        <v>41</v>
      </c>
      <c r="Q7" s="13" t="s">
        <v>53</v>
      </c>
      <c r="R7" s="13" t="s">
        <v>54</v>
      </c>
      <c r="S7" s="13" t="s">
        <v>55</v>
      </c>
      <c r="T7" s="13" t="s">
        <v>56</v>
      </c>
      <c r="U7" s="13" t="s">
        <v>57</v>
      </c>
      <c r="V7" s="13" t="s">
        <v>46</v>
      </c>
      <c r="W7" s="13" t="s">
        <v>58</v>
      </c>
      <c r="X7" s="13" t="s">
        <v>59</v>
      </c>
      <c r="Y7" s="13" t="s">
        <v>61</v>
      </c>
      <c r="Z7" s="13" t="s">
        <v>62</v>
      </c>
      <c r="AD7" s="13" t="s">
        <v>63</v>
      </c>
      <c r="AE7" s="13" t="s">
        <v>64</v>
      </c>
      <c r="AI7" s="13">
        <v>7</v>
      </c>
      <c r="AK7" s="13">
        <v>8</v>
      </c>
    </row>
    <row r="8" spans="1:37" ht="16" customHeight="1" x14ac:dyDescent="0.2">
      <c r="A8" s="13" t="s">
        <v>72</v>
      </c>
      <c r="C8" t="str">
        <f>RIGHT(A8,1)</f>
        <v>5</v>
      </c>
      <c r="D8" t="str">
        <f>E8 &amp; IF(F8&lt;&gt;"", "_" &amp; F8, "_") &amp; IF(G8&lt;&gt;"", "_" &amp; G8, "_") &amp; IF(B8&lt;&gt;"", "_" &amp; B8, "")</f>
        <v>Changizi__2001</v>
      </c>
      <c r="E8" s="2" t="str">
        <f>SUBSTITUTE(SUBSTITUTE(_xlfn.TEXTBEFORE(A8,","), "-", ""), " ", "")</f>
        <v>Changizi</v>
      </c>
      <c r="F8" s="2" t="str">
        <f>IF(ISNUMBER(FIND("&amp;", A8)),
    IF(LEN(A8)-LEN(SUBSTITUTE(A8, ",", ""))&gt;=6, "etal", MID(A8, SEARCH("&amp; ", A8)+2, SEARCH(",", A8, SEARCH("&amp; ", A8)+2) - SEARCH("&amp; ", A8)-2)),
    ""
)</f>
        <v/>
      </c>
      <c r="G8" s="2" t="str">
        <f>_xlfn.TEXTBEFORE(_xlfn.TEXTAFTER(A8, "("), ")")</f>
        <v>2001</v>
      </c>
      <c r="H8" t="str">
        <f>_xlfn.TEXTAFTER(A8,"https://doi.org/")</f>
        <v>10.1007/s004220000205</v>
      </c>
      <c r="J8" s="13" t="s">
        <v>73</v>
      </c>
      <c r="K8" s="1" t="str">
        <f>TRIM(_xlfn.TEXTJOIN("_",FALSE,D8,(SUBSTITUTE(SUBSTITUTE(J8," ",""), "_", ""))))</f>
        <v>Changizi__2001_Figure3</v>
      </c>
      <c r="L8" s="1" t="str">
        <f>IF(ISBLANK(I8),TRIM(SUBSTITUTE(SUBSTITUTE(SUBSTITUTE(_xlfn.TEXTJOIN("_", FALSE, H8, SUBSTITUTE(J8,"_", "")), "/", "%2F"), ":", "%3A"), " ", "")),TRIM(SUBSTITUTE(SUBSTITUTE(SUBSTITUTE(_xlfn.TEXTJOIN("_", FALSE, I8, SUBSTITUTE(J8,"_", "")), "/", "%2F"), ":", "%3A"), " ", "")))</f>
        <v>10.1007%2Fs004220000205_Figure3</v>
      </c>
      <c r="M8" t="str">
        <f t="array" ref="M8">IFERROR(INDEX(FileList!$A$1:$A$43, MATCH(L8, _xlfn.TEXTBEFORE(FileList!$A$1:$A$43, ".tsv"), 0)), "notfound")</f>
        <v>10.1007%2Fs004220000205_Figure3.tsv</v>
      </c>
      <c r="P8" s="13" t="s">
        <v>74</v>
      </c>
      <c r="Q8" s="13" t="s">
        <v>35</v>
      </c>
      <c r="R8" s="13" t="s">
        <v>75</v>
      </c>
      <c r="S8" s="13" t="s">
        <v>55</v>
      </c>
      <c r="T8" s="13" t="s">
        <v>76</v>
      </c>
      <c r="U8" s="13" t="s">
        <v>57</v>
      </c>
      <c r="V8" s="13" t="s">
        <v>77</v>
      </c>
      <c r="W8" s="13" t="s">
        <v>78</v>
      </c>
      <c r="Y8" s="13" t="s">
        <v>79</v>
      </c>
      <c r="Z8" s="13" t="s">
        <v>36</v>
      </c>
      <c r="AD8" s="13" t="s">
        <v>80</v>
      </c>
      <c r="AI8" s="13" t="s">
        <v>81</v>
      </c>
    </row>
    <row r="9" spans="1:37" ht="16" customHeight="1" x14ac:dyDescent="0.2">
      <c r="A9" s="13" t="s">
        <v>82</v>
      </c>
      <c r="C9" t="str">
        <f>RIGHT(A9,1)</f>
        <v>3</v>
      </c>
      <c r="D9" t="str">
        <f>E9 &amp; IF(F9&lt;&gt;"", "_" &amp; F9, "_") &amp; IF(G9&lt;&gt;"", "_" &amp; G9, "_") &amp; IF(B9&lt;&gt;"", "_" &amp; B9, "")</f>
        <v>Chen_Wiens_2020</v>
      </c>
      <c r="E9" s="2" t="str">
        <f>SUBSTITUTE(SUBSTITUTE(_xlfn.TEXTBEFORE(A9,","), "-", ""), " ", "")</f>
        <v>Chen</v>
      </c>
      <c r="F9" s="2" t="str">
        <f>IF(ISNUMBER(FIND("&amp;", A9)),
    IF(LEN(A9)-LEN(SUBSTITUTE(A9, ",", ""))&gt;=6, "etal", MID(A9, SEARCH("&amp; ", A9)+2, SEARCH(",", A9, SEARCH("&amp; ", A9)+2) - SEARCH("&amp; ", A9)-2)),
    ""
)</f>
        <v>Wiens</v>
      </c>
      <c r="G9" s="2" t="str">
        <f>_xlfn.TEXTBEFORE(_xlfn.TEXTAFTER(A9, "("), ")")</f>
        <v>2020</v>
      </c>
      <c r="H9" t="str">
        <f>_xlfn.TEXTAFTER(A9,"https://doi.org/")</f>
        <v>10.1038/s41467-020-14356-3</v>
      </c>
      <c r="J9" s="13" t="s">
        <v>83</v>
      </c>
      <c r="K9" s="1" t="str">
        <f>TRIM(_xlfn.TEXTJOIN("_",FALSE,D9,(SUBSTITUTE(SUBSTITUTE(J9," ",""), "_", ""))))</f>
        <v>Chen_Wiens_2020_SupplementaryData3</v>
      </c>
      <c r="L9" s="1" t="str">
        <f>IF(ISBLANK(I9),TRIM(SUBSTITUTE(SUBSTITUTE(SUBSTITUTE(_xlfn.TEXTJOIN("_", FALSE, H9, SUBSTITUTE(J9,"_", "")), "/", "%2F"), ":", "%3A"), " ", "")),TRIM(SUBSTITUTE(SUBSTITUTE(SUBSTITUTE(_xlfn.TEXTJOIN("_", FALSE, I9, SUBSTITUTE(J9,"_", "")), "/", "%2F"), ":", "%3A"), " ", "")))</f>
        <v>10.1038%2Fs41467-020-14356-3_SupplementaryData3</v>
      </c>
      <c r="M9" t="str">
        <f t="array" ref="M9">IFERROR(INDEX(FileList!$A$1:$A$43, MATCH(L9, _xlfn.TEXTBEFORE(FileList!$A$1:$A$43, ".tsv"), 0)), "notfound")</f>
        <v>10.1038%2Fs41467-020-14356-3_SupplementaryData3.tsv</v>
      </c>
      <c r="P9" s="13" t="s">
        <v>41</v>
      </c>
      <c r="Q9" s="13" t="s">
        <v>53</v>
      </c>
      <c r="R9" s="13" t="s">
        <v>84</v>
      </c>
      <c r="S9" s="13" t="s">
        <v>44</v>
      </c>
      <c r="T9" s="13" t="str">
        <f>IF(S9="N", R9, "write file name")</f>
        <v>41467_2020_14356_MOESM6_ESM.xlsx</v>
      </c>
      <c r="U9" s="13" t="s">
        <v>67</v>
      </c>
      <c r="V9" s="13" t="s">
        <v>46</v>
      </c>
      <c r="W9" s="13" t="s">
        <v>68</v>
      </c>
      <c r="X9" s="13" t="s">
        <v>85</v>
      </c>
      <c r="Y9" s="13" t="s">
        <v>86</v>
      </c>
      <c r="Z9" s="13" t="s">
        <v>49</v>
      </c>
      <c r="AC9" s="13" t="s">
        <v>87</v>
      </c>
      <c r="AD9" s="13" t="s">
        <v>88</v>
      </c>
      <c r="AE9" s="13" t="s">
        <v>89</v>
      </c>
      <c r="AI9" s="13">
        <v>10</v>
      </c>
      <c r="AK9" s="13">
        <v>13</v>
      </c>
    </row>
    <row r="10" spans="1:37" ht="16" customHeight="1" x14ac:dyDescent="0.2">
      <c r="A10" s="13" t="s">
        <v>356</v>
      </c>
      <c r="C10" t="str">
        <f>RIGHT(A10,1)</f>
        <v>7</v>
      </c>
      <c r="D10" t="str">
        <f>E10 &amp; IF(F10&lt;&gt;"", "_" &amp; F10, "_") &amp; IF(G10&lt;&gt;"", "_" &amp; G10, "_") &amp; IF(B10&lt;&gt;"", "_" &amp; B10, "")</f>
        <v>Collins_etal_2010</v>
      </c>
      <c r="E10" s="2" t="str">
        <f>SUBSTITUTE(SUBSTITUTE(_xlfn.TEXTBEFORE(A10,","), "-", ""), " ", "")</f>
        <v>Collins</v>
      </c>
      <c r="F10" s="2" t="str">
        <f>IF(ISNUMBER(FIND("&amp;", A10)),
    IF(LEN(A10)-LEN(SUBSTITUTE(A10, ",", ""))&gt;=6, "etal", MID(A10, SEARCH("&amp; ", A10)+2, SEARCH(",", A10, SEARCH("&amp; ", A10)+2) - SEARCH("&amp; ", A10)-2)),
    ""
)</f>
        <v>etal</v>
      </c>
      <c r="G10" s="2" t="str">
        <f>_xlfn.TEXTBEFORE(_xlfn.TEXTAFTER(A10, "("), ")")</f>
        <v>2010</v>
      </c>
      <c r="H10" t="str">
        <f>_xlfn.TEXTAFTER(A10,"https://doi.org/")</f>
        <v>10.1073/pnas.1010356107</v>
      </c>
      <c r="J10" s="13" t="s">
        <v>357</v>
      </c>
      <c r="K10" t="str">
        <f>TRIM(_xlfn.TEXTJOIN("_",FALSE,D10,(SUBSTITUTE(SUBSTITUTE(J10," ",""), "_", ""))))</f>
        <v>Collins_etal_2010_DatasetS1</v>
      </c>
      <c r="L10" t="str">
        <f>IF(ISBLANK(I10),TRIM(SUBSTITUTE(SUBSTITUTE(SUBSTITUTE(_xlfn.TEXTJOIN("_", FALSE, H10, SUBSTITUTE(J10,"_", "")), "/", "%2F"), ":", "%3A"), " ", "")),TRIM(SUBSTITUTE(SUBSTITUTE(SUBSTITUTE(_xlfn.TEXTJOIN("_", FALSE, I10, SUBSTITUTE(J10,"_", "")), "/", "%2F"), ":", "%3A"), " ", "")))</f>
        <v>10.1073%2Fpnas.1010356107_DatasetS1</v>
      </c>
      <c r="M10" t="str">
        <f t="array" ref="M10">IFERROR(INDEX(FileList!$A$1:$A$43, MATCH(L10, _xlfn.TEXTBEFORE(FileList!$A$1:$A$43, ".tsv"), 0)), "notfound")</f>
        <v>notfound</v>
      </c>
      <c r="Y10" s="13" t="s">
        <v>355</v>
      </c>
      <c r="Z10" s="13" t="s">
        <v>99</v>
      </c>
    </row>
    <row r="11" spans="1:37" ht="16" customHeight="1" x14ac:dyDescent="0.2">
      <c r="A11" s="13" t="s">
        <v>90</v>
      </c>
      <c r="C11" t="str">
        <f>RIGHT(A11,1)</f>
        <v>6</v>
      </c>
      <c r="D11" t="str">
        <f>E11 &amp; IF(F11&lt;&gt;"", "_" &amp; F11, "_") &amp; IF(G11&lt;&gt;"", "_" &amp; G11, "_") &amp; IF(B11&lt;&gt;"", "_" &amp; B11, "")</f>
        <v>DosSantos_etal_2017</v>
      </c>
      <c r="E11" s="2" t="str">
        <f>SUBSTITUTE(SUBSTITUTE(_xlfn.TEXTBEFORE(A11,","), "-", ""), " ", "")</f>
        <v>DosSantos</v>
      </c>
      <c r="F11" s="2" t="str">
        <f>IF(ISNUMBER(FIND("&amp;", A11)),
    IF(LEN(A11)-LEN(SUBSTITUTE(A11, ",", ""))&gt;=6, "etal", MID(A11, SEARCH("&amp; ", A11)+2, SEARCH(",", A11, SEARCH("&amp; ", A11)+2) - SEARCH("&amp; ", A11)-2)),
    ""
)</f>
        <v>etal</v>
      </c>
      <c r="G11" s="2" t="str">
        <f>_xlfn.TEXTBEFORE(_xlfn.TEXTAFTER(A11, "("), ")")</f>
        <v>2017</v>
      </c>
      <c r="H11" t="str">
        <f>_xlfn.TEXTAFTER(A11,"https://doi.org/")</f>
        <v>10.1159/000452856</v>
      </c>
      <c r="J11" s="13" t="s">
        <v>91</v>
      </c>
      <c r="K11" s="1" t="str">
        <f>TRIM(_xlfn.TEXTJOIN("_",FALSE,D11,(SUBSTITUTE(SUBSTITUTE(J11," ",""), "_", ""))))</f>
        <v>DosSantos_etal_2017_TableS1</v>
      </c>
      <c r="L11" s="1" t="str">
        <f>IF(ISBLANK(I11),TRIM(SUBSTITUTE(SUBSTITUTE(SUBSTITUTE(_xlfn.TEXTJOIN("_", FALSE, H11, SUBSTITUTE(J11,"_", "")), "/", "%2F"), ":", "%3A"), " ", "")),TRIM(SUBSTITUTE(SUBSTITUTE(SUBSTITUTE(_xlfn.TEXTJOIN("_", FALSE, I11, SUBSTITUTE(J11,"_", "")), "/", "%2F"), ":", "%3A"), " ", "")))</f>
        <v>10.1159%2F000452856_TableS1</v>
      </c>
      <c r="M11" t="str">
        <f t="array" ref="M11">IFERROR(INDEX(FileList!$A$1:$A$43, MATCH(L11, _xlfn.TEXTBEFORE(FileList!$A$1:$A$43, ".tsv"), 0)), "notfound")</f>
        <v>10.1159%2F000452856_TableS1.tsv</v>
      </c>
      <c r="O11" s="13" t="s">
        <v>92</v>
      </c>
      <c r="P11" s="13" t="s">
        <v>41</v>
      </c>
      <c r="Q11" s="13" t="s">
        <v>53</v>
      </c>
      <c r="R11" s="13" t="s">
        <v>93</v>
      </c>
      <c r="S11" s="13" t="s">
        <v>55</v>
      </c>
      <c r="T11" s="13" t="s">
        <v>94</v>
      </c>
      <c r="U11" s="13" t="s">
        <v>95</v>
      </c>
      <c r="V11" s="13" t="s">
        <v>96</v>
      </c>
      <c r="W11" s="13" t="s">
        <v>68</v>
      </c>
      <c r="X11" s="13" t="s">
        <v>97</v>
      </c>
      <c r="Y11" s="13" t="s">
        <v>98</v>
      </c>
      <c r="Z11" s="13" t="s">
        <v>99</v>
      </c>
      <c r="AA11" s="13" t="s">
        <v>100</v>
      </c>
      <c r="AB11" s="13" t="s">
        <v>100</v>
      </c>
      <c r="AE11" s="13" t="s">
        <v>101</v>
      </c>
      <c r="AF11" s="13" t="s">
        <v>102</v>
      </c>
      <c r="AI11" s="13">
        <v>0</v>
      </c>
      <c r="AK11" s="13">
        <v>0</v>
      </c>
    </row>
    <row r="12" spans="1:37" ht="16" customHeight="1" x14ac:dyDescent="0.2">
      <c r="A12" s="13" t="s">
        <v>103</v>
      </c>
      <c r="C12" t="str">
        <f>RIGHT(A12,1)</f>
        <v>0</v>
      </c>
      <c r="D12" t="str">
        <f>E12 &amp; IF(F12&lt;&gt;"", "_" &amp; F12, "_") &amp; IF(G12&lt;&gt;"", "_" &amp; G12, "_") &amp; IF(B12&lt;&gt;"", "_" &amp; B12, "")</f>
        <v>DosSantos_etal_2020</v>
      </c>
      <c r="E12" s="2" t="str">
        <f>SUBSTITUTE(SUBSTITUTE(_xlfn.TEXTBEFORE(A12,","), "-", ""), " ", "")</f>
        <v>DosSantos</v>
      </c>
      <c r="F12" s="2" t="str">
        <f>IF(ISNUMBER(FIND("&amp;", A12)),
    IF(LEN(A12)-LEN(SUBSTITUTE(A12, ",", ""))&gt;=6, "etal", MID(A12, SEARCH("&amp; ", A12)+2, SEARCH(",", A12, SEARCH("&amp; ", A12)+2) - SEARCH("&amp; ", A12)-2)),
    ""
)</f>
        <v>etal</v>
      </c>
      <c r="G12" s="2" t="str">
        <f>_xlfn.TEXTBEFORE(_xlfn.TEXTAFTER(A12, "("), ")")</f>
        <v>2020</v>
      </c>
      <c r="H12" t="str">
        <f>_xlfn.TEXTAFTER(A12,"https://doi.org/")</f>
        <v>10.1523/JNEUROSCI.2339-19.2020</v>
      </c>
      <c r="J12" s="13" t="s">
        <v>52</v>
      </c>
      <c r="K12" s="1" t="str">
        <f>TRIM(_xlfn.TEXTJOIN("_",FALSE,D12,(SUBSTITUTE(SUBSTITUTE(J12," ",""), "_", ""))))</f>
        <v>DosSantos_etal_2020_Table1</v>
      </c>
      <c r="L12" s="1" t="str">
        <f>IF(ISBLANK(I12),TRIM(SUBSTITUTE(SUBSTITUTE(SUBSTITUTE(_xlfn.TEXTJOIN("_", FALSE, H12, SUBSTITUTE(J12,"_", "")), "/", "%2F"), ":", "%3A"), " ", "")),TRIM(SUBSTITUTE(SUBSTITUTE(SUBSTITUTE(_xlfn.TEXTJOIN("_", FALSE, I12, SUBSTITUTE(J12,"_", "")), "/", "%2F"), ":", "%3A"), " ", "")))</f>
        <v>10.1523%2FJNEUROSCI.2339-19.2020_Table1</v>
      </c>
      <c r="M12" t="str">
        <f t="array" ref="M12">IFERROR(INDEX(FileList!$A$1:$A$43, MATCH(L12, _xlfn.TEXTBEFORE(FileList!$A$1:$A$43, ".tsv"), 0)), "notfound")</f>
        <v>10.1523%2FJNEUROSCI.2339-19.2020_Table1.tsv</v>
      </c>
      <c r="P12" s="13" t="s">
        <v>41</v>
      </c>
      <c r="Q12" s="13" t="s">
        <v>53</v>
      </c>
      <c r="R12" s="14" t="s">
        <v>104</v>
      </c>
      <c r="S12" s="13" t="s">
        <v>55</v>
      </c>
      <c r="T12" s="13" t="s">
        <v>105</v>
      </c>
      <c r="U12" s="13" t="s">
        <v>106</v>
      </c>
      <c r="V12" s="13" t="s">
        <v>46</v>
      </c>
      <c r="Y12" s="13" t="s">
        <v>98</v>
      </c>
      <c r="Z12" s="13" t="s">
        <v>107</v>
      </c>
      <c r="AA12" s="13" t="s">
        <v>100</v>
      </c>
      <c r="AB12" s="13" t="s">
        <v>100</v>
      </c>
      <c r="AE12" s="13" t="s">
        <v>108</v>
      </c>
      <c r="AI12" s="13">
        <v>4</v>
      </c>
      <c r="AK12" s="13">
        <v>10</v>
      </c>
    </row>
    <row r="13" spans="1:37" ht="16" customHeight="1" x14ac:dyDescent="0.2">
      <c r="A13" s="13" t="s">
        <v>109</v>
      </c>
      <c r="C13" t="str">
        <f>RIGHT(A13,1)</f>
        <v>6</v>
      </c>
      <c r="D13" t="str">
        <f>E13 &amp; IF(F13&lt;&gt;"", "_" &amp; F13, "_") &amp; IF(G13&lt;&gt;"", "_" &amp; G13, "_") &amp; IF(B13&lt;&gt;"", "_" &amp; B13, "")</f>
        <v>Finlay_etal_2006</v>
      </c>
      <c r="E13" s="2" t="str">
        <f>SUBSTITUTE(SUBSTITUTE(_xlfn.TEXTBEFORE(A13,","), "-", ""), " ", "")</f>
        <v>Finlay</v>
      </c>
      <c r="F13" s="2" t="str">
        <f>IF(ISNUMBER(FIND("&amp;", A13)),
    IF(LEN(A13)-LEN(SUBSTITUTE(A13, ",", ""))&gt;=6, "etal", MID(A13, SEARCH("&amp; ", A13)+2, SEARCH(",", A13, SEARCH("&amp; ", A13)+2) - SEARCH("&amp; ", A13)-2)),
    ""
)</f>
        <v>etal</v>
      </c>
      <c r="G13" s="2" t="str">
        <f>_xlfn.TEXTBEFORE(_xlfn.TEXTAFTER(A13, "("), ")")</f>
        <v>2006</v>
      </c>
      <c r="H13" t="str">
        <f>_xlfn.TEXTAFTER(A13,"https://doi.org/")</f>
        <v>10.1093/oso/9780198568742.003.0006</v>
      </c>
      <c r="J13" s="13" t="s">
        <v>110</v>
      </c>
      <c r="K13" s="1" t="str">
        <f>TRIM(_xlfn.TEXTJOIN("_",FALSE,D13,(SUBSTITUTE(SUBSTITUTE(J13," ",""), "_", ""))))</f>
        <v>Finlay_etal_2006_Table6.1</v>
      </c>
      <c r="L13" s="1" t="str">
        <f>IF(ISBLANK(I13),TRIM(SUBSTITUTE(SUBSTITUTE(SUBSTITUTE(_xlfn.TEXTJOIN("_", FALSE, H13, SUBSTITUTE(J13,"_", "")), "/", "%2F"), ":", "%3A"), " ", "")),TRIM(SUBSTITUTE(SUBSTITUTE(SUBSTITUTE(_xlfn.TEXTJOIN("_", FALSE, I13, SUBSTITUTE(J13,"_", "")), "/", "%2F"), ":", "%3A"), " ", "")))</f>
        <v>10.1093%2Foso%2F9780198568742.003.0006_Table6.1</v>
      </c>
      <c r="M13" t="str">
        <f t="array" ref="M13">IFERROR(INDEX(FileList!$A$1:$A$43, MATCH(L13, _xlfn.TEXTBEFORE(FileList!$A$1:$A$43, ".tsv"), 0)), "notfound")</f>
        <v>10.1093%2Foso%2F9780198568742.003.0006_Table6.1.tsv</v>
      </c>
      <c r="P13" s="13" t="s">
        <v>74</v>
      </c>
      <c r="Q13" s="13" t="s">
        <v>35</v>
      </c>
      <c r="R13" s="13" t="s">
        <v>111</v>
      </c>
      <c r="S13" s="13" t="s">
        <v>55</v>
      </c>
      <c r="T13" s="13" t="s">
        <v>112</v>
      </c>
      <c r="U13" s="13" t="s">
        <v>113</v>
      </c>
      <c r="V13" s="13" t="s">
        <v>46</v>
      </c>
      <c r="W13" s="13" t="s">
        <v>58</v>
      </c>
      <c r="X13" s="13" t="s">
        <v>114</v>
      </c>
      <c r="Y13" s="13" t="s">
        <v>115</v>
      </c>
      <c r="Z13" s="13" t="s">
        <v>36</v>
      </c>
      <c r="AD13" s="13" t="s">
        <v>116</v>
      </c>
      <c r="AE13" s="13" t="s">
        <v>37</v>
      </c>
      <c r="AI13" s="13">
        <v>3</v>
      </c>
      <c r="AK13" s="13">
        <v>8</v>
      </c>
    </row>
    <row r="14" spans="1:37" ht="16" customHeight="1" x14ac:dyDescent="0.2">
      <c r="A14" s="13" t="s">
        <v>346</v>
      </c>
      <c r="C14" t="str">
        <f>RIGHT(A14,1)</f>
        <v>x</v>
      </c>
      <c r="D14" t="str">
        <f>E14 &amp; IF(F14&lt;&gt;"", "_" &amp; F14, "_") &amp; IF(G14&lt;&gt;"", "_" &amp; G14, "_") &amp; IF(B14&lt;&gt;"", "_" &amp; B14, "")</f>
        <v>Fu_etal_2013</v>
      </c>
      <c r="E14" s="7" t="str">
        <f>SUBSTITUTE(SUBSTITUTE(_xlfn.TEXTBEFORE(A14,","), "-", ""), " ", "")</f>
        <v>Fu</v>
      </c>
      <c r="F14" s="2" t="str">
        <f>IF(ISNUMBER(FIND("&amp;", A14)),
    IF(LEN(A14)-LEN(SUBSTITUTE(A14, ",", ""))&gt;=6, "etal", MID(A14, SEARCH("&amp; ", A14)+2, SEARCH(",", A14, SEARCH("&amp; ", A14)+2) - SEARCH("&amp; ", A14)-2)),
    ""
)</f>
        <v>etal</v>
      </c>
      <c r="G14" s="7" t="str">
        <f>_xlfn.TEXTBEFORE(_xlfn.TEXTAFTER(A14, "("), ")")</f>
        <v>2013</v>
      </c>
      <c r="H14" t="str">
        <f>_xlfn.TEXTAFTER(A14,"https://doi.org/")</f>
        <v>10.1007/s00429-012-0462-x</v>
      </c>
      <c r="J14" s="13" t="s">
        <v>52</v>
      </c>
      <c r="K14" s="3" t="str">
        <f>TRIM(_xlfn.TEXTJOIN("_",FALSE,D14,(SUBSTITUTE(SUBSTITUTE(J14," ",""), "_", ""))))</f>
        <v>Fu_etal_2013_Table1</v>
      </c>
      <c r="L14" s="3" t="str">
        <f>IF(ISBLANK(I14),TRIM(SUBSTITUTE(SUBSTITUTE(SUBSTITUTE(_xlfn.TEXTJOIN("_", FALSE, H14, SUBSTITUTE(J14,"_", "")), "/", "%2F"), ":", "%3A"), " ", "")),TRIM(SUBSTITUTE(SUBSTITUTE(SUBSTITUTE(_xlfn.TEXTJOIN("_", FALSE, I14, SUBSTITUTE(J14,"_", "")), "/", "%2F"), ":", "%3A"), " ", "")))</f>
        <v>10.1007%2Fs00429-012-0462-x_Table1</v>
      </c>
      <c r="M14" t="str">
        <f t="array" ref="M14">IFERROR(INDEX(FileList!$A$1:$A$43, MATCH(L14, _xlfn.TEXTBEFORE(FileList!$A$1:$A$43, ".tsv"), 0)), "notfound")</f>
        <v>notfound</v>
      </c>
      <c r="N14" s="13" t="s">
        <v>358</v>
      </c>
      <c r="P14" s="13" t="s">
        <v>125</v>
      </c>
      <c r="Z14" s="13" t="s">
        <v>283</v>
      </c>
      <c r="AC14" s="13" t="s">
        <v>281</v>
      </c>
    </row>
    <row r="15" spans="1:37" ht="15" customHeight="1" x14ac:dyDescent="0.2">
      <c r="A15" s="13" t="s">
        <v>360</v>
      </c>
      <c r="C15" t="str">
        <f>RIGHT(A15,1)</f>
        <v>6</v>
      </c>
      <c r="D15" t="str">
        <f>E15 &amp; IF(F15&lt;&gt;"", "_" &amp; F15, "_") &amp; IF(G15&lt;&gt;"", "_" &amp; G15, "_") &amp; IF(B15&lt;&gt;"", "_" &amp; B15, "")</f>
        <v>Garwicz_etal_2009</v>
      </c>
      <c r="E15" s="2" t="str">
        <f>SUBSTITUTE(SUBSTITUTE(_xlfn.TEXTBEFORE(A15,","), "-", ""), " ", "")</f>
        <v>Garwicz</v>
      </c>
      <c r="F15" s="2" t="str">
        <f>IF(ISNUMBER(FIND("&amp;", A15)),
    IF(LEN(A15)-LEN(SUBSTITUTE(A15, ",", ""))&gt;=6, "etal", MID(A15, SEARCH("&amp; ", A15)+2, SEARCH(",", A15, SEARCH("&amp; ", A15)+2) - SEARCH("&amp; ", A15)-2)),
    ""
)</f>
        <v>etal</v>
      </c>
      <c r="G15" s="2" t="str">
        <f>_xlfn.TEXTBEFORE(_xlfn.TEXTAFTER(A15, "("), ")")</f>
        <v>2009</v>
      </c>
      <c r="H15" t="str">
        <f>_xlfn.TEXTAFTER(A15,"https://doi.org/")</f>
        <v>10.1073/pnas.0905777106</v>
      </c>
      <c r="J15" s="13" t="s">
        <v>91</v>
      </c>
      <c r="K15" s="16" t="str">
        <f>TRIM(_xlfn.TEXTJOIN("_",FALSE,D15,(SUBSTITUTE(SUBSTITUTE(J15," ",""), "_", ""))))</f>
        <v>Garwicz_etal_2009_TableS1</v>
      </c>
      <c r="L15" s="16" t="str">
        <f>IF(ISBLANK(I15),TRIM(SUBSTITUTE(SUBSTITUTE(SUBSTITUTE(_xlfn.TEXTJOIN("_", FALSE, H15, SUBSTITUTE(J15,"_", "")), "/", "%2F"), ":", "%3A"), " ", "")),TRIM(SUBSTITUTE(SUBSTITUTE(SUBSTITUTE(_xlfn.TEXTJOIN("_", FALSE, I15, SUBSTITUTE(J15,"_", "")), "/", "%2F"), ":", "%3A"), " ", "")))</f>
        <v>10.1073%2Fpnas.0905777106_TableS1</v>
      </c>
      <c r="M15" t="str">
        <f t="array" ref="M15">IFERROR(INDEX(FileList!$A$1:$A$43, MATCH(L15, _xlfn.TEXTBEFORE(FileList!$A$1:$A$43, ".tsv"), 0)), "notfound")</f>
        <v>notfound</v>
      </c>
      <c r="N15" s="13" t="s">
        <v>361</v>
      </c>
      <c r="U15" s="13" t="s">
        <v>57</v>
      </c>
      <c r="W15" s="13" t="s">
        <v>68</v>
      </c>
      <c r="X15" s="17" t="s">
        <v>365</v>
      </c>
    </row>
    <row r="16" spans="1:37" ht="16" customHeight="1" x14ac:dyDescent="0.2">
      <c r="A16" s="13" t="s">
        <v>360</v>
      </c>
      <c r="C16" t="str">
        <f>RIGHT(A16,1)</f>
        <v>6</v>
      </c>
      <c r="D16" t="str">
        <f>E16 &amp; IF(F16&lt;&gt;"", "_" &amp; F16, "_") &amp; IF(G16&lt;&gt;"", "_" &amp; G16, "_") &amp; IF(B16&lt;&gt;"", "_" &amp; B16, "")</f>
        <v>Garwicz_etal_2009</v>
      </c>
      <c r="E16" s="2" t="str">
        <f>SUBSTITUTE(SUBSTITUTE(_xlfn.TEXTBEFORE(A16,","), "-", ""), " ", "")</f>
        <v>Garwicz</v>
      </c>
      <c r="F16" s="2" t="str">
        <f>IF(ISNUMBER(FIND("&amp;", A16)),
    IF(LEN(A16)-LEN(SUBSTITUTE(A16, ",", ""))&gt;=6, "etal", MID(A16, SEARCH("&amp; ", A16)+2, SEARCH(",", A16, SEARCH("&amp; ", A16)+2) - SEARCH("&amp; ", A16)-2)),
    ""
)</f>
        <v>etal</v>
      </c>
      <c r="G16" s="2" t="str">
        <f>_xlfn.TEXTBEFORE(_xlfn.TEXTAFTER(A16, "("), ")")</f>
        <v>2009</v>
      </c>
      <c r="H16" t="str">
        <f>_xlfn.TEXTAFTER(A16,"https://doi.org/")</f>
        <v>10.1073/pnas.0905777106</v>
      </c>
      <c r="J16" s="13" t="s">
        <v>220</v>
      </c>
      <c r="K16" s="16" t="str">
        <f>TRIM(_xlfn.TEXTJOIN("_",FALSE,D16,(SUBSTITUTE(SUBSTITUTE(J16," ",""), "_", ""))))</f>
        <v>Garwicz_etal_2009_TableS2</v>
      </c>
      <c r="L16" s="16" t="str">
        <f>IF(ISBLANK(I16),TRIM(SUBSTITUTE(SUBSTITUTE(SUBSTITUTE(_xlfn.TEXTJOIN("_", FALSE, H16, SUBSTITUTE(J16,"_", "")), "/", "%2F"), ":", "%3A"), " ", "")),TRIM(SUBSTITUTE(SUBSTITUTE(SUBSTITUTE(_xlfn.TEXTJOIN("_", FALSE, I16, SUBSTITUTE(J16,"_", "")), "/", "%2F"), ":", "%3A"), " ", "")))</f>
        <v>10.1073%2Fpnas.0905777106_TableS2</v>
      </c>
      <c r="M16" t="str">
        <f t="array" ref="M16">IFERROR(INDEX(FileList!$A$1:$A$43, MATCH(L16, _xlfn.TEXTBEFORE(FileList!$A$1:$A$43, ".tsv"), 0)), "notfound")</f>
        <v>notfound</v>
      </c>
      <c r="N16" s="13" t="s">
        <v>359</v>
      </c>
      <c r="U16" s="13" t="s">
        <v>57</v>
      </c>
      <c r="W16" s="13" t="s">
        <v>68</v>
      </c>
      <c r="X16" s="17" t="s">
        <v>365</v>
      </c>
    </row>
    <row r="17" spans="1:37" ht="16" customHeight="1" x14ac:dyDescent="0.2">
      <c r="A17" s="13" t="s">
        <v>343</v>
      </c>
      <c r="C17" t="str">
        <f>RIGHT(A17,1)</f>
        <v>0</v>
      </c>
      <c r="D17" t="str">
        <f>E17 &amp; IF(F17&lt;&gt;"", "_" &amp; F17, "_") &amp; IF(G17&lt;&gt;"", "_" &amp; G17, "_") &amp; IF(B17&lt;&gt;"", "_" &amp; B17, "")</f>
        <v>Genoud_etal_2018</v>
      </c>
      <c r="E17" s="7" t="str">
        <f>SUBSTITUTE(SUBSTITUTE(_xlfn.TEXTBEFORE(A17,","), "-", ""), " ", "")</f>
        <v>Genoud</v>
      </c>
      <c r="F17" s="2" t="str">
        <f>IF(ISNUMBER(FIND("&amp;", A17)),
    IF(LEN(A17)-LEN(SUBSTITUTE(A17, ",", ""))&gt;=6, "etal", MID(A17, SEARCH("&amp; ", A17)+2, SEARCH(",", A17, SEARCH("&amp; ", A17)+2) - SEARCH("&amp; ", A17)-2)),
    ""
)</f>
        <v>etal</v>
      </c>
      <c r="G17" s="7" t="str">
        <f>_xlfn.TEXTBEFORE(_xlfn.TEXTAFTER(A17, "("), ")")</f>
        <v>2018</v>
      </c>
      <c r="H17" t="str">
        <f>_xlfn.TEXTAFTER(A17,"https://doi.org/")</f>
        <v>10.1111/brv.12350</v>
      </c>
      <c r="J17" s="13" t="s">
        <v>220</v>
      </c>
      <c r="K17" s="3" t="str">
        <f>TRIM(_xlfn.TEXTJOIN("_",FALSE,D17,(SUBSTITUTE(SUBSTITUTE(J17," ",""), "_", ""))))</f>
        <v>Genoud_etal_2018_TableS2</v>
      </c>
      <c r="L17" s="3" t="str">
        <f>IF(ISBLANK(I17),TRIM(SUBSTITUTE(SUBSTITUTE(SUBSTITUTE(_xlfn.TEXTJOIN("_", FALSE, H17, SUBSTITUTE(J17,"_", "")), "/", "%2F"), ":", "%3A"), " ", "")),TRIM(SUBSTITUTE(SUBSTITUTE(SUBSTITUTE(_xlfn.TEXTJOIN("_", FALSE, I17, SUBSTITUTE(J17,"_", "")), "/", "%2F"), ":", "%3A"), " ", "")))</f>
        <v>10.1111%2Fbrv.12350_TableS2</v>
      </c>
      <c r="M17" t="str">
        <f t="array" ref="M17">IFERROR(INDEX(FileList!$A$1:$A$43, MATCH(L17, _xlfn.TEXTBEFORE(FileList!$A$1:$A$43, ".tsv"), 0)), "notfound")</f>
        <v>notfound</v>
      </c>
      <c r="N17" s="13" t="s">
        <v>273</v>
      </c>
      <c r="P17" s="13" t="s">
        <v>125</v>
      </c>
      <c r="AC17" s="13" t="s">
        <v>282</v>
      </c>
    </row>
    <row r="18" spans="1:37" ht="16" customHeight="1" x14ac:dyDescent="0.2">
      <c r="A18" s="13" t="s">
        <v>349</v>
      </c>
      <c r="C18" t="str">
        <f>RIGHT(A18,1)</f>
        <v>8</v>
      </c>
      <c r="D18" t="str">
        <f>E18 &amp; IF(F18&lt;&gt;"", "_" &amp; F18, "_") &amp; IF(G18&lt;&gt;"", "_" &amp; G18, "_") &amp; IF(B18&lt;&gt;"", "_" &amp; B18, "")</f>
        <v>Granatosky__2018</v>
      </c>
      <c r="E18" s="7" t="str">
        <f>SUBSTITUTE(SUBSTITUTE(_xlfn.TEXTBEFORE(A18,","), "-", ""), " ", "")</f>
        <v>Granatosky</v>
      </c>
      <c r="F18" s="2" t="str">
        <f>IF(ISNUMBER(FIND("&amp;", A18)),
    IF(LEN(A18)-LEN(SUBSTITUTE(A18, ",", ""))&gt;=6, "etal", MID(A18, SEARCH("&amp; ", A18)+2, SEARCH(",", A18, SEARCH("&amp; ", A18)+2) - SEARCH("&amp; ", A18)-2)),
    ""
)</f>
        <v/>
      </c>
      <c r="G18" s="7" t="str">
        <f>_xlfn.TEXTBEFORE(_xlfn.TEXTAFTER(A18, "("), ")")</f>
        <v>2018</v>
      </c>
      <c r="H18" t="str">
        <f>_xlfn.TEXTAFTER(A18,"https://doi.org/")</f>
        <v>10.1111/jzo.12608</v>
      </c>
      <c r="J18" s="13" t="s">
        <v>91</v>
      </c>
      <c r="K18" s="3" t="str">
        <f>TRIM(_xlfn.TEXTJOIN("_",FALSE,D18,(SUBSTITUTE(SUBSTITUTE(J18," ",""), "_", ""))))</f>
        <v>Granatosky__2018_TableS1</v>
      </c>
      <c r="L18" s="3" t="str">
        <f>IF(ISBLANK(I18),TRIM(SUBSTITUTE(SUBSTITUTE(SUBSTITUTE(_xlfn.TEXTJOIN("_", FALSE, H18, SUBSTITUTE(J18,"_", "")), "/", "%2F"), ":", "%3A"), " ", "")),TRIM(SUBSTITUTE(SUBSTITUTE(SUBSTITUTE(_xlfn.TEXTJOIN("_", FALSE, I18, SUBSTITUTE(J18,"_", "")), "/", "%2F"), ":", "%3A"), " ", "")))</f>
        <v>10.1111%2Fjzo.12608_TableS1</v>
      </c>
      <c r="M18" t="str">
        <f t="array" ref="M18">IFERROR(INDEX(FileList!$A$1:$A$43, MATCH(L18, _xlfn.TEXTBEFORE(FileList!$A$1:$A$43, ".tsv"), 0)), "notfound")</f>
        <v>notfound</v>
      </c>
      <c r="N18" s="13" t="s">
        <v>336</v>
      </c>
      <c r="P18" s="13" t="s">
        <v>125</v>
      </c>
    </row>
    <row r="19" spans="1:37" ht="16" customHeight="1" x14ac:dyDescent="0.2">
      <c r="A19" s="13" t="s">
        <v>117</v>
      </c>
      <c r="C19" t="str">
        <f>RIGHT(A19,1)</f>
        <v>1</v>
      </c>
      <c r="D19" t="str">
        <f>E19 &amp; IF(F19&lt;&gt;"", "_" &amp; F19, "_") &amp; IF(G19&lt;&gt;"", "_" &amp; G19, "_") &amp; IF(B19&lt;&gt;"", "_" &amp; B19, "")</f>
        <v>Heffner_Masterton_1975</v>
      </c>
      <c r="E19" s="2" t="str">
        <f>SUBSTITUTE(SUBSTITUTE(_xlfn.TEXTBEFORE(A19,","), "-", ""), " ", "")</f>
        <v>Heffner</v>
      </c>
      <c r="F19" s="2" t="str">
        <f>IF(ISNUMBER(FIND("&amp;", A19)),
    IF(LEN(A19)-LEN(SUBSTITUTE(A19, ",", ""))&gt;=6, "etal", MID(A19, SEARCH("&amp; ", A19)+2, SEARCH(",", A19, SEARCH("&amp; ", A19)+2) - SEARCH("&amp; ", A19)-2)),
    ""
)</f>
        <v>Masterton</v>
      </c>
      <c r="G19" s="2" t="str">
        <f>_xlfn.TEXTBEFORE(_xlfn.TEXTAFTER(A19, "("), ")")</f>
        <v>1975</v>
      </c>
      <c r="H19" t="str">
        <f>_xlfn.TEXTAFTER(A19,"https://doi.org/")</f>
        <v>10.1159/000124401</v>
      </c>
      <c r="J19" s="13" t="s">
        <v>118</v>
      </c>
      <c r="K19" s="1" t="str">
        <f>TRIM(_xlfn.TEXTJOIN("_",FALSE,D19,(SUBSTITUTE(SUBSTITUTE(J19," ",""), "_", ""))))</f>
        <v>Heffner_Masterton_1975_TableI</v>
      </c>
      <c r="L19" s="1" t="str">
        <f>IF(ISBLANK(I19),TRIM(SUBSTITUTE(SUBSTITUTE(SUBSTITUTE(_xlfn.TEXTJOIN("_", FALSE, H19, SUBSTITUTE(J19,"_", "")), "/", "%2F"), ":", "%3A"), " ", "")),TRIM(SUBSTITUTE(SUBSTITUTE(SUBSTITUTE(_xlfn.TEXTJOIN("_", FALSE, I19, SUBSTITUTE(J19,"_", "")), "/", "%2F"), ":", "%3A"), " ", "")))</f>
        <v>10.1159%2F000124401_TableI</v>
      </c>
      <c r="M19" t="str">
        <f t="array" ref="M19">IFERROR(INDEX(FileList!$A$1:$A$43, MATCH(L19, _xlfn.TEXTBEFORE(FileList!$A$1:$A$43, ".tsv"), 0)), "notfound")</f>
        <v>10.1159%2F000124401_TableI.tsv</v>
      </c>
      <c r="P19" s="13" t="s">
        <v>41</v>
      </c>
      <c r="Q19" s="13" t="s">
        <v>53</v>
      </c>
      <c r="R19" s="13" t="s">
        <v>119</v>
      </c>
      <c r="S19" s="13" t="s">
        <v>55</v>
      </c>
      <c r="T19" s="13" t="s">
        <v>120</v>
      </c>
      <c r="U19" s="13" t="s">
        <v>57</v>
      </c>
      <c r="V19" s="13" t="s">
        <v>46</v>
      </c>
      <c r="W19" s="13" t="s">
        <v>78</v>
      </c>
      <c r="Y19" s="13" t="s">
        <v>121</v>
      </c>
      <c r="Z19" s="13" t="s">
        <v>122</v>
      </c>
      <c r="AC19" s="13" t="s">
        <v>123</v>
      </c>
      <c r="AE19" s="13" t="s">
        <v>37</v>
      </c>
      <c r="AI19" s="13">
        <v>7</v>
      </c>
      <c r="AK19" s="13">
        <v>12</v>
      </c>
    </row>
    <row r="20" spans="1:37" ht="16" customHeight="1" x14ac:dyDescent="0.2">
      <c r="A20" s="13" t="s">
        <v>124</v>
      </c>
      <c r="C20" t="str">
        <f>RIGHT(A20,1)</f>
        <v>4</v>
      </c>
      <c r="D20" t="str">
        <f>E20 &amp; IF(F20&lt;&gt;"", "_" &amp; F20, "_") &amp; IF(G20&lt;&gt;"", "_" &amp; G20, "_") &amp; IF(B20&lt;&gt;"", "_" &amp; B20, "")</f>
        <v>Heffner_Masterton_1983</v>
      </c>
      <c r="E20" s="2" t="str">
        <f>SUBSTITUTE(SUBSTITUTE(_xlfn.TEXTBEFORE(A20,","), "-", ""), " ", "")</f>
        <v>Heffner</v>
      </c>
      <c r="F20" s="2" t="str">
        <f>IF(ISNUMBER(FIND("&amp;", A20)),
    IF(LEN(A20)-LEN(SUBSTITUTE(A20, ",", ""))&gt;=6, "etal", MID(A20, SEARCH("&amp; ", A20)+2, SEARCH(",", A20, SEARCH("&amp; ", A20)+2) - SEARCH("&amp; ", A20)-2)),
    ""
)</f>
        <v>Masterton</v>
      </c>
      <c r="G20" s="2" t="str">
        <f>_xlfn.TEXTBEFORE(_xlfn.TEXTAFTER(A20, "("), ")")</f>
        <v>1983</v>
      </c>
      <c r="H20" t="str">
        <f>_xlfn.TEXTAFTER(A20,"https://doi.org/")</f>
        <v>10.1159/000121494</v>
      </c>
      <c r="J20" s="13" t="s">
        <v>118</v>
      </c>
      <c r="K20" s="1" t="str">
        <f>TRIM(_xlfn.TEXTJOIN("_",FALSE,D20,(SUBSTITUTE(SUBSTITUTE(J20," ",""), "_", ""))))</f>
        <v>Heffner_Masterton_1983_TableI</v>
      </c>
      <c r="L20" s="1" t="str">
        <f>IF(ISBLANK(I20),TRIM(SUBSTITUTE(SUBSTITUTE(SUBSTITUTE(_xlfn.TEXTJOIN("_", FALSE, H20, SUBSTITUTE(J20,"_", "")), "/", "%2F"), ":", "%3A"), " ", "")),TRIM(SUBSTITUTE(SUBSTITUTE(SUBSTITUTE(_xlfn.TEXTJOIN("_", FALSE, I20, SUBSTITUTE(J20,"_", "")), "/", "%2F"), ":", "%3A"), " ", "")))</f>
        <v>10.1159%2F000121494_TableI</v>
      </c>
      <c r="M20" t="str">
        <f t="array" ref="M20">IFERROR(INDEX(FileList!$A$1:$A$43, MATCH(L20, _xlfn.TEXTBEFORE(FileList!$A$1:$A$43, ".tsv"), 0)), "notfound")</f>
        <v>notfound</v>
      </c>
      <c r="P20" s="13" t="s">
        <v>125</v>
      </c>
      <c r="Q20" s="13" t="s">
        <v>35</v>
      </c>
      <c r="R20" s="14"/>
      <c r="T20" s="13" t="str">
        <f>IF(S20="N", R20, "write file name")</f>
        <v>write file name</v>
      </c>
      <c r="U20" s="13" t="s">
        <v>57</v>
      </c>
      <c r="V20" s="13" t="s">
        <v>46</v>
      </c>
      <c r="W20" s="13" t="s">
        <v>78</v>
      </c>
      <c r="Y20" s="13" t="s">
        <v>121</v>
      </c>
      <c r="AE20" s="13" t="s">
        <v>37</v>
      </c>
      <c r="AG20" s="13" t="s">
        <v>126</v>
      </c>
    </row>
    <row r="21" spans="1:37" ht="16" customHeight="1" x14ac:dyDescent="0.2">
      <c r="A21" s="13" t="s">
        <v>127</v>
      </c>
      <c r="C21" t="str">
        <f>RIGHT(A21,1)</f>
        <v>8</v>
      </c>
      <c r="D21" t="str">
        <f>E21 &amp; IF(F21&lt;&gt;"", "_" &amp; F21, "_") &amp; IF(G21&lt;&gt;"", "_" &amp; G21, "_") &amp; IF(B21&lt;&gt;"", "_" &amp; B21, "")</f>
        <v>Heldstab_etal_2016</v>
      </c>
      <c r="E21" s="2" t="str">
        <f>SUBSTITUTE(SUBSTITUTE(_xlfn.TEXTBEFORE(A21,","), "-", ""), " ", "")</f>
        <v>Heldstab</v>
      </c>
      <c r="F21" s="2" t="str">
        <f>IF(ISNUMBER(FIND("&amp;", A21)),
    IF(LEN(A21)-LEN(SUBSTITUTE(A21, ",", ""))&gt;=6, "etal", MID(A21, SEARCH("&amp; ", A21)+2, SEARCH(",", A21, SEARCH("&amp; ", A21)+2) - SEARCH("&amp; ", A21)-2)),
    ""
)</f>
        <v>etal</v>
      </c>
      <c r="G21" s="2" t="str">
        <f>_xlfn.TEXTBEFORE(_xlfn.TEXTAFTER(A21, "("), ")")</f>
        <v>2016</v>
      </c>
      <c r="H21" t="str">
        <f>_xlfn.TEXTAFTER(A21,"https://doi.org/")</f>
        <v>10.1038/srep24528</v>
      </c>
      <c r="J21" s="13" t="s">
        <v>91</v>
      </c>
      <c r="K21" s="1" t="str">
        <f>TRIM(_xlfn.TEXTJOIN("_",FALSE,D21,(SUBSTITUTE(SUBSTITUTE(J21," ",""), "_", ""))))</f>
        <v>Heldstab_etal_2016_TableS1</v>
      </c>
      <c r="L21" s="1" t="str">
        <f>IF(ISBLANK(I21),TRIM(SUBSTITUTE(SUBSTITUTE(SUBSTITUTE(_xlfn.TEXTJOIN("_", FALSE, H21, SUBSTITUTE(J21,"_", "")), "/", "%2F"), ":", "%3A"), " ", "")),TRIM(SUBSTITUTE(SUBSTITUTE(SUBSTITUTE(_xlfn.TEXTJOIN("_", FALSE, I21, SUBSTITUTE(J21,"_", "")), "/", "%2F"), ":", "%3A"), " ", "")))</f>
        <v>10.1038%2Fsrep24528_TableS1</v>
      </c>
      <c r="M21" t="str">
        <f t="array" ref="M21">IFERROR(INDEX(FileList!$A$1:$A$43, MATCH(L21, _xlfn.TEXTBEFORE(FileList!$A$1:$A$43, ".tsv"), 0)), "notfound")</f>
        <v>notfound</v>
      </c>
      <c r="P21" s="13" t="s">
        <v>125</v>
      </c>
      <c r="Q21" s="13" t="s">
        <v>35</v>
      </c>
      <c r="R21" s="14"/>
      <c r="T21" s="13" t="str">
        <f>IF(S21="N", R21, "write file name")</f>
        <v>write file name</v>
      </c>
      <c r="U21" s="13" t="s">
        <v>57</v>
      </c>
      <c r="V21" s="13" t="s">
        <v>46</v>
      </c>
      <c r="Y21" s="13" t="s">
        <v>128</v>
      </c>
      <c r="AE21" s="13" t="s">
        <v>64</v>
      </c>
    </row>
    <row r="22" spans="1:37" ht="16" customHeight="1" x14ac:dyDescent="0.2">
      <c r="A22" s="13" t="s">
        <v>212</v>
      </c>
      <c r="C22" t="str">
        <f>RIGHT(A22,1)</f>
        <v>5</v>
      </c>
      <c r="D22" t="str">
        <f>E22 &amp; IF(F22&lt;&gt;"", "_" &amp; F22, "_") &amp; IF(G22&lt;&gt;"", "_" &amp; G22, "_") &amp; IF(B22&lt;&gt;"", "_" &amp; B22, "")</f>
        <v>HerculanoHouzel_etal_2013</v>
      </c>
      <c r="E22" s="2" t="str">
        <f>SUBSTITUTE(SUBSTITUTE(_xlfn.TEXTBEFORE(A22,","), "-", ""), " ", "")</f>
        <v>HerculanoHouzel</v>
      </c>
      <c r="F22" s="2" t="str">
        <f>IF(ISNUMBER(FIND("&amp;", A22)),
    IF(LEN(A22)-LEN(SUBSTITUTE(A22, ",", ""))&gt;=6, "etal", MID(A22, SEARCH("&amp; ", A22)+2, SEARCH(",", A22, SEARCH("&amp; ", A22)+2) - SEARCH("&amp; ", A22)-2)),
    ""
)</f>
        <v>etal</v>
      </c>
      <c r="G22" s="2" t="str">
        <f>_xlfn.TEXTBEFORE(_xlfn.TEXTAFTER(A22, "("), ")")</f>
        <v>2013</v>
      </c>
      <c r="H22" t="str">
        <f>_xlfn.TEXTAFTER(A22,"https://doi.org/")</f>
        <v>10.3389/fnana.2013.00035</v>
      </c>
      <c r="J22" s="13" t="s">
        <v>213</v>
      </c>
      <c r="K22" s="1" t="str">
        <f>TRIM(_xlfn.TEXTJOIN("_",FALSE,D22,(SUBSTITUTE(SUBSTITUTE(J22," ",""), "_", ""))))</f>
        <v>HerculanoHouzel_etal_2013_Figure2TopLeft</v>
      </c>
      <c r="L22" s="1" t="str">
        <f>IF(ISBLANK(I22),TRIM(SUBSTITUTE(SUBSTITUTE(SUBSTITUTE(_xlfn.TEXTJOIN("_", FALSE, H22, SUBSTITUTE(J22,"_", "")), "/", "%2F"), ":", "%3A"), " ", "")),TRIM(SUBSTITUTE(SUBSTITUTE(SUBSTITUTE(_xlfn.TEXTJOIN("_", FALSE, I22, SUBSTITUTE(J22,"_", "")), "/", "%2F"), ":", "%3A"), " ", "")))</f>
        <v>10.3389%2Ffnana.2013.00035_Figure2TopLeft</v>
      </c>
      <c r="M22" t="str">
        <f t="array" ref="M22">IFERROR(INDEX(FileList!$A$1:$A$43, MATCH(L22, _xlfn.TEXTBEFORE(FileList!$A$1:$A$43, ".tsv"), 0)), "notfound")</f>
        <v>10.3389%2Ffnana.2013.00035_Figure2TopLeft.tsv</v>
      </c>
      <c r="Q22" s="13" t="s">
        <v>42</v>
      </c>
      <c r="AI22" s="13" t="s">
        <v>214</v>
      </c>
    </row>
    <row r="23" spans="1:37" ht="19" customHeight="1" x14ac:dyDescent="0.2">
      <c r="A23" s="13" t="s">
        <v>212</v>
      </c>
      <c r="C23" t="str">
        <f>RIGHT(A23,1)</f>
        <v>5</v>
      </c>
      <c r="D23" t="str">
        <f>E23 &amp; IF(F23&lt;&gt;"", "_" &amp; F23, "_") &amp; IF(G23&lt;&gt;"", "_" &amp; G23, "_") &amp; IF(B23&lt;&gt;"", "_" &amp; B23, "")</f>
        <v>HerculanoHouzel_etal_2013</v>
      </c>
      <c r="E23" s="2" t="str">
        <f>SUBSTITUTE(SUBSTITUTE(_xlfn.TEXTBEFORE(A23,","), "-", ""), " ", "")</f>
        <v>HerculanoHouzel</v>
      </c>
      <c r="F23" s="2" t="str">
        <f>IF(ISNUMBER(FIND("&amp;", A23)),
    IF(LEN(A23)-LEN(SUBSTITUTE(A23, ",", ""))&gt;=6, "etal", MID(A23, SEARCH("&amp; ", A23)+2, SEARCH(",", A23, SEARCH("&amp; ", A23)+2) - SEARCH("&amp; ", A23)-2)),
    ""
)</f>
        <v>etal</v>
      </c>
      <c r="G23" s="2" t="str">
        <f>_xlfn.TEXTBEFORE(_xlfn.TEXTAFTER(A23, "("), ")")</f>
        <v>2013</v>
      </c>
      <c r="H23" t="str">
        <f>_xlfn.TEXTAFTER(A23,"https://doi.org/")</f>
        <v>10.3389/fnana.2013.00035</v>
      </c>
      <c r="J23" s="13" t="s">
        <v>215</v>
      </c>
      <c r="K23" s="1" t="str">
        <f>TRIM(_xlfn.TEXTJOIN("_",FALSE,D23,(SUBSTITUTE(SUBSTITUTE(J23," ",""), "_", ""))))</f>
        <v>HerculanoHouzel_etal_2013_Table1-a</v>
      </c>
      <c r="L23" s="1" t="str">
        <f>IF(ISBLANK(I23),TRIM(SUBSTITUTE(SUBSTITUTE(SUBSTITUTE(_xlfn.TEXTJOIN("_", FALSE, H23, SUBSTITUTE(J23,"_", "")), "/", "%2F"), ":", "%3A"), " ", "")),TRIM(SUBSTITUTE(SUBSTITUTE(SUBSTITUTE(_xlfn.TEXTJOIN("_", FALSE, I23, SUBSTITUTE(J23,"_", "")), "/", "%2F"), ":", "%3A"), " ", "")))</f>
        <v>10.3389%2Ffnana.2013.00035_Table1-a</v>
      </c>
      <c r="M23" t="str">
        <f t="array" ref="M23">IFERROR(INDEX(FileList!$A$1:$A$43, MATCH(L23, _xlfn.TEXTBEFORE(FileList!$A$1:$A$43, ".tsv"), 0)), "notfound")</f>
        <v>10.3389%2Ffnana.2013.00035_Table1-a.tsv</v>
      </c>
      <c r="Q23" s="13" t="s">
        <v>42</v>
      </c>
      <c r="AI23" s="13" t="s">
        <v>214</v>
      </c>
    </row>
    <row r="24" spans="1:37" ht="17" customHeight="1" x14ac:dyDescent="0.2">
      <c r="A24" s="13" t="s">
        <v>212</v>
      </c>
      <c r="C24" t="str">
        <f>RIGHT(A24,1)</f>
        <v>5</v>
      </c>
      <c r="D24" t="str">
        <f>E24 &amp; IF(F24&lt;&gt;"", "_" &amp; F24, "_") &amp; IF(G24&lt;&gt;"", "_" &amp; G24, "_") &amp; IF(B24&lt;&gt;"", "_" &amp; B24, "")</f>
        <v>HerculanoHouzel_etal_2013</v>
      </c>
      <c r="E24" s="2" t="str">
        <f>SUBSTITUTE(SUBSTITUTE(_xlfn.TEXTBEFORE(A24,","), "-", ""), " ", "")</f>
        <v>HerculanoHouzel</v>
      </c>
      <c r="F24" s="2" t="str">
        <f>IF(ISNUMBER(FIND("&amp;", A24)),
    IF(LEN(A24)-LEN(SUBSTITUTE(A24, ",", ""))&gt;=6, "etal", MID(A24, SEARCH("&amp; ", A24)+2, SEARCH(",", A24, SEARCH("&amp; ", A24)+2) - SEARCH("&amp; ", A24)-2)),
    ""
)</f>
        <v>etal</v>
      </c>
      <c r="G24" s="2" t="str">
        <f>_xlfn.TEXTBEFORE(_xlfn.TEXTAFTER(A24, "("), ")")</f>
        <v>2013</v>
      </c>
      <c r="H24" t="str">
        <f>_xlfn.TEXTAFTER(A24,"https://doi.org/")</f>
        <v>10.3389/fnana.2013.00035</v>
      </c>
      <c r="J24" s="13" t="s">
        <v>216</v>
      </c>
      <c r="K24" s="1" t="str">
        <f>TRIM(_xlfn.TEXTJOIN("_",FALSE,D24,(SUBSTITUTE(SUBSTITUTE(J24," ",""), "_", ""))))</f>
        <v>HerculanoHouzel_etal_2013_Table1-b</v>
      </c>
      <c r="L24" s="1" t="str">
        <f>IF(ISBLANK(I24),TRIM(SUBSTITUTE(SUBSTITUTE(SUBSTITUTE(_xlfn.TEXTJOIN("_", FALSE, H24, SUBSTITUTE(J24,"_", "")), "/", "%2F"), ":", "%3A"), " ", "")),TRIM(SUBSTITUTE(SUBSTITUTE(SUBSTITUTE(_xlfn.TEXTJOIN("_", FALSE, I24, SUBSTITUTE(J24,"_", "")), "/", "%2F"), ":", "%3A"), " ", "")))</f>
        <v>10.3389%2Ffnana.2013.00035_Table1-b</v>
      </c>
      <c r="M24" t="str">
        <f t="array" ref="M24">IFERROR(INDEX(FileList!$A$1:$A$43, MATCH(L24, _xlfn.TEXTBEFORE(FileList!$A$1:$A$43, ".tsv"), 0)), "notfound")</f>
        <v>10.3389%2Ffnana.2013.00035_Table1-b.tsv</v>
      </c>
      <c r="Q24" s="13" t="s">
        <v>42</v>
      </c>
      <c r="AI24" s="13" t="s">
        <v>214</v>
      </c>
    </row>
    <row r="25" spans="1:37" ht="17" customHeight="1" x14ac:dyDescent="0.2">
      <c r="A25" s="13" t="s">
        <v>129</v>
      </c>
      <c r="C25" t="str">
        <f>RIGHT(A25,1)</f>
        <v>3</v>
      </c>
      <c r="D25" t="str">
        <f>E25 &amp; IF(F25&lt;&gt;"", "_" &amp; F25, "_") &amp; IF(G25&lt;&gt;"", "_" &amp; G25, "_") &amp; IF(B25&lt;&gt;"", "_" &amp; B25, "")</f>
        <v>HerculanoHouzel_etal_2015</v>
      </c>
      <c r="E25" s="2" t="str">
        <f>SUBSTITUTE(SUBSTITUTE(_xlfn.TEXTBEFORE(A25,","), "-", ""), " ", "")</f>
        <v>HerculanoHouzel</v>
      </c>
      <c r="F25" s="2" t="str">
        <f>IF(ISNUMBER(FIND("&amp;", A25)),
    IF(LEN(A25)-LEN(SUBSTITUTE(A25, ",", ""))&gt;=6, "etal", MID(A25, SEARCH("&amp; ", A25)+2, SEARCH(",", A25, SEARCH("&amp; ", A25)+2) - SEARCH("&amp; ", A25)-2)),
    ""
)</f>
        <v>etal</v>
      </c>
      <c r="G25" s="2" t="str">
        <f>_xlfn.TEXTBEFORE(_xlfn.TEXTAFTER(A25, "("), ")")</f>
        <v>2015</v>
      </c>
      <c r="H25" t="str">
        <f>_xlfn.TEXTAFTER(A25,"https://doi.org/")</f>
        <v>10.1159/000437413</v>
      </c>
      <c r="J25" s="13" t="s">
        <v>52</v>
      </c>
      <c r="K25" s="1" t="str">
        <f>TRIM(_xlfn.TEXTJOIN("_",FALSE,D25,(SUBSTITUTE(SUBSTITUTE(J25," ",""), "_", ""))))</f>
        <v>HerculanoHouzel_etal_2015_Table1</v>
      </c>
      <c r="L25" s="1" t="str">
        <f>IF(ISBLANK(I25),TRIM(SUBSTITUTE(SUBSTITUTE(SUBSTITUTE(_xlfn.TEXTJOIN("_", FALSE, H25, SUBSTITUTE(J25,"_", "")), "/", "%2F"), ":", "%3A"), " ", "")),TRIM(SUBSTITUTE(SUBSTITUTE(SUBSTITUTE(_xlfn.TEXTJOIN("_", FALSE, I25, SUBSTITUTE(J25,"_", "")), "/", "%2F"), ":", "%3A"), " ", "")))</f>
        <v>10.1159%2F000437413_Table1</v>
      </c>
      <c r="M25" t="str">
        <f t="array" ref="M25">IFERROR(INDEX(FileList!$A$1:$A$43, MATCH(L25, _xlfn.TEXTBEFORE(FileList!$A$1:$A$43, ".tsv"), 0)), "notfound")</f>
        <v>10.1159%2F000437413_Table1.tsv</v>
      </c>
      <c r="N25" s="13" t="s">
        <v>133</v>
      </c>
      <c r="P25" s="13" t="s">
        <v>41</v>
      </c>
      <c r="Q25" s="13" t="s">
        <v>53</v>
      </c>
      <c r="R25" s="14" t="s">
        <v>130</v>
      </c>
      <c r="S25" s="13" t="s">
        <v>55</v>
      </c>
      <c r="T25" s="13" t="s">
        <v>131</v>
      </c>
      <c r="U25" s="13" t="s">
        <v>57</v>
      </c>
      <c r="V25" s="13" t="s">
        <v>46</v>
      </c>
      <c r="W25" s="13" t="s">
        <v>58</v>
      </c>
      <c r="X25" s="13" t="s">
        <v>132</v>
      </c>
      <c r="Y25" s="13" t="s">
        <v>98</v>
      </c>
      <c r="AA25" s="13" t="s">
        <v>100</v>
      </c>
      <c r="AB25" s="13" t="s">
        <v>100</v>
      </c>
      <c r="AE25" s="13" t="s">
        <v>134</v>
      </c>
      <c r="AI25" s="13">
        <v>9</v>
      </c>
      <c r="AK25" s="13">
        <v>15</v>
      </c>
    </row>
    <row r="26" spans="1:37" ht="17" customHeight="1" x14ac:dyDescent="0.2">
      <c r="A26" s="13" t="s">
        <v>129</v>
      </c>
      <c r="C26" t="str">
        <f>RIGHT(A26,1)</f>
        <v>3</v>
      </c>
      <c r="D26" t="str">
        <f>E26 &amp; IF(F26&lt;&gt;"", "_" &amp; F26, "_") &amp; IF(G26&lt;&gt;"", "_" &amp; G26, "_") &amp; IF(B26&lt;&gt;"", "_" &amp; B26, "")</f>
        <v>HerculanoHouzel_etal_2015</v>
      </c>
      <c r="E26" s="2" t="str">
        <f>SUBSTITUTE(SUBSTITUTE(_xlfn.TEXTBEFORE(A26,","), "-", ""), " ", "")</f>
        <v>HerculanoHouzel</v>
      </c>
      <c r="F26" s="2" t="str">
        <f>IF(ISNUMBER(FIND("&amp;", A26)),
    IF(LEN(A26)-LEN(SUBSTITUTE(A26, ",", ""))&gt;=6, "etal", MID(A26, SEARCH("&amp; ", A26)+2, SEARCH(",", A26, SEARCH("&amp; ", A26)+2) - SEARCH("&amp; ", A26)-2)),
    ""
)</f>
        <v>etal</v>
      </c>
      <c r="G26" s="2" t="str">
        <f>_xlfn.TEXTBEFORE(_xlfn.TEXTAFTER(A26, "("), ")")</f>
        <v>2015</v>
      </c>
      <c r="H26" t="str">
        <f>_xlfn.TEXTAFTER(A26,"https://doi.org/")</f>
        <v>10.1159/000437413</v>
      </c>
      <c r="J26" s="13" t="s">
        <v>135</v>
      </c>
      <c r="K26" s="1" t="str">
        <f>TRIM(_xlfn.TEXTJOIN("_",FALSE,D26,(SUBSTITUTE(SUBSTITUTE(J26," ",""), "_", ""))))</f>
        <v>HerculanoHouzel_etal_2015_Table2</v>
      </c>
      <c r="L26" s="1" t="str">
        <f>IF(ISBLANK(I26),TRIM(SUBSTITUTE(SUBSTITUTE(SUBSTITUTE(_xlfn.TEXTJOIN("_", FALSE, H26, SUBSTITUTE(J26,"_", "")), "/", "%2F"), ":", "%3A"), " ", "")),TRIM(SUBSTITUTE(SUBSTITUTE(SUBSTITUTE(_xlfn.TEXTJOIN("_", FALSE, I26, SUBSTITUTE(J26,"_", "")), "/", "%2F"), ":", "%3A"), " ", "")))</f>
        <v>10.1159%2F000437413_Table2</v>
      </c>
      <c r="M26" t="str">
        <f t="array" ref="M26">IFERROR(INDEX(FileList!$A$1:$A$43, MATCH(L26, _xlfn.TEXTBEFORE(FileList!$A$1:$A$43, ".tsv"), 0)), "notfound")</f>
        <v>10.1159%2F000437413_Table2.tsv</v>
      </c>
      <c r="N26" s="13" t="s">
        <v>138</v>
      </c>
      <c r="P26" s="13" t="s">
        <v>41</v>
      </c>
      <c r="Q26" s="13" t="s">
        <v>53</v>
      </c>
      <c r="R26" s="14" t="s">
        <v>136</v>
      </c>
      <c r="S26" s="13" t="s">
        <v>55</v>
      </c>
      <c r="T26" s="13" t="s">
        <v>137</v>
      </c>
      <c r="U26" s="13" t="s">
        <v>57</v>
      </c>
      <c r="V26" s="13" t="s">
        <v>46</v>
      </c>
      <c r="W26" s="13" t="s">
        <v>58</v>
      </c>
      <c r="X26" s="13" t="s">
        <v>132</v>
      </c>
      <c r="Y26" s="13" t="s">
        <v>98</v>
      </c>
      <c r="AA26" s="13" t="s">
        <v>100</v>
      </c>
      <c r="AB26" s="13" t="s">
        <v>100</v>
      </c>
      <c r="AE26" s="13" t="s">
        <v>134</v>
      </c>
      <c r="AI26" s="13">
        <v>9</v>
      </c>
      <c r="AK26" s="13">
        <v>16</v>
      </c>
    </row>
    <row r="27" spans="1:37" ht="17" customHeight="1" x14ac:dyDescent="0.2">
      <c r="A27" s="13" t="s">
        <v>129</v>
      </c>
      <c r="C27" t="str">
        <f>RIGHT(A27,1)</f>
        <v>3</v>
      </c>
      <c r="D27" t="str">
        <f>E27 &amp; IF(F27&lt;&gt;"", "_" &amp; F27, "_") &amp; IF(G27&lt;&gt;"", "_" &amp; G27, "_") &amp; IF(B27&lt;&gt;"", "_" &amp; B27, "")</f>
        <v>HerculanoHouzel_etal_2015</v>
      </c>
      <c r="E27" s="2" t="str">
        <f>SUBSTITUTE(SUBSTITUTE(_xlfn.TEXTBEFORE(A27,","), "-", ""), " ", "")</f>
        <v>HerculanoHouzel</v>
      </c>
      <c r="F27" s="2" t="str">
        <f>IF(ISNUMBER(FIND("&amp;", A27)),
    IF(LEN(A27)-LEN(SUBSTITUTE(A27, ",", ""))&gt;=6, "etal", MID(A27, SEARCH("&amp; ", A27)+2, SEARCH(",", A27, SEARCH("&amp; ", A27)+2) - SEARCH("&amp; ", A27)-2)),
    ""
)</f>
        <v>etal</v>
      </c>
      <c r="G27" s="2" t="str">
        <f>_xlfn.TEXTBEFORE(_xlfn.TEXTAFTER(A27, "("), ")")</f>
        <v>2015</v>
      </c>
      <c r="H27" t="str">
        <f>_xlfn.TEXTAFTER(A27,"https://doi.org/")</f>
        <v>10.1159/000437413</v>
      </c>
      <c r="J27" s="13" t="s">
        <v>139</v>
      </c>
      <c r="K27" s="1" t="str">
        <f>TRIM(_xlfn.TEXTJOIN("_",FALSE,D27,(SUBSTITUTE(SUBSTITUTE(J27," ",""), "_", ""))))</f>
        <v>HerculanoHouzel_etal_2015_Table3</v>
      </c>
      <c r="L27" s="1" t="str">
        <f>IF(ISBLANK(I27),TRIM(SUBSTITUTE(SUBSTITUTE(SUBSTITUTE(_xlfn.TEXTJOIN("_", FALSE, H27, SUBSTITUTE(J27,"_", "")), "/", "%2F"), ":", "%3A"), " ", "")),TRIM(SUBSTITUTE(SUBSTITUTE(SUBSTITUTE(_xlfn.TEXTJOIN("_", FALSE, I27, SUBSTITUTE(J27,"_", "")), "/", "%2F"), ":", "%3A"), " ", "")))</f>
        <v>10.1159%2F000437413_Table3</v>
      </c>
      <c r="M27" t="str">
        <f t="array" ref="M27">IFERROR(INDEX(FileList!$A$1:$A$43, MATCH(L27, _xlfn.TEXTBEFORE(FileList!$A$1:$A$43, ".tsv"), 0)), "notfound")</f>
        <v>10.1159%2F000437413_Table3.tsv</v>
      </c>
      <c r="N27" s="13" t="s">
        <v>142</v>
      </c>
      <c r="P27" s="13" t="s">
        <v>41</v>
      </c>
      <c r="Q27" s="13" t="s">
        <v>53</v>
      </c>
      <c r="R27" s="14" t="s">
        <v>140</v>
      </c>
      <c r="S27" s="13" t="s">
        <v>55</v>
      </c>
      <c r="T27" s="13" t="s">
        <v>141</v>
      </c>
      <c r="U27" s="13" t="s">
        <v>57</v>
      </c>
      <c r="V27" s="13" t="s">
        <v>46</v>
      </c>
      <c r="W27" s="13" t="s">
        <v>58</v>
      </c>
      <c r="X27" s="13" t="s">
        <v>132</v>
      </c>
      <c r="Y27" s="13" t="s">
        <v>98</v>
      </c>
      <c r="AA27" s="13" t="s">
        <v>100</v>
      </c>
      <c r="AB27" s="13" t="s">
        <v>100</v>
      </c>
      <c r="AE27" s="13" t="s">
        <v>134</v>
      </c>
      <c r="AI27" s="13">
        <v>9</v>
      </c>
      <c r="AK27" s="13">
        <v>15</v>
      </c>
    </row>
    <row r="28" spans="1:37" ht="16" customHeight="1" x14ac:dyDescent="0.2">
      <c r="A28" s="13" t="s">
        <v>129</v>
      </c>
      <c r="C28" t="str">
        <f>RIGHT(A28,1)</f>
        <v>3</v>
      </c>
      <c r="D28" t="str">
        <f>E28 &amp; IF(F28&lt;&gt;"", "_" &amp; F28, "_") &amp; IF(G28&lt;&gt;"", "_" &amp; G28, "_") &amp; IF(B28&lt;&gt;"", "_" &amp; B28, "")</f>
        <v>HerculanoHouzel_etal_2015</v>
      </c>
      <c r="E28" s="2" t="str">
        <f>SUBSTITUTE(SUBSTITUTE(_xlfn.TEXTBEFORE(A28,","), "-", ""), " ", "")</f>
        <v>HerculanoHouzel</v>
      </c>
      <c r="F28" s="2" t="str">
        <f>IF(ISNUMBER(FIND("&amp;", A28)),
    IF(LEN(A28)-LEN(SUBSTITUTE(A28, ",", ""))&gt;=6, "etal", MID(A28, SEARCH("&amp; ", A28)+2, SEARCH(",", A28, SEARCH("&amp; ", A28)+2) - SEARCH("&amp; ", A28)-2)),
    ""
)</f>
        <v>etal</v>
      </c>
      <c r="G28" s="2" t="str">
        <f>_xlfn.TEXTBEFORE(_xlfn.TEXTAFTER(A28, "("), ")")</f>
        <v>2015</v>
      </c>
      <c r="H28" t="str">
        <f>_xlfn.TEXTAFTER(A28,"https://doi.org/")</f>
        <v>10.1159/000437413</v>
      </c>
      <c r="J28" s="13" t="s">
        <v>143</v>
      </c>
      <c r="K28" s="1" t="str">
        <f>TRIM(_xlfn.TEXTJOIN("_",FALSE,D28,(SUBSTITUTE(SUBSTITUTE(J28," ",""), "_", ""))))</f>
        <v>HerculanoHouzel_etal_2015_Table4</v>
      </c>
      <c r="L28" s="1" t="str">
        <f>IF(ISBLANK(I28),TRIM(SUBSTITUTE(SUBSTITUTE(SUBSTITUTE(_xlfn.TEXTJOIN("_", FALSE, H28, SUBSTITUTE(J28,"_", "")), "/", "%2F"), ":", "%3A"), " ", "")),TRIM(SUBSTITUTE(SUBSTITUTE(SUBSTITUTE(_xlfn.TEXTJOIN("_", FALSE, I28, SUBSTITUTE(J28,"_", "")), "/", "%2F"), ":", "%3A"), " ", "")))</f>
        <v>10.1159%2F000437413_Table4</v>
      </c>
      <c r="M28" t="str">
        <f t="array" ref="M28">IFERROR(INDEX(FileList!$A$1:$A$43, MATCH(L28, _xlfn.TEXTBEFORE(FileList!$A$1:$A$43, ".tsv"), 0)), "notfound")</f>
        <v>10.1159%2F000437413_Table4.tsv</v>
      </c>
      <c r="N28" s="13" t="s">
        <v>146</v>
      </c>
      <c r="P28" s="13" t="s">
        <v>41</v>
      </c>
      <c r="Q28" s="13" t="s">
        <v>53</v>
      </c>
      <c r="R28" s="14" t="s">
        <v>144</v>
      </c>
      <c r="S28" s="13" t="s">
        <v>55</v>
      </c>
      <c r="T28" s="13" t="s">
        <v>145</v>
      </c>
      <c r="U28" s="13" t="s">
        <v>57</v>
      </c>
      <c r="V28" s="13" t="s">
        <v>46</v>
      </c>
      <c r="W28" s="13" t="s">
        <v>58</v>
      </c>
      <c r="X28" s="13" t="s">
        <v>132</v>
      </c>
      <c r="Y28" s="13" t="s">
        <v>98</v>
      </c>
      <c r="AA28" s="13" t="s">
        <v>100</v>
      </c>
      <c r="AB28" s="13" t="s">
        <v>100</v>
      </c>
      <c r="AE28" s="13" t="s">
        <v>134</v>
      </c>
      <c r="AI28" s="13">
        <v>8</v>
      </c>
      <c r="AK28" s="13">
        <v>12</v>
      </c>
    </row>
    <row r="29" spans="1:37" ht="16" customHeight="1" x14ac:dyDescent="0.2">
      <c r="A29" s="13" t="s">
        <v>129</v>
      </c>
      <c r="C29" t="str">
        <f>RIGHT(A29,1)</f>
        <v>3</v>
      </c>
      <c r="D29" t="str">
        <f>E29 &amp; IF(F29&lt;&gt;"", "_" &amp; F29, "_") &amp; IF(G29&lt;&gt;"", "_" &amp; G29, "_") &amp; IF(B29&lt;&gt;"", "_" &amp; B29, "")</f>
        <v>HerculanoHouzel_etal_2015</v>
      </c>
      <c r="E29" s="2" t="str">
        <f>SUBSTITUTE(SUBSTITUTE(_xlfn.TEXTBEFORE(A29,","), "-", ""), " ", "")</f>
        <v>HerculanoHouzel</v>
      </c>
      <c r="F29" s="2" t="str">
        <f>IF(ISNUMBER(FIND("&amp;", A29)),
    IF(LEN(A29)-LEN(SUBSTITUTE(A29, ",", ""))&gt;=6, "etal", MID(A29, SEARCH("&amp; ", A29)+2, SEARCH(",", A29, SEARCH("&amp; ", A29)+2) - SEARCH("&amp; ", A29)-2)),
    ""
)</f>
        <v>etal</v>
      </c>
      <c r="G29" s="2" t="str">
        <f>_xlfn.TEXTBEFORE(_xlfn.TEXTAFTER(A29, "("), ")")</f>
        <v>2015</v>
      </c>
      <c r="H29" t="str">
        <f>_xlfn.TEXTAFTER(A29,"https://doi.org/")</f>
        <v>10.1159/000437413</v>
      </c>
      <c r="J29" s="13" t="s">
        <v>147</v>
      </c>
      <c r="K29" s="1" t="str">
        <f>TRIM(_xlfn.TEXTJOIN("_",FALSE,D29,(SUBSTITUTE(SUBSTITUTE(J29," ",""), "_", ""))))</f>
        <v>HerculanoHouzel_etal_2015_Table5</v>
      </c>
      <c r="L29" s="1" t="str">
        <f>IF(ISBLANK(I29),TRIM(SUBSTITUTE(SUBSTITUTE(SUBSTITUTE(_xlfn.TEXTJOIN("_", FALSE, H29, SUBSTITUTE(J29,"_", "")), "/", "%2F"), ":", "%3A"), " ", "")),TRIM(SUBSTITUTE(SUBSTITUTE(SUBSTITUTE(_xlfn.TEXTJOIN("_", FALSE, I29, SUBSTITUTE(J29,"_", "")), "/", "%2F"), ":", "%3A"), " ", "")))</f>
        <v>10.1159%2F000437413_Table5</v>
      </c>
      <c r="M29" t="str">
        <f t="array" ref="M29">IFERROR(INDEX(FileList!$A$1:$A$43, MATCH(L29, _xlfn.TEXTBEFORE(FileList!$A$1:$A$43, ".tsv"), 0)), "notfound")</f>
        <v>10.1159%2F000437413_Table5.tsv</v>
      </c>
      <c r="N29" s="13" t="s">
        <v>150</v>
      </c>
      <c r="P29" s="13" t="s">
        <v>41</v>
      </c>
      <c r="Q29" s="13" t="s">
        <v>53</v>
      </c>
      <c r="R29" s="14" t="s">
        <v>148</v>
      </c>
      <c r="S29" s="13" t="s">
        <v>55</v>
      </c>
      <c r="T29" s="13" t="s">
        <v>149</v>
      </c>
      <c r="U29" s="13" t="s">
        <v>57</v>
      </c>
      <c r="V29" s="13" t="s">
        <v>46</v>
      </c>
      <c r="W29" s="13" t="s">
        <v>58</v>
      </c>
      <c r="X29" s="13" t="s">
        <v>132</v>
      </c>
      <c r="Y29" s="13" t="s">
        <v>98</v>
      </c>
      <c r="AA29" s="13" t="s">
        <v>100</v>
      </c>
      <c r="AB29" s="13" t="s">
        <v>100</v>
      </c>
      <c r="AE29" s="13" t="s">
        <v>134</v>
      </c>
      <c r="AI29" s="13">
        <v>9</v>
      </c>
      <c r="AK29" s="13">
        <v>15</v>
      </c>
    </row>
    <row r="30" spans="1:37" ht="16" customHeight="1" x14ac:dyDescent="0.2">
      <c r="A30" s="13" t="s">
        <v>151</v>
      </c>
      <c r="C30" t="str">
        <f>RIGHT(A30,1)</f>
        <v>5</v>
      </c>
      <c r="D30" t="str">
        <f>E30 &amp; IF(F30&lt;&gt;"", "_" &amp; F30, "_") &amp; IF(G30&lt;&gt;"", "_" &amp; G30, "_") &amp; IF(B30&lt;&gt;"", "_" &amp; B30, "")</f>
        <v>HerculanoHouzel_etal_2020</v>
      </c>
      <c r="E30" s="2" t="str">
        <f>SUBSTITUTE(SUBSTITUTE(_xlfn.TEXTBEFORE(A30,","), "-", ""), " ", "")</f>
        <v>HerculanoHouzel</v>
      </c>
      <c r="F30" s="2" t="str">
        <f>IF(ISNUMBER(FIND("&amp;", A30)),
    IF(LEN(A30)-LEN(SUBSTITUTE(A30, ",", ""))&gt;=6, "etal", MID(A30, SEARCH("&amp; ", A30)+2, SEARCH(",", A30, SEARCH("&amp; ", A30)+2) - SEARCH("&amp; ", A30)-2)),
    ""
)</f>
        <v>etal</v>
      </c>
      <c r="G30" s="2" t="str">
        <f>_xlfn.TEXTBEFORE(_xlfn.TEXTAFTER(A30, "("), ")")</f>
        <v>2020</v>
      </c>
      <c r="H30" t="str">
        <f>_xlfn.TEXTAFTER(A30,"https://doi.org/")</f>
        <v>10.1002/cne.24985</v>
      </c>
      <c r="J30" s="13" t="s">
        <v>152</v>
      </c>
      <c r="K30" s="1" t="str">
        <f>TRIM(_xlfn.TEXTJOIN("_",FALSE,D30,(SUBSTITUTE(SUBSTITUTE(J30," ",""), "_", ""))))</f>
        <v>HerculanoHouzel_etal_2020_TABLE1</v>
      </c>
      <c r="L30" s="1" t="str">
        <f>IF(ISBLANK(I30),TRIM(SUBSTITUTE(SUBSTITUTE(SUBSTITUTE(_xlfn.TEXTJOIN("_", FALSE, H30, SUBSTITUTE(J30,"_", "")), "/", "%2F"), ":", "%3A"), " ", "")),TRIM(SUBSTITUTE(SUBSTITUTE(SUBSTITUTE(_xlfn.TEXTJOIN("_", FALSE, I30, SUBSTITUTE(J30,"_", "")), "/", "%2F"), ":", "%3A"), " ", "")))</f>
        <v>10.1002%2Fcne.24985_TABLE1</v>
      </c>
      <c r="M30" t="str">
        <f t="array" ref="M30">IFERROR(INDEX(FileList!$A$1:$A$43, MATCH(L30, _xlfn.TEXTBEFORE(FileList!$A$1:$A$43, ".tsv"), 0)), "notfound")</f>
        <v>10.1002%2Fcne.24985_TABLE1.tsv</v>
      </c>
      <c r="N30" s="13" t="s">
        <v>155</v>
      </c>
      <c r="P30" s="13" t="s">
        <v>41</v>
      </c>
      <c r="Q30" s="13" t="s">
        <v>53</v>
      </c>
      <c r="R30" s="14" t="s">
        <v>153</v>
      </c>
      <c r="S30" s="13" t="s">
        <v>55</v>
      </c>
      <c r="T30" s="13" t="s">
        <v>154</v>
      </c>
      <c r="U30" s="13" t="s">
        <v>57</v>
      </c>
      <c r="V30" s="13" t="s">
        <v>46</v>
      </c>
      <c r="W30" s="13" t="s">
        <v>78</v>
      </c>
      <c r="Y30" s="13" t="s">
        <v>156</v>
      </c>
      <c r="AA30" s="13" t="s">
        <v>100</v>
      </c>
      <c r="AB30" s="13" t="s">
        <v>100</v>
      </c>
      <c r="AE30" s="13" t="s">
        <v>157</v>
      </c>
      <c r="AI30" s="13">
        <v>0</v>
      </c>
      <c r="AJ30" s="13">
        <v>0</v>
      </c>
      <c r="AK30" s="13">
        <v>0</v>
      </c>
    </row>
    <row r="31" spans="1:37" ht="16" customHeight="1" x14ac:dyDescent="0.2">
      <c r="A31" s="13" t="s">
        <v>151</v>
      </c>
      <c r="C31" t="str">
        <f>RIGHT(A31,1)</f>
        <v>5</v>
      </c>
      <c r="D31" t="str">
        <f>E31 &amp; IF(F31&lt;&gt;"", "_" &amp; F31, "_") &amp; IF(G31&lt;&gt;"", "_" &amp; G31, "_") &amp; IF(B31&lt;&gt;"", "_" &amp; B31, "")</f>
        <v>HerculanoHouzel_etal_2020</v>
      </c>
      <c r="E31" s="2" t="str">
        <f>SUBSTITUTE(SUBSTITUTE(_xlfn.TEXTBEFORE(A31,","), "-", ""), " ", "")</f>
        <v>HerculanoHouzel</v>
      </c>
      <c r="F31" s="2" t="str">
        <f>IF(ISNUMBER(FIND("&amp;", A31)),
    IF(LEN(A31)-LEN(SUBSTITUTE(A31, ",", ""))&gt;=6, "etal", MID(A31, SEARCH("&amp; ", A31)+2, SEARCH(",", A31, SEARCH("&amp; ", A31)+2) - SEARCH("&amp; ", A31)-2)),
    ""
)</f>
        <v>etal</v>
      </c>
      <c r="G31" s="2" t="str">
        <f>_xlfn.TEXTBEFORE(_xlfn.TEXTAFTER(A31, "("), ")")</f>
        <v>2020</v>
      </c>
      <c r="H31" t="str">
        <f>_xlfn.TEXTAFTER(A31,"https://doi.org/")</f>
        <v>10.1002/cne.24985</v>
      </c>
      <c r="J31" s="13" t="s">
        <v>158</v>
      </c>
      <c r="K31" s="1" t="str">
        <f>TRIM(_xlfn.TEXTJOIN("_",FALSE,D31,(SUBSTITUTE(SUBSTITUTE(J31," ",""), "_", ""))))</f>
        <v>HerculanoHouzel_etal_2020_TABLE2</v>
      </c>
      <c r="L31" s="1" t="str">
        <f>IF(ISBLANK(I31),TRIM(SUBSTITUTE(SUBSTITUTE(SUBSTITUTE(_xlfn.TEXTJOIN("_", FALSE, H31, SUBSTITUTE(J31,"_", "")), "/", "%2F"), ":", "%3A"), " ", "")),TRIM(SUBSTITUTE(SUBSTITUTE(SUBSTITUTE(_xlfn.TEXTJOIN("_", FALSE, I31, SUBSTITUTE(J31,"_", "")), "/", "%2F"), ":", "%3A"), " ", "")))</f>
        <v>10.1002%2Fcne.24985_TABLE2</v>
      </c>
      <c r="M31" t="str">
        <f t="array" ref="M31">IFERROR(INDEX(FileList!$A$1:$A$43, MATCH(L31, _xlfn.TEXTBEFORE(FileList!$A$1:$A$43, ".tsv"), 0)), "notfound")</f>
        <v>10.1002%2Fcne.24985_TABLE2.tsv</v>
      </c>
      <c r="N31" s="13" t="s">
        <v>161</v>
      </c>
      <c r="P31" s="13" t="s">
        <v>41</v>
      </c>
      <c r="Q31" s="13" t="s">
        <v>53</v>
      </c>
      <c r="R31" s="14" t="s">
        <v>159</v>
      </c>
      <c r="S31" s="13" t="s">
        <v>55</v>
      </c>
      <c r="T31" s="13" t="s">
        <v>160</v>
      </c>
      <c r="U31" s="13" t="s">
        <v>57</v>
      </c>
      <c r="V31" s="13" t="s">
        <v>46</v>
      </c>
      <c r="W31" s="13" t="s">
        <v>78</v>
      </c>
      <c r="Y31" s="13" t="s">
        <v>162</v>
      </c>
      <c r="AA31" s="13" t="s">
        <v>100</v>
      </c>
      <c r="AB31" s="13" t="s">
        <v>100</v>
      </c>
      <c r="AE31" s="13" t="s">
        <v>157</v>
      </c>
      <c r="AI31" s="13">
        <v>0</v>
      </c>
      <c r="AJ31" s="13">
        <v>0</v>
      </c>
      <c r="AK31" s="13">
        <v>0</v>
      </c>
    </row>
    <row r="32" spans="1:37" ht="16" customHeight="1" x14ac:dyDescent="0.2">
      <c r="A32" s="13" t="s">
        <v>217</v>
      </c>
      <c r="C32" t="str">
        <f>RIGHT(A32,1)</f>
        <v>4</v>
      </c>
      <c r="D32" t="str">
        <f>E32 &amp; IF(F32&lt;&gt;"", "_" &amp; F32, "_") &amp; IF(G32&lt;&gt;"", "_" &amp; G32, "_") &amp; IF(B32&lt;&gt;"", "_" &amp; B32, "")</f>
        <v>Isler_etal_2008</v>
      </c>
      <c r="E32" s="2" t="str">
        <f>SUBSTITUTE(SUBSTITUTE(_xlfn.TEXTBEFORE(A32,","), "-", ""), " ", "")</f>
        <v>Isler</v>
      </c>
      <c r="F32" s="2" t="str">
        <f>IF(ISNUMBER(FIND("&amp;", A32)),
    IF(LEN(A32)-LEN(SUBSTITUTE(A32, ",", ""))&gt;=6, "etal", MID(A32, SEARCH("&amp; ", A32)+2, SEARCH(",", A32, SEARCH("&amp; ", A32)+2) - SEARCH("&amp; ", A32)-2)),
    ""
)</f>
        <v>etal</v>
      </c>
      <c r="G32" s="2" t="str">
        <f>_xlfn.TEXTBEFORE(_xlfn.TEXTAFTER(A32, "("), ")")</f>
        <v>2008</v>
      </c>
      <c r="H32" t="str">
        <f>_xlfn.TEXTAFTER(A32,"https://doi.org/")</f>
        <v>10.1016/j.jhevol.2008.08.004</v>
      </c>
      <c r="J32" s="13" t="s">
        <v>135</v>
      </c>
      <c r="K32" s="1" t="str">
        <f>TRIM(_xlfn.TEXTJOIN("_",FALSE,D32,(SUBSTITUTE(SUBSTITUTE(J32," ",""), "_", ""))))</f>
        <v>Isler_etal_2008_Table2</v>
      </c>
      <c r="L32" s="1" t="str">
        <f>IF(ISBLANK(I32),TRIM(SUBSTITUTE(SUBSTITUTE(SUBSTITUTE(_xlfn.TEXTJOIN("_", FALSE, H32, SUBSTITUTE(J32,"_", "")), "/", "%2F"), ":", "%3A"), " ", "")),TRIM(SUBSTITUTE(SUBSTITUTE(SUBSTITUTE(_xlfn.TEXTJOIN("_", FALSE, I32, SUBSTITUTE(J32,"_", "")), "/", "%2F"), ":", "%3A"), " ", "")))</f>
        <v>10.1016%2Fj.jhevol.2008.08.004_Table2</v>
      </c>
      <c r="M32" t="str">
        <f t="array" ref="M32">IFERROR(INDEX(FileList!$A$1:$A$43, MATCH(L32, _xlfn.TEXTBEFORE(FileList!$A$1:$A$43, ".tsv"), 0)), "notfound")</f>
        <v>10.1016%2Fj.jhevol.2008.08.004_Table2.tsv</v>
      </c>
      <c r="Q32" s="13" t="s">
        <v>42</v>
      </c>
      <c r="AI32" s="13">
        <v>6</v>
      </c>
      <c r="AK32" s="13">
        <v>7</v>
      </c>
    </row>
    <row r="33" spans="1:37" ht="16" customHeight="1" x14ac:dyDescent="0.2">
      <c r="A33" s="13" t="s">
        <v>217</v>
      </c>
      <c r="C33" t="str">
        <f>RIGHT(A33,1)</f>
        <v>4</v>
      </c>
      <c r="D33" t="str">
        <f>E33 &amp; IF(F33&lt;&gt;"", "_" &amp; F33, "_") &amp; IF(G33&lt;&gt;"", "_" &amp; G33, "_") &amp; IF(B33&lt;&gt;"", "_" &amp; B33, "")</f>
        <v>Isler_etal_2008</v>
      </c>
      <c r="E33" s="2" t="str">
        <f>SUBSTITUTE(SUBSTITUTE(_xlfn.TEXTBEFORE(A33,","), "-", ""), " ", "")</f>
        <v>Isler</v>
      </c>
      <c r="F33" s="2" t="str">
        <f>IF(ISNUMBER(FIND("&amp;", A33)),
    IF(LEN(A33)-LEN(SUBSTITUTE(A33, ",", ""))&gt;=6, "etal", MID(A33, SEARCH("&amp; ", A33)+2, SEARCH(",", A33, SEARCH("&amp; ", A33)+2) - SEARCH("&amp; ", A33)-2)),
    ""
)</f>
        <v>etal</v>
      </c>
      <c r="G33" s="2" t="str">
        <f>_xlfn.TEXTBEFORE(_xlfn.TEXTAFTER(A33, "("), ")")</f>
        <v>2008</v>
      </c>
      <c r="H33" t="str">
        <f>_xlfn.TEXTAFTER(A33,"https://doi.org/")</f>
        <v>10.1016/j.jhevol.2008.08.004</v>
      </c>
      <c r="J33" s="13" t="s">
        <v>218</v>
      </c>
      <c r="K33" s="1" t="str">
        <f>TRIM(_xlfn.TEXTJOIN("_",FALSE,D33,(SUBSTITUTE(SUBSTITUTE(J33," ",""), "_", ""))))</f>
        <v>Isler_etal_2008_Table7</v>
      </c>
      <c r="L33" s="1" t="str">
        <f>IF(ISBLANK(I33),TRIM(SUBSTITUTE(SUBSTITUTE(SUBSTITUTE(_xlfn.TEXTJOIN("_", FALSE, H33, SUBSTITUTE(J33,"_", "")), "/", "%2F"), ":", "%3A"), " ", "")),TRIM(SUBSTITUTE(SUBSTITUTE(SUBSTITUTE(_xlfn.TEXTJOIN("_", FALSE, I33, SUBSTITUTE(J33,"_", "")), "/", "%2F"), ":", "%3A"), " ", "")))</f>
        <v>10.1016%2Fj.jhevol.2008.08.004_Table7</v>
      </c>
      <c r="M33" t="str">
        <f t="array" ref="M33">IFERROR(INDEX(FileList!$A$1:$A$43, MATCH(L33, _xlfn.TEXTBEFORE(FileList!$A$1:$A$43, ".tsv"), 0)), "notfound")</f>
        <v>10.1016%2Fj.jhevol.2008.08.004_Table7.tsv</v>
      </c>
      <c r="Q33" s="13" t="s">
        <v>42</v>
      </c>
      <c r="AI33" s="13">
        <v>3</v>
      </c>
      <c r="AK33" s="13">
        <v>6</v>
      </c>
    </row>
    <row r="34" spans="1:37" ht="16" customHeight="1" x14ac:dyDescent="0.2">
      <c r="A34" s="13" t="s">
        <v>217</v>
      </c>
      <c r="C34" t="str">
        <f>RIGHT(A34,1)</f>
        <v>4</v>
      </c>
      <c r="D34" t="str">
        <f>E34 &amp; IF(F34&lt;&gt;"", "_" &amp; F34, "_") &amp; IF(G34&lt;&gt;"", "_" &amp; G34, "_") &amp; IF(B34&lt;&gt;"", "_" &amp; B34, "")</f>
        <v>Isler_etal_2008</v>
      </c>
      <c r="E34" s="2" t="str">
        <f>SUBSTITUTE(SUBSTITUTE(_xlfn.TEXTBEFORE(A34,","), "-", ""), " ", "")</f>
        <v>Isler</v>
      </c>
      <c r="F34" s="2" t="str">
        <f>IF(ISNUMBER(FIND("&amp;", A34)),
    IF(LEN(A34)-LEN(SUBSTITUTE(A34, ",", ""))&gt;=6, "etal", MID(A34, SEARCH("&amp; ", A34)+2, SEARCH(",", A34, SEARCH("&amp; ", A34)+2) - SEARCH("&amp; ", A34)-2)),
    ""
)</f>
        <v>etal</v>
      </c>
      <c r="G34" s="2" t="str">
        <f>_xlfn.TEXTBEFORE(_xlfn.TEXTAFTER(A34, "("), ")")</f>
        <v>2008</v>
      </c>
      <c r="H34" t="str">
        <f>_xlfn.TEXTAFTER(A34,"https://doi.org/")</f>
        <v>10.1016/j.jhevol.2008.08.004</v>
      </c>
      <c r="J34" s="13" t="s">
        <v>91</v>
      </c>
      <c r="K34" s="1" t="str">
        <f>TRIM(_xlfn.TEXTJOIN("_",FALSE,D34,(SUBSTITUTE(SUBSTITUTE(J34," ",""), "_", ""))))</f>
        <v>Isler_etal_2008_TableS1</v>
      </c>
      <c r="L34" s="1" t="str">
        <f>IF(ISBLANK(I34),TRIM(SUBSTITUTE(SUBSTITUTE(SUBSTITUTE(_xlfn.TEXTJOIN("_", FALSE, H34, SUBSTITUTE(J34,"_", "")), "/", "%2F"), ":", "%3A"), " ", "")),TRIM(SUBSTITUTE(SUBSTITUTE(SUBSTITUTE(_xlfn.TEXTJOIN("_", FALSE, I34, SUBSTITUTE(J34,"_", "")), "/", "%2F"), ":", "%3A"), " ", "")))</f>
        <v>10.1016%2Fj.jhevol.2008.08.004_TableS1</v>
      </c>
      <c r="M34" t="str">
        <f t="array" ref="M34">IFERROR(INDEX(FileList!$A$1:$A$43, MATCH(L34, _xlfn.TEXTBEFORE(FileList!$A$1:$A$43, ".tsv"), 0)), "notfound")</f>
        <v>10.1016%2Fj.jhevol.2008.08.004_TableS1.tsv</v>
      </c>
      <c r="Q34" s="13" t="s">
        <v>42</v>
      </c>
      <c r="AI34" s="13" t="s">
        <v>219</v>
      </c>
    </row>
    <row r="35" spans="1:37" ht="16" customHeight="1" x14ac:dyDescent="0.2">
      <c r="A35" s="13" t="s">
        <v>217</v>
      </c>
      <c r="C35" t="str">
        <f>RIGHT(A35,1)</f>
        <v>4</v>
      </c>
      <c r="D35" t="str">
        <f>E35 &amp; IF(F35&lt;&gt;"", "_" &amp; F35, "_") &amp; IF(G35&lt;&gt;"", "_" &amp; G35, "_") &amp; IF(B35&lt;&gt;"", "_" &amp; B35, "")</f>
        <v>Isler_etal_2008</v>
      </c>
      <c r="E35" s="2" t="str">
        <f>SUBSTITUTE(SUBSTITUTE(_xlfn.TEXTBEFORE(A35,","), "-", ""), " ", "")</f>
        <v>Isler</v>
      </c>
      <c r="F35" s="2" t="str">
        <f>IF(ISNUMBER(FIND("&amp;", A35)),
    IF(LEN(A35)-LEN(SUBSTITUTE(A35, ",", ""))&gt;=6, "etal", MID(A35, SEARCH("&amp; ", A35)+2, SEARCH(",", A35, SEARCH("&amp; ", A35)+2) - SEARCH("&amp; ", A35)-2)),
    ""
)</f>
        <v>etal</v>
      </c>
      <c r="G35" s="2" t="str">
        <f>_xlfn.TEXTBEFORE(_xlfn.TEXTAFTER(A35, "("), ")")</f>
        <v>2008</v>
      </c>
      <c r="H35" t="str">
        <f>_xlfn.TEXTAFTER(A35,"https://doi.org/")</f>
        <v>10.1016/j.jhevol.2008.08.004</v>
      </c>
      <c r="J35" s="13" t="s">
        <v>220</v>
      </c>
      <c r="K35" s="1" t="str">
        <f>TRIM(_xlfn.TEXTJOIN("_",FALSE,D35,(SUBSTITUTE(SUBSTITUTE(J35," ",""), "_", ""))))</f>
        <v>Isler_etal_2008_TableS2</v>
      </c>
      <c r="L35" s="1" t="str">
        <f>IF(ISBLANK(I35),TRIM(SUBSTITUTE(SUBSTITUTE(SUBSTITUTE(_xlfn.TEXTJOIN("_", FALSE, H35, SUBSTITUTE(J35,"_", "")), "/", "%2F"), ":", "%3A"), " ", "")),TRIM(SUBSTITUTE(SUBSTITUTE(SUBSTITUTE(_xlfn.TEXTJOIN("_", FALSE, I35, SUBSTITUTE(J35,"_", "")), "/", "%2F"), ":", "%3A"), " ", "")))</f>
        <v>10.1016%2Fj.jhevol.2008.08.004_TableS2</v>
      </c>
      <c r="M35" t="str">
        <f t="array" ref="M35">IFERROR(INDEX(FileList!$A$1:$A$43, MATCH(L35, _xlfn.TEXTBEFORE(FileList!$A$1:$A$43, ".tsv"), 0)), "notfound")</f>
        <v>10.1016%2Fj.jhevol.2008.08.004_TableS2.tsv</v>
      </c>
      <c r="Q35" s="13" t="s">
        <v>42</v>
      </c>
      <c r="AI35" s="13">
        <v>8</v>
      </c>
      <c r="AK35" s="13">
        <v>11</v>
      </c>
    </row>
    <row r="36" spans="1:37" ht="16" customHeight="1" x14ac:dyDescent="0.2">
      <c r="A36" s="13" t="s">
        <v>217</v>
      </c>
      <c r="C36" t="str">
        <f>RIGHT(A36,1)</f>
        <v>4</v>
      </c>
      <c r="D36" t="str">
        <f>E36 &amp; IF(F36&lt;&gt;"", "_" &amp; F36, "_") &amp; IF(G36&lt;&gt;"", "_" &amp; G36, "_") &amp; IF(B36&lt;&gt;"", "_" &amp; B36, "")</f>
        <v>Isler_etal_2008</v>
      </c>
      <c r="E36" s="2" t="str">
        <f>SUBSTITUTE(SUBSTITUTE(_xlfn.TEXTBEFORE(A36,","), "-", ""), " ", "")</f>
        <v>Isler</v>
      </c>
      <c r="F36" s="2" t="str">
        <f>IF(ISNUMBER(FIND("&amp;", A36)),
    IF(LEN(A36)-LEN(SUBSTITUTE(A36, ",", ""))&gt;=6, "etal", MID(A36, SEARCH("&amp; ", A36)+2, SEARCH(",", A36, SEARCH("&amp; ", A36)+2) - SEARCH("&amp; ", A36)-2)),
    ""
)</f>
        <v>etal</v>
      </c>
      <c r="G36" s="2" t="str">
        <f>_xlfn.TEXTBEFORE(_xlfn.TEXTAFTER(A36, "("), ")")</f>
        <v>2008</v>
      </c>
      <c r="H36" t="str">
        <f>_xlfn.TEXTAFTER(A36,"https://doi.org/")</f>
        <v>10.1016/j.jhevol.2008.08.004</v>
      </c>
      <c r="J36" s="13" t="s">
        <v>221</v>
      </c>
      <c r="K36" s="1" t="str">
        <f>TRIM(_xlfn.TEXTJOIN("_",FALSE,D36,(SUBSTITUTE(SUBSTITUTE(J36," ",""), "_", ""))))</f>
        <v>Isler_etal_2008_TableS3</v>
      </c>
      <c r="L36" s="1" t="str">
        <f>IF(ISBLANK(I36),TRIM(SUBSTITUTE(SUBSTITUTE(SUBSTITUTE(_xlfn.TEXTJOIN("_", FALSE, H36, SUBSTITUTE(J36,"_", "")), "/", "%2F"), ":", "%3A"), " ", "")),TRIM(SUBSTITUTE(SUBSTITUTE(SUBSTITUTE(_xlfn.TEXTJOIN("_", FALSE, I36, SUBSTITUTE(J36,"_", "")), "/", "%2F"), ":", "%3A"), " ", "")))</f>
        <v>10.1016%2Fj.jhevol.2008.08.004_TableS3</v>
      </c>
      <c r="M36" t="str">
        <f t="array" ref="M36">IFERROR(INDEX(FileList!$A$1:$A$43, MATCH(L36, _xlfn.TEXTBEFORE(FileList!$A$1:$A$43, ".tsv"), 0)), "notfound")</f>
        <v>10.1016%2Fj.jhevol.2008.08.004_TableS3.tsv</v>
      </c>
      <c r="Q36" s="13" t="s">
        <v>42</v>
      </c>
      <c r="AI36" s="13">
        <v>7</v>
      </c>
      <c r="AK36" s="13">
        <v>10</v>
      </c>
    </row>
    <row r="37" spans="1:37" ht="16" customHeight="1" x14ac:dyDescent="0.2">
      <c r="A37" s="13" t="s">
        <v>217</v>
      </c>
      <c r="C37" t="str">
        <f>RIGHT(A37,1)</f>
        <v>4</v>
      </c>
      <c r="D37" t="str">
        <f>E37 &amp; IF(F37&lt;&gt;"", "_" &amp; F37, "_") &amp; IF(G37&lt;&gt;"", "_" &amp; G37, "_") &amp; IF(B37&lt;&gt;"", "_" &amp; B37, "")</f>
        <v>Isler_etal_2008</v>
      </c>
      <c r="E37" s="5" t="str">
        <f>SUBSTITUTE(SUBSTITUTE(_xlfn.TEXTBEFORE(A37,","), "-", ""), " ", "")</f>
        <v>Isler</v>
      </c>
      <c r="F37" s="2" t="str">
        <f>IF(ISNUMBER(FIND("&amp;", A37)),
    IF(LEN(A37)-LEN(SUBSTITUTE(A37, ",", ""))&gt;=6, "etal", MID(A37, SEARCH("&amp; ", A37)+2, SEARCH(",", A37, SEARCH("&amp; ", A37)+2) - SEARCH("&amp; ", A37)-2)),
    ""
)</f>
        <v>etal</v>
      </c>
      <c r="G37" s="5" t="str">
        <f>_xlfn.TEXTBEFORE(_xlfn.TEXTAFTER(A37, "("), ")")</f>
        <v>2008</v>
      </c>
      <c r="H37" s="4" t="str">
        <f>_xlfn.TEXTAFTER(A37,"https://doi.org/")</f>
        <v>10.1016/j.jhevol.2008.08.004</v>
      </c>
      <c r="J37" s="13" t="s">
        <v>222</v>
      </c>
      <c r="K37" s="4" t="str">
        <f>TRIM(_xlfn.TEXTJOIN("_",FALSE,D37,(SUBSTITUTE(SUBSTITUTE(J37," ",""), "_", ""))))</f>
        <v>Isler_etal_2008_Tree.nex</v>
      </c>
      <c r="L37" s="6" t="str">
        <f>IF(ISBLANK(I37),TRIM(SUBSTITUTE(SUBSTITUTE(SUBSTITUTE(_xlfn.TEXTJOIN("_", FALSE, H37, SUBSTITUTE(J37,"_", "")), "/", "%2F"), ":", "%3A"), " ", "")),TRIM(SUBSTITUTE(SUBSTITUTE(SUBSTITUTE(_xlfn.TEXTJOIN("_", FALSE, I37, SUBSTITUTE(J37,"_", "")), "/", "%2F"), ":", "%3A"), " ", "")))</f>
        <v>10.1016%2Fj.jhevol.2008.08.004_Tree.nex</v>
      </c>
      <c r="M37" t="str">
        <f t="array" ref="M37">IFERROR(INDEX(FileList!$A$1:$A$43, MATCH(L37, _xlfn.TEXTBEFORE(FileList!$A$1:$A$43, ".tsv"), 0)), "notfound")</f>
        <v>notfound</v>
      </c>
      <c r="Q37" s="13" t="s">
        <v>42</v>
      </c>
    </row>
    <row r="38" spans="1:37" ht="16" customHeight="1" x14ac:dyDescent="0.2">
      <c r="A38" s="13" t="s">
        <v>342</v>
      </c>
      <c r="C38" t="str">
        <f>RIGHT(A38,1)</f>
        <v>x</v>
      </c>
      <c r="D38" t="str">
        <f>E38 &amp; IF(F38&lt;&gt;"", "_" &amp; F38, "_") &amp; IF(G38&lt;&gt;"", "_" &amp; G38, "_") &amp; IF(B38&lt;&gt;"", "_" &amp; B38, "")</f>
        <v>Iwaniuk_etal_1999</v>
      </c>
      <c r="E38" s="7" t="str">
        <f>SUBSTITUTE(SUBSTITUTE(_xlfn.TEXTBEFORE(A38,","), "-", ""), " ", "")</f>
        <v>Iwaniuk</v>
      </c>
      <c r="F38" s="2" t="str">
        <f>IF(ISNUMBER(FIND("&amp;", A38)),
    IF(LEN(A38)-LEN(SUBSTITUTE(A38, ",", ""))&gt;=6, "etal", MID(A38, SEARCH("&amp; ", A38)+2, SEARCH(",", A38, SEARCH("&amp; ", A38)+2) - SEARCH("&amp; ", A38)-2)),
    ""
)</f>
        <v>etal</v>
      </c>
      <c r="G38" s="7" t="str">
        <f>_xlfn.TEXTBEFORE(_xlfn.TEXTAFTER(A38, "("), ")")</f>
        <v>1999</v>
      </c>
      <c r="H38" t="str">
        <f>_xlfn.TEXTAFTER(A38,"https://doi.org/")</f>
        <v>10.1016/s0166-4328(98)00151-x</v>
      </c>
      <c r="J38" s="13" t="s">
        <v>339</v>
      </c>
      <c r="K38" s="3" t="str">
        <f>TRIM(_xlfn.TEXTJOIN("_",FALSE,D38,(SUBSTITUTE(SUBSTITUTE(J38," ",""), "_", ""))))</f>
        <v>Iwaniuk_etal_1999_References</v>
      </c>
      <c r="L38" s="3" t="str">
        <f>IF(ISBLANK(I38),TRIM(SUBSTITUTE(SUBSTITUTE(SUBSTITUTE(_xlfn.TEXTJOIN("_", FALSE, H38, SUBSTITUTE(J38,"_", "")), "/", "%2F"), ":", "%3A"), " ", "")),TRIM(SUBSTITUTE(SUBSTITUTE(SUBSTITUTE(_xlfn.TEXTJOIN("_", FALSE, I38, SUBSTITUTE(J38,"_", "")), "/", "%2F"), ":", "%3A"), " ", "")))</f>
        <v>10.1016%2Fs0166-4328(98)00151-x_References</v>
      </c>
      <c r="M38" t="str">
        <f t="array" ref="M38">IFERROR(INDEX(FileList!$A$1:$A$43, MATCH(L38, _xlfn.TEXTBEFORE(FileList!$A$1:$A$43, ".tsv"), 0)), "notfound")</f>
        <v>notfound</v>
      </c>
      <c r="N38" s="13" t="s">
        <v>339</v>
      </c>
      <c r="P38" s="13" t="s">
        <v>125</v>
      </c>
      <c r="V38" s="13" t="s">
        <v>341</v>
      </c>
      <c r="W38" s="13" t="s">
        <v>78</v>
      </c>
    </row>
    <row r="39" spans="1:37" ht="16" customHeight="1" x14ac:dyDescent="0.2">
      <c r="A39" s="13" t="s">
        <v>342</v>
      </c>
      <c r="C39" t="str">
        <f>RIGHT(A39,1)</f>
        <v>x</v>
      </c>
      <c r="D39" t="str">
        <f>E39 &amp; IF(F39&lt;&gt;"", "_" &amp; F39, "_") &amp; IF(G39&lt;&gt;"", "_" &amp; G39, "_") &amp; IF(B39&lt;&gt;"", "_" &amp; B39, "")</f>
        <v>Iwaniuk_etal_1999</v>
      </c>
      <c r="E39" s="7" t="str">
        <f>SUBSTITUTE(SUBSTITUTE(_xlfn.TEXTBEFORE(A39,","), "-", ""), " ", "")</f>
        <v>Iwaniuk</v>
      </c>
      <c r="F39" s="2" t="str">
        <f>IF(ISNUMBER(FIND("&amp;", A39)),
    IF(LEN(A39)-LEN(SUBSTITUTE(A39, ",", ""))&gt;=6, "etal", MID(A39, SEARCH("&amp; ", A39)+2, SEARCH(",", A39, SEARCH("&amp; ", A39)+2) - SEARCH("&amp; ", A39)-2)),
    ""
)</f>
        <v>etal</v>
      </c>
      <c r="G39" s="7" t="str">
        <f>_xlfn.TEXTBEFORE(_xlfn.TEXTAFTER(A39, "("), ")")</f>
        <v>1999</v>
      </c>
      <c r="H39" t="str">
        <f>_xlfn.TEXTAFTER(A39,"https://doi.org/")</f>
        <v>10.1016/s0166-4328(98)00151-x</v>
      </c>
      <c r="J39" s="13" t="s">
        <v>52</v>
      </c>
      <c r="K39" s="3" t="str">
        <f>TRIM(_xlfn.TEXTJOIN("_",FALSE,D39,(SUBSTITUTE(SUBSTITUTE(J39," ",""), "_", ""))))</f>
        <v>Iwaniuk_etal_1999_Table1</v>
      </c>
      <c r="L39" s="3" t="str">
        <f>IF(ISBLANK(I39),TRIM(SUBSTITUTE(SUBSTITUTE(SUBSTITUTE(_xlfn.TEXTJOIN("_", FALSE, H39, SUBSTITUTE(J39,"_", "")), "/", "%2F"), ":", "%3A"), " ", "")),TRIM(SUBSTITUTE(SUBSTITUTE(SUBSTITUTE(_xlfn.TEXTJOIN("_", FALSE, I39, SUBSTITUTE(J39,"_", "")), "/", "%2F"), ":", "%3A"), " ", "")))</f>
        <v>10.1016%2Fs0166-4328(98)00151-x_Table1</v>
      </c>
      <c r="M39" t="str">
        <f t="array" ref="M39">IFERROR(INDEX(FileList!$A$1:$A$43, MATCH(L39, _xlfn.TEXTBEFORE(FileList!$A$1:$A$43, ".tsv"), 0)), "notfound")</f>
        <v>notfound</v>
      </c>
      <c r="N39" s="13" t="s">
        <v>340</v>
      </c>
      <c r="P39" s="13" t="s">
        <v>125</v>
      </c>
      <c r="V39" s="13" t="s">
        <v>46</v>
      </c>
      <c r="W39" s="13" t="s">
        <v>78</v>
      </c>
    </row>
    <row r="40" spans="1:37" ht="16" customHeight="1" x14ac:dyDescent="0.2">
      <c r="A40" s="13" t="s">
        <v>163</v>
      </c>
      <c r="C40" t="str">
        <f>RIGHT(A40,1)</f>
        <v>9</v>
      </c>
      <c r="D40" t="str">
        <f>E40 &amp; IF(F40&lt;&gt;"", "_" &amp; F40, "_") &amp; IF(G40&lt;&gt;"", "_" &amp; G40, "_") &amp; IF(B40&lt;&gt;"", "_" &amp; B40, "")</f>
        <v>Iwaniuk_etal_2001</v>
      </c>
      <c r="E40" s="2" t="str">
        <f>SUBSTITUTE(SUBSTITUTE(_xlfn.TEXTBEFORE(A40,","), "-", ""), " ", "")</f>
        <v>Iwaniuk</v>
      </c>
      <c r="F40" s="2" t="str">
        <f>IF(ISNUMBER(FIND("&amp;", A40)),
    IF(LEN(A40)-LEN(SUBSTITUTE(A40, ",", ""))&gt;=6, "etal", MID(A40, SEARCH("&amp; ", A40)+2, SEARCH(",", A40, SEARCH("&amp; ", A40)+2) - SEARCH("&amp; ", A40)-2)),
    ""
)</f>
        <v>etal</v>
      </c>
      <c r="G40" s="2" t="str">
        <f>_xlfn.TEXTBEFORE(_xlfn.TEXTAFTER(A40, "("), ")")</f>
        <v>2001</v>
      </c>
      <c r="H40" t="str">
        <f>_xlfn.TEXTAFTER(A40,"https://doi.org/")</f>
        <v>10.1037/0735-7036.115.1.29</v>
      </c>
      <c r="J40" s="13" t="s">
        <v>52</v>
      </c>
      <c r="K40" s="1" t="str">
        <f>TRIM(_xlfn.TEXTJOIN("_",FALSE,D40,(SUBSTITUTE(SUBSTITUTE(J40," ",""), "_", ""))))</f>
        <v>Iwaniuk_etal_2001_Table1</v>
      </c>
      <c r="L40" s="1" t="str">
        <f>IF(ISBLANK(I40),TRIM(SUBSTITUTE(SUBSTITUTE(SUBSTITUTE(_xlfn.TEXTJOIN("_", FALSE, H40, SUBSTITUTE(J40,"_", "")), "/", "%2F"), ":", "%3A"), " ", "")),TRIM(SUBSTITUTE(SUBSTITUTE(SUBSTITUTE(_xlfn.TEXTJOIN("_", FALSE, I40, SUBSTITUTE(J40,"_", "")), "/", "%2F"), ":", "%3A"), " ", "")))</f>
        <v>10.1037%2F0735-7036.115.1.29_Table1</v>
      </c>
      <c r="M40" t="str">
        <f t="array" ref="M40">IFERROR(INDEX(FileList!$A$1:$A$43, MATCH(L40, _xlfn.TEXTBEFORE(FileList!$A$1:$A$43, ".tsv"), 0)), "notfound")</f>
        <v>notfound</v>
      </c>
      <c r="N40" s="13" t="s">
        <v>165</v>
      </c>
      <c r="P40" s="13" t="s">
        <v>164</v>
      </c>
      <c r="Q40" s="13" t="s">
        <v>35</v>
      </c>
      <c r="R40" s="14"/>
      <c r="T40" s="13" t="str">
        <f>IF(S40="N", R40, "write file name")</f>
        <v>write file name</v>
      </c>
      <c r="U40" s="13" t="s">
        <v>57</v>
      </c>
      <c r="V40" s="13" t="s">
        <v>46</v>
      </c>
      <c r="Y40" s="13" t="s">
        <v>166</v>
      </c>
      <c r="AE40" s="13" t="s">
        <v>167</v>
      </c>
    </row>
    <row r="41" spans="1:37" ht="16" customHeight="1" x14ac:dyDescent="0.2">
      <c r="A41" s="13" t="s">
        <v>163</v>
      </c>
      <c r="C41" t="str">
        <f>RIGHT(A41,1)</f>
        <v>9</v>
      </c>
      <c r="D41" t="str">
        <f>E41 &amp; IF(F41&lt;&gt;"", "_" &amp; F41, "_") &amp; IF(G41&lt;&gt;"", "_" &amp; G41, "_") &amp; IF(B41&lt;&gt;"", "_" &amp; B41, "")</f>
        <v>Iwaniuk_etal_2001</v>
      </c>
      <c r="E41" s="2" t="str">
        <f>SUBSTITUTE(SUBSTITUTE(_xlfn.TEXTBEFORE(A41,","), "-", ""), " ", "")</f>
        <v>Iwaniuk</v>
      </c>
      <c r="F41" s="2" t="str">
        <f>IF(ISNUMBER(FIND("&amp;", A41)),
    IF(LEN(A41)-LEN(SUBSTITUTE(A41, ",", ""))&gt;=6, "etal", MID(A41, SEARCH("&amp; ", A41)+2, SEARCH(",", A41, SEARCH("&amp; ", A41)+2) - SEARCH("&amp; ", A41)-2)),
    ""
)</f>
        <v>etal</v>
      </c>
      <c r="G41" s="2" t="str">
        <f>_xlfn.TEXTBEFORE(_xlfn.TEXTAFTER(A41, "("), ")")</f>
        <v>2001</v>
      </c>
      <c r="H41" t="str">
        <f>_xlfn.TEXTAFTER(A41,"https://doi.org/")</f>
        <v>10.1037/0735-7036.115.1.29</v>
      </c>
      <c r="J41" s="13" t="s">
        <v>135</v>
      </c>
      <c r="K41" s="1" t="str">
        <f>TRIM(_xlfn.TEXTJOIN("_",FALSE,D41,(SUBSTITUTE(SUBSTITUTE(J41," ",""), "_", ""))))</f>
        <v>Iwaniuk_etal_2001_Table2</v>
      </c>
      <c r="L41" s="1" t="str">
        <f>IF(ISBLANK(I41),TRIM(SUBSTITUTE(SUBSTITUTE(SUBSTITUTE(_xlfn.TEXTJOIN("_", FALSE, H41, SUBSTITUTE(J41,"_", "")), "/", "%2F"), ":", "%3A"), " ", "")),TRIM(SUBSTITUTE(SUBSTITUTE(SUBSTITUTE(_xlfn.TEXTJOIN("_", FALSE, I41, SUBSTITUTE(J41,"_", "")), "/", "%2F"), ":", "%3A"), " ", "")))</f>
        <v>10.1037%2F0735-7036.115.1.29_Table2</v>
      </c>
      <c r="M41" t="str">
        <f t="array" ref="M41">IFERROR(INDEX(FileList!$A$1:$A$43, MATCH(L41, _xlfn.TEXTBEFORE(FileList!$A$1:$A$43, ".tsv"), 0)), "notfound")</f>
        <v>notfound</v>
      </c>
      <c r="N41" s="13" t="s">
        <v>168</v>
      </c>
      <c r="P41" s="13" t="s">
        <v>164</v>
      </c>
      <c r="Q41" s="13" t="s">
        <v>35</v>
      </c>
      <c r="R41" s="14"/>
      <c r="T41" s="13" t="str">
        <f>IF(S41="N", R41, "write file name")</f>
        <v>write file name</v>
      </c>
      <c r="U41" s="13" t="s">
        <v>57</v>
      </c>
      <c r="V41" s="13" t="s">
        <v>46</v>
      </c>
      <c r="Y41" s="13" t="s">
        <v>166</v>
      </c>
      <c r="AE41" s="13" t="s">
        <v>167</v>
      </c>
    </row>
    <row r="42" spans="1:37" ht="16" customHeight="1" x14ac:dyDescent="0.2">
      <c r="A42" s="13" t="s">
        <v>163</v>
      </c>
      <c r="C42" t="str">
        <f>RIGHT(A42,1)</f>
        <v>9</v>
      </c>
      <c r="D42" t="str">
        <f>E42 &amp; IF(F42&lt;&gt;"", "_" &amp; F42, "_") &amp; IF(G42&lt;&gt;"", "_" &amp; G42, "_") &amp; IF(B42&lt;&gt;"", "_" &amp; B42, "")</f>
        <v>Iwaniuk_etal_2001</v>
      </c>
      <c r="E42" s="2" t="str">
        <f>SUBSTITUTE(SUBSTITUTE(_xlfn.TEXTBEFORE(A42,","), "-", ""), " ", "")</f>
        <v>Iwaniuk</v>
      </c>
      <c r="F42" s="2" t="str">
        <f>IF(ISNUMBER(FIND("&amp;", A42)),
    IF(LEN(A42)-LEN(SUBSTITUTE(A42, ",", ""))&gt;=6, "etal", MID(A42, SEARCH("&amp; ", A42)+2, SEARCH(",", A42, SEARCH("&amp; ", A42)+2) - SEARCH("&amp; ", A42)-2)),
    ""
)</f>
        <v>etal</v>
      </c>
      <c r="G42" s="2" t="str">
        <f>_xlfn.TEXTBEFORE(_xlfn.TEXTAFTER(A42, "("), ")")</f>
        <v>2001</v>
      </c>
      <c r="H42" t="str">
        <f>_xlfn.TEXTAFTER(A42,"https://doi.org/")</f>
        <v>10.1037/0735-7036.115.1.29</v>
      </c>
      <c r="J42" s="13" t="s">
        <v>139</v>
      </c>
      <c r="K42" s="1" t="str">
        <f>TRIM(_xlfn.TEXTJOIN("_",FALSE,D42,(SUBSTITUTE(SUBSTITUTE(J42," ",""), "_", ""))))</f>
        <v>Iwaniuk_etal_2001_Table3</v>
      </c>
      <c r="L42" s="1" t="str">
        <f>IF(ISBLANK(I42),TRIM(SUBSTITUTE(SUBSTITUTE(SUBSTITUTE(_xlfn.TEXTJOIN("_", FALSE, H42, SUBSTITUTE(J42,"_", "")), "/", "%2F"), ":", "%3A"), " ", "")),TRIM(SUBSTITUTE(SUBSTITUTE(SUBSTITUTE(_xlfn.TEXTJOIN("_", FALSE, I42, SUBSTITUTE(J42,"_", "")), "/", "%2F"), ":", "%3A"), " ", "")))</f>
        <v>10.1037%2F0735-7036.115.1.29_Table3</v>
      </c>
      <c r="M42" t="str">
        <f t="array" ref="M42">IFERROR(INDEX(FileList!$A$1:$A$43, MATCH(L42, _xlfn.TEXTBEFORE(FileList!$A$1:$A$43, ".tsv"), 0)), "notfound")</f>
        <v>notfound</v>
      </c>
      <c r="N42" s="13" t="s">
        <v>169</v>
      </c>
      <c r="P42" s="13" t="s">
        <v>164</v>
      </c>
      <c r="Q42" s="13" t="s">
        <v>35</v>
      </c>
      <c r="R42" s="14"/>
      <c r="T42" s="13" t="str">
        <f>IF(S42="N", R42, "write file name")</f>
        <v>write file name</v>
      </c>
      <c r="U42" s="13" t="s">
        <v>57</v>
      </c>
      <c r="V42" s="13" t="s">
        <v>46</v>
      </c>
      <c r="Y42" s="13" t="s">
        <v>166</v>
      </c>
      <c r="AE42" s="13" t="s">
        <v>167</v>
      </c>
    </row>
    <row r="43" spans="1:37" ht="16" customHeight="1" x14ac:dyDescent="0.2">
      <c r="A43" s="13" t="s">
        <v>163</v>
      </c>
      <c r="C43" t="str">
        <f>RIGHT(A43,1)</f>
        <v>9</v>
      </c>
      <c r="D43" t="str">
        <f>E43 &amp; IF(F43&lt;&gt;"", "_" &amp; F43, "_") &amp; IF(G43&lt;&gt;"", "_" &amp; G43, "_") &amp; IF(B43&lt;&gt;"", "_" &amp; B43, "")</f>
        <v>Iwaniuk_etal_2001</v>
      </c>
      <c r="E43" s="2" t="str">
        <f>SUBSTITUTE(SUBSTITUTE(_xlfn.TEXTBEFORE(A43,","), "-", ""), " ", "")</f>
        <v>Iwaniuk</v>
      </c>
      <c r="F43" s="2" t="str">
        <f>IF(ISNUMBER(FIND("&amp;", A43)),
    IF(LEN(A43)-LEN(SUBSTITUTE(A43, ",", ""))&gt;=6, "etal", MID(A43, SEARCH("&amp; ", A43)+2, SEARCH(",", A43, SEARCH("&amp; ", A43)+2) - SEARCH("&amp; ", A43)-2)),
    ""
)</f>
        <v>etal</v>
      </c>
      <c r="G43" s="2" t="str">
        <f>_xlfn.TEXTBEFORE(_xlfn.TEXTAFTER(A43, "("), ")")</f>
        <v>2001</v>
      </c>
      <c r="H43" t="str">
        <f>_xlfn.TEXTAFTER(A43,"https://doi.org/")</f>
        <v>10.1037/0735-7036.115.1.29</v>
      </c>
      <c r="J43" s="13" t="s">
        <v>143</v>
      </c>
      <c r="K43" s="1" t="str">
        <f>TRIM(_xlfn.TEXTJOIN("_",FALSE,D43,(SUBSTITUTE(SUBSTITUTE(J43," ",""), "_", ""))))</f>
        <v>Iwaniuk_etal_2001_Table4</v>
      </c>
      <c r="L43" s="1" t="str">
        <f>IF(ISBLANK(I43),TRIM(SUBSTITUTE(SUBSTITUTE(SUBSTITUTE(_xlfn.TEXTJOIN("_", FALSE, H43, SUBSTITUTE(J43,"_", "")), "/", "%2F"), ":", "%3A"), " ", "")),TRIM(SUBSTITUTE(SUBSTITUTE(SUBSTITUTE(_xlfn.TEXTJOIN("_", FALSE, I43, SUBSTITUTE(J43,"_", "")), "/", "%2F"), ":", "%3A"), " ", "")))</f>
        <v>10.1037%2F0735-7036.115.1.29_Table4</v>
      </c>
      <c r="M43" t="str">
        <f t="array" ref="M43">IFERROR(INDEX(FileList!$A$1:$A$43, MATCH(L43, _xlfn.TEXTBEFORE(FileList!$A$1:$A$43, ".tsv"), 0)), "notfound")</f>
        <v>notfound</v>
      </c>
      <c r="N43" s="13" t="s">
        <v>170</v>
      </c>
      <c r="P43" s="13" t="s">
        <v>164</v>
      </c>
      <c r="Q43" s="13" t="s">
        <v>35</v>
      </c>
      <c r="R43" s="14"/>
      <c r="T43" s="13" t="str">
        <f>IF(S43="N", R43, "write file name")</f>
        <v>write file name</v>
      </c>
      <c r="U43" s="13" t="s">
        <v>57</v>
      </c>
      <c r="V43" s="13" t="s">
        <v>46</v>
      </c>
      <c r="Y43" s="13" t="s">
        <v>166</v>
      </c>
      <c r="AE43" s="13" t="s">
        <v>167</v>
      </c>
    </row>
    <row r="44" spans="1:37" ht="16" customHeight="1" x14ac:dyDescent="0.2">
      <c r="A44" s="13" t="s">
        <v>171</v>
      </c>
      <c r="C44" t="str">
        <f>RIGHT(A44,1)</f>
        <v>8</v>
      </c>
      <c r="D44" t="str">
        <f>E44 &amp; IF(F44&lt;&gt;"", "_" &amp; F44, "_") &amp; IF(G44&lt;&gt;"", "_" &amp; G44, "_") &amp; IF(B44&lt;&gt;"", "_" &amp; B44, "")</f>
        <v>JardimMesseder_etal_2017</v>
      </c>
      <c r="E44" s="2" t="str">
        <f>SUBSTITUTE(SUBSTITUTE(_xlfn.TEXTBEFORE(A44,","), "-", ""), " ", "")</f>
        <v>JardimMesseder</v>
      </c>
      <c r="F44" s="2" t="str">
        <f>IF(ISNUMBER(FIND("&amp;", A44)),
    IF(LEN(A44)-LEN(SUBSTITUTE(A44, ",", ""))&gt;=6, "etal", MID(A44, SEARCH("&amp; ", A44)+2, SEARCH(",", A44, SEARCH("&amp; ", A44)+2) - SEARCH("&amp; ", A44)-2)),
    ""
)</f>
        <v>etal</v>
      </c>
      <c r="G44" s="2" t="str">
        <f>_xlfn.TEXTBEFORE(_xlfn.TEXTAFTER(A44, "("), ")")</f>
        <v>2017</v>
      </c>
      <c r="H44" t="str">
        <f>_xlfn.TEXTAFTER(A44,"https://doi.org/")</f>
        <v>10.3389/fnana.2017.00118</v>
      </c>
      <c r="J44" s="13" t="s">
        <v>52</v>
      </c>
      <c r="K44" s="1" t="str">
        <f>TRIM(_xlfn.TEXTJOIN("_",FALSE,D44,(SUBSTITUTE(SUBSTITUTE(J44," ",""), "_", ""))))</f>
        <v>JardimMesseder_etal_2017_Table1</v>
      </c>
      <c r="L44" s="1" t="str">
        <f>IF(ISBLANK(I44),TRIM(SUBSTITUTE(SUBSTITUTE(SUBSTITUTE(_xlfn.TEXTJOIN("_", FALSE, H44, SUBSTITUTE(J44,"_", "")), "/", "%2F"), ":", "%3A"), " ", "")),TRIM(SUBSTITUTE(SUBSTITUTE(SUBSTITUTE(_xlfn.TEXTJOIN("_", FALSE, I44, SUBSTITUTE(J44,"_", "")), "/", "%2F"), ":", "%3A"), " ", "")))</f>
        <v>10.3389%2Ffnana.2017.00118_Table1</v>
      </c>
      <c r="M44" t="str">
        <f t="array" ref="M44">IFERROR(INDEX(FileList!$A$1:$A$43, MATCH(L44, _xlfn.TEXTBEFORE(FileList!$A$1:$A$43, ".tsv"), 0)), "notfound")</f>
        <v>10.3389%2Ffnana.2017.00118_Table1.tsv</v>
      </c>
      <c r="N44" s="13" t="s">
        <v>175</v>
      </c>
      <c r="P44" s="13" t="s">
        <v>41</v>
      </c>
      <c r="Q44" s="13" t="s">
        <v>53</v>
      </c>
      <c r="R44" s="14" t="s">
        <v>172</v>
      </c>
      <c r="S44" s="13" t="s">
        <v>55</v>
      </c>
      <c r="T44" s="13" t="s">
        <v>173</v>
      </c>
      <c r="U44" s="13" t="s">
        <v>57</v>
      </c>
      <c r="V44" s="13" t="s">
        <v>46</v>
      </c>
      <c r="W44" s="13" t="s">
        <v>58</v>
      </c>
      <c r="X44" s="13" t="s">
        <v>174</v>
      </c>
      <c r="Y44" s="13" t="s">
        <v>98</v>
      </c>
      <c r="Z44" s="13" t="s">
        <v>99</v>
      </c>
      <c r="AA44" s="13" t="s">
        <v>100</v>
      </c>
      <c r="AB44" s="13" t="s">
        <v>100</v>
      </c>
      <c r="AE44" s="13" t="s">
        <v>176</v>
      </c>
      <c r="AI44" s="13">
        <v>2</v>
      </c>
      <c r="AK44" s="13">
        <v>3</v>
      </c>
    </row>
    <row r="45" spans="1:37" ht="16" customHeight="1" x14ac:dyDescent="0.2">
      <c r="A45" s="13" t="s">
        <v>177</v>
      </c>
      <c r="C45" t="str">
        <f>RIGHT(A45,1)</f>
        <v>8</v>
      </c>
      <c r="D45" t="str">
        <f>E45 &amp; IF(F45&lt;&gt;"", "_" &amp; F45, "_") &amp; IF(G45&lt;&gt;"", "_" &amp; G45, "_") &amp; IF(B45&lt;&gt;"", "_" &amp; B45, "")</f>
        <v>Kverkova_etal_2018</v>
      </c>
      <c r="E45" s="2" t="str">
        <f>SUBSTITUTE(SUBSTITUTE(_xlfn.TEXTBEFORE(A45,","), "-", ""), " ", "")</f>
        <v>Kverkova</v>
      </c>
      <c r="F45" s="2" t="str">
        <f>IF(ISNUMBER(FIND("&amp;", A45)),
    IF(LEN(A45)-LEN(SUBSTITUTE(A45, ",", ""))&gt;=6, "etal", MID(A45, SEARCH("&amp; ", A45)+2, SEARCH(",", A45, SEARCH("&amp; ", A45)+2) - SEARCH("&amp; ", A45)-2)),
    ""
)</f>
        <v>etal</v>
      </c>
      <c r="G45" s="2" t="str">
        <f>_xlfn.TEXTBEFORE(_xlfn.TEXTAFTER(A45, "("), ")")</f>
        <v>2018</v>
      </c>
      <c r="H45" t="str">
        <f>_xlfn.TEXTAFTER(A45,"https://doi.org/")</f>
        <v>10.1038/s41598-018-26062-8</v>
      </c>
      <c r="J45" s="13" t="s">
        <v>52</v>
      </c>
      <c r="K45" s="1" t="str">
        <f>TRIM(_xlfn.TEXTJOIN("_",FALSE,D45,(SUBSTITUTE(SUBSTITUTE(J45," ",""), "_", ""))))</f>
        <v>Kverkova_etal_2018_Table1</v>
      </c>
      <c r="L45" s="1" t="str">
        <f>IF(ISBLANK(I45),TRIM(SUBSTITUTE(SUBSTITUTE(SUBSTITUTE(_xlfn.TEXTJOIN("_", FALSE, H45, SUBSTITUTE(J45,"_", "")), "/", "%2F"), ":", "%3A"), " ", "")),TRIM(SUBSTITUTE(SUBSTITUTE(SUBSTITUTE(_xlfn.TEXTJOIN("_", FALSE, I45, SUBSTITUTE(J45,"_", "")), "/", "%2F"), ":", "%3A"), " ", "")))</f>
        <v>10.1038%2Fs41598-018-26062-8_Table1</v>
      </c>
      <c r="M45" t="str">
        <f t="array" ref="M45">IFERROR(INDEX(FileList!$A$1:$A$43, MATCH(L45, _xlfn.TEXTBEFORE(FileList!$A$1:$A$43, ".tsv"), 0)), "notfound")</f>
        <v>10.1038%2Fs41598-018-26062-8_Table1.tsv</v>
      </c>
      <c r="N45" s="13" t="s">
        <v>264</v>
      </c>
      <c r="P45" s="13" t="s">
        <v>41</v>
      </c>
      <c r="Q45" s="13" t="s">
        <v>53</v>
      </c>
      <c r="R45" s="14" t="s">
        <v>266</v>
      </c>
      <c r="S45" s="13" t="s">
        <v>55</v>
      </c>
      <c r="T45" s="13" t="s">
        <v>178</v>
      </c>
      <c r="U45" s="13" t="s">
        <v>179</v>
      </c>
      <c r="V45" s="13" t="s">
        <v>46</v>
      </c>
      <c r="Y45" s="13" t="s">
        <v>265</v>
      </c>
      <c r="Z45" s="13" t="s">
        <v>99</v>
      </c>
      <c r="AB45" s="13" t="s">
        <v>100</v>
      </c>
      <c r="AE45" s="13" t="s">
        <v>183</v>
      </c>
      <c r="AI45" s="13">
        <v>1</v>
      </c>
      <c r="AK45" s="13">
        <v>1</v>
      </c>
    </row>
    <row r="46" spans="1:37" ht="16" customHeight="1" x14ac:dyDescent="0.2">
      <c r="A46" s="13" t="s">
        <v>177</v>
      </c>
      <c r="C46" t="str">
        <f>RIGHT(A46,1)</f>
        <v>8</v>
      </c>
      <c r="D46" t="str">
        <f>E46 &amp; IF(F46&lt;&gt;"", "_" &amp; F46, "_") &amp; IF(G46&lt;&gt;"", "_" &amp; G46, "_") &amp; IF(B46&lt;&gt;"", "_" &amp; B46, "")</f>
        <v>Kverkova_etal_2018</v>
      </c>
      <c r="E46" s="2" t="str">
        <f>SUBSTITUTE(SUBSTITUTE(_xlfn.TEXTBEFORE(A46,","), "-", ""), " ", "")</f>
        <v>Kverkova</v>
      </c>
      <c r="F46" s="2" t="str">
        <f>IF(ISNUMBER(FIND("&amp;", A46)),
    IF(LEN(A46)-LEN(SUBSTITUTE(A46, ",", ""))&gt;=6, "etal", MID(A46, SEARCH("&amp; ", A46)+2, SEARCH(",", A46, SEARCH("&amp; ", A46)+2) - SEARCH("&amp; ", A46)-2)),
    ""
)</f>
        <v>etal</v>
      </c>
      <c r="G46" s="2" t="str">
        <f>_xlfn.TEXTBEFORE(_xlfn.TEXTAFTER(A46, "("), ")")</f>
        <v>2018</v>
      </c>
      <c r="H46" t="str">
        <f>_xlfn.TEXTAFTER(A46,"https://doi.org/")</f>
        <v>10.1038/s41598-018-26062-8</v>
      </c>
      <c r="J46" s="13" t="s">
        <v>91</v>
      </c>
      <c r="K46" s="1" t="str">
        <f>TRIM(_xlfn.TEXTJOIN("_",FALSE,D46,(SUBSTITUTE(SUBSTITUTE(J46," ",""), "_", ""))))</f>
        <v>Kverkova_etal_2018_TableS1</v>
      </c>
      <c r="L46" s="1" t="str">
        <f>IF(ISBLANK(I46),TRIM(SUBSTITUTE(SUBSTITUTE(SUBSTITUTE(_xlfn.TEXTJOIN("_", FALSE, H46, SUBSTITUTE(J46,"_", "")), "/", "%2F"), ":", "%3A"), " ", "")),TRIM(SUBSTITUTE(SUBSTITUTE(SUBSTITUTE(_xlfn.TEXTJOIN("_", FALSE, I46, SUBSTITUTE(J46,"_", "")), "/", "%2F"), ":", "%3A"), " ", "")))</f>
        <v>10.1038%2Fs41598-018-26062-8_TableS1</v>
      </c>
      <c r="M46" t="str">
        <f t="array" ref="M46">IFERROR(INDEX(FileList!$A$1:$A$43, MATCH(L46, _xlfn.TEXTBEFORE(FileList!$A$1:$A$43, ".tsv"), 0)), "notfound")</f>
        <v>10.1038%2Fs41598-018-26062-8_TableS1.tsv</v>
      </c>
      <c r="N46" s="13" t="s">
        <v>181</v>
      </c>
      <c r="P46" s="13" t="s">
        <v>41</v>
      </c>
      <c r="Q46" s="13" t="s">
        <v>53</v>
      </c>
      <c r="R46" s="14" t="s">
        <v>267</v>
      </c>
      <c r="S46" s="13" t="s">
        <v>55</v>
      </c>
      <c r="T46" s="13" t="s">
        <v>178</v>
      </c>
      <c r="U46" s="13" t="s">
        <v>179</v>
      </c>
      <c r="V46" s="13" t="s">
        <v>46</v>
      </c>
      <c r="W46" s="13" t="s">
        <v>58</v>
      </c>
      <c r="X46" s="13" t="s">
        <v>180</v>
      </c>
      <c r="Y46" s="13" t="s">
        <v>156</v>
      </c>
      <c r="Z46" s="13" t="s">
        <v>182</v>
      </c>
      <c r="AB46" s="13" t="s">
        <v>100</v>
      </c>
      <c r="AE46" s="13" t="s">
        <v>183</v>
      </c>
      <c r="AI46" s="13">
        <v>1</v>
      </c>
      <c r="AK46" s="13">
        <v>1</v>
      </c>
    </row>
    <row r="47" spans="1:37" ht="16" customHeight="1" x14ac:dyDescent="0.2">
      <c r="A47" s="13" t="s">
        <v>177</v>
      </c>
      <c r="C47" t="str">
        <f>RIGHT(A47,1)</f>
        <v>8</v>
      </c>
      <c r="D47" t="str">
        <f>E47 &amp; IF(F47&lt;&gt;"", "_" &amp; F47, "_") &amp; IF(G47&lt;&gt;"", "_" &amp; G47, "_") &amp; IF(B47&lt;&gt;"", "_" &amp; B47, "")</f>
        <v>Kverkova_etal_2018</v>
      </c>
      <c r="E47" s="2" t="str">
        <f>SUBSTITUTE(SUBSTITUTE(_xlfn.TEXTBEFORE(A47,","), "-", ""), " ", "")</f>
        <v>Kverkova</v>
      </c>
      <c r="F47" s="2" t="str">
        <f>IF(ISNUMBER(FIND("&amp;", A47)),
    IF(LEN(A47)-LEN(SUBSTITUTE(A47, ",", ""))&gt;=6, "etal", MID(A47, SEARCH("&amp; ", A47)+2, SEARCH(",", A47, SEARCH("&amp; ", A47)+2) - SEARCH("&amp; ", A47)-2)),
    ""
)</f>
        <v>etal</v>
      </c>
      <c r="G47" s="2" t="str">
        <f>_xlfn.TEXTBEFORE(_xlfn.TEXTAFTER(A47, "("), ")")</f>
        <v>2018</v>
      </c>
      <c r="H47" t="str">
        <f>_xlfn.TEXTAFTER(A47,"https://doi.org/")</f>
        <v>10.1038/s41598-018-26062-8</v>
      </c>
      <c r="J47" s="13" t="s">
        <v>184</v>
      </c>
      <c r="K47" s="1" t="str">
        <f>TRIM(_xlfn.TEXTJOIN("_",FALSE,D47,(SUBSTITUTE(SUBSTITUTE(J47," ",""), "_", ""))))</f>
        <v>Kverkova_etal_2018_TableS5</v>
      </c>
      <c r="L47" s="1" t="str">
        <f>IF(ISBLANK(I47),TRIM(SUBSTITUTE(SUBSTITUTE(SUBSTITUTE(_xlfn.TEXTJOIN("_", FALSE, H47, SUBSTITUTE(J47,"_", "")), "/", "%2F"), ":", "%3A"), " ", "")),TRIM(SUBSTITUTE(SUBSTITUTE(SUBSTITUTE(_xlfn.TEXTJOIN("_", FALSE, I47, SUBSTITUTE(J47,"_", "")), "/", "%2F"), ":", "%3A"), " ", "")))</f>
        <v>10.1038%2Fs41598-018-26062-8_TableS5</v>
      </c>
      <c r="M47" t="str">
        <f t="array" ref="M47">IFERROR(INDEX(FileList!$A$1:$A$43, MATCH(L47, _xlfn.TEXTBEFORE(FileList!$A$1:$A$43, ".tsv"), 0)), "notfound")</f>
        <v>10.1038%2Fs41598-018-26062-8_TableS5.tsv</v>
      </c>
      <c r="N47" s="13" t="s">
        <v>187</v>
      </c>
      <c r="P47" s="13" t="s">
        <v>41</v>
      </c>
      <c r="Q47" s="13" t="s">
        <v>53</v>
      </c>
      <c r="R47" s="14" t="s">
        <v>268</v>
      </c>
      <c r="S47" s="13" t="s">
        <v>55</v>
      </c>
      <c r="T47" s="13" t="s">
        <v>185</v>
      </c>
      <c r="U47" s="13" t="s">
        <v>186</v>
      </c>
      <c r="V47" s="13" t="s">
        <v>46</v>
      </c>
      <c r="W47" s="13" t="s">
        <v>58</v>
      </c>
      <c r="X47" s="13" t="s">
        <v>180</v>
      </c>
      <c r="Y47" s="13" t="s">
        <v>162</v>
      </c>
      <c r="Z47" s="13" t="s">
        <v>99</v>
      </c>
      <c r="AB47" s="13" t="s">
        <v>100</v>
      </c>
      <c r="AE47" s="13" t="s">
        <v>183</v>
      </c>
      <c r="AI47" s="13">
        <v>1</v>
      </c>
      <c r="AK47" s="13">
        <v>1</v>
      </c>
    </row>
    <row r="48" spans="1:37" ht="16" customHeight="1" x14ac:dyDescent="0.2">
      <c r="A48" s="13" t="s">
        <v>226</v>
      </c>
      <c r="C48" t="str">
        <f>RIGHT(A48,1)</f>
        <v>4</v>
      </c>
      <c r="D48" t="str">
        <f>E48 &amp; IF(F48&lt;&gt;"", "_" &amp; F48, "_") &amp; IF(G48&lt;&gt;"", "_" &amp; G48, "_") &amp; IF(B48&lt;&gt;"", "_" &amp; B48, "")</f>
        <v>Lewitus_etal_2013</v>
      </c>
      <c r="E48" s="5" t="str">
        <f>SUBSTITUTE(SUBSTITUTE(_xlfn.TEXTBEFORE(A48,","), "-", ""), " ", "")</f>
        <v>Lewitus</v>
      </c>
      <c r="F48" s="2" t="str">
        <f>IF(ISNUMBER(FIND("&amp;", A48)),
    IF(LEN(A48)-LEN(SUBSTITUTE(A48, ",", ""))&gt;=6, "etal", MID(A48, SEARCH("&amp; ", A48)+2, SEARCH(",", A48, SEARCH("&amp; ", A48)+2) - SEARCH("&amp; ", A48)-2)),
    ""
)</f>
        <v>etal</v>
      </c>
      <c r="G48" s="5" t="str">
        <f>_xlfn.TEXTBEFORE(_xlfn.TEXTAFTER(A48, "("), ")")</f>
        <v>2013</v>
      </c>
      <c r="H48" s="4" t="str">
        <f>_xlfn.TEXTAFTER(A48,"https://doi.org/")</f>
        <v>10.3389/fnhum.2013.00424</v>
      </c>
      <c r="J48" s="13" t="s">
        <v>227</v>
      </c>
      <c r="K48" s="4" t="str">
        <f>TRIM(_xlfn.TEXTJOIN("_",FALSE,D48,(SUBSTITUTE(SUBSTITUTE(J48," ",""), "_", ""))))</f>
        <v>Lewitus_etal_2013_TableS2partial</v>
      </c>
      <c r="L48" s="6" t="str">
        <f>IF(ISBLANK(I48),TRIM(SUBSTITUTE(SUBSTITUTE(SUBSTITUTE(_xlfn.TEXTJOIN("_", FALSE, H48, SUBSTITUTE(J48,"_", "")), "/", "%2F"), ":", "%3A"), " ", "")),TRIM(SUBSTITUTE(SUBSTITUTE(SUBSTITUTE(_xlfn.TEXTJOIN("_", FALSE, I48, SUBSTITUTE(J48,"_", "")), "/", "%2F"), ":", "%3A"), " ", "")))</f>
        <v>10.3389%2Ffnhum.2013.00424_TableS2partial</v>
      </c>
      <c r="M48" t="str">
        <f t="array" ref="M48">IFERROR(INDEX(FileList!$A$1:$A$43, MATCH(L48, _xlfn.TEXTBEFORE(FileList!$A$1:$A$43, ".tsv"), 0)), "notfound")</f>
        <v>10.3389%2Ffnhum.2013.00424_TableS2partial.tsv</v>
      </c>
      <c r="Q48" s="13" t="s">
        <v>42</v>
      </c>
      <c r="AA48" s="13" t="s">
        <v>270</v>
      </c>
      <c r="AI48" s="13">
        <v>7</v>
      </c>
      <c r="AK48" s="13">
        <v>14</v>
      </c>
    </row>
    <row r="49" spans="1:37" ht="16" customHeight="1" x14ac:dyDescent="0.2">
      <c r="A49" s="13" t="s">
        <v>223</v>
      </c>
      <c r="C49" t="str">
        <f>RIGHT(A49,1)</f>
        <v>0</v>
      </c>
      <c r="D49" t="str">
        <f>E49 &amp; IF(F49&lt;&gt;"", "_" &amp; F49, "_") &amp; IF(G49&lt;&gt;"", "_" &amp; G49, "_") &amp; IF(B49&lt;&gt;"", "_" &amp; B49, "")</f>
        <v>Lewitus_etal_2014</v>
      </c>
      <c r="E49" s="2" t="str">
        <f>SUBSTITUTE(SUBSTITUTE(_xlfn.TEXTBEFORE(A49,","), "-", ""), " ", "")</f>
        <v>Lewitus</v>
      </c>
      <c r="F49" s="2" t="str">
        <f>IF(ISNUMBER(FIND("&amp;", A49)),
    IF(LEN(A49)-LEN(SUBSTITUTE(A49, ",", ""))&gt;=6, "etal", MID(A49, SEARCH("&amp; ", A49)+2, SEARCH(",", A49, SEARCH("&amp; ", A49)+2) - SEARCH("&amp; ", A49)-2)),
    ""
)</f>
        <v>etal</v>
      </c>
      <c r="G49" s="2" t="str">
        <f>_xlfn.TEXTBEFORE(_xlfn.TEXTAFTER(A49, "("), ")")</f>
        <v>2014</v>
      </c>
      <c r="H49" t="str">
        <f>_xlfn.TEXTAFTER(A49,"https://doi.org/")</f>
        <v>10.1371/journal.pbio.1002000</v>
      </c>
      <c r="J49" s="13" t="s">
        <v>91</v>
      </c>
      <c r="K49" s="1" t="str">
        <f>TRIM(_xlfn.TEXTJOIN("_",FALSE,D49,(SUBSTITUTE(SUBSTITUTE(J49," ",""), "_", ""))))</f>
        <v>Lewitus_etal_2014_TableS1</v>
      </c>
      <c r="L49" s="1" t="str">
        <f>IF(ISBLANK(I49),TRIM(SUBSTITUTE(SUBSTITUTE(SUBSTITUTE(_xlfn.TEXTJOIN("_", FALSE, H49, SUBSTITUTE(J49,"_", "")), "/", "%2F"), ":", "%3A"), " ", "")),TRIM(SUBSTITUTE(SUBSTITUTE(SUBSTITUTE(_xlfn.TEXTJOIN("_", FALSE, I49, SUBSTITUTE(J49,"_", "")), "/", "%2F"), ":", "%3A"), " ", "")))</f>
        <v>10.1371%2Fjournal.pbio.1002000_TableS1</v>
      </c>
      <c r="M49" t="str">
        <f t="array" ref="M49">IFERROR(INDEX(FileList!$A$1:$A$43, MATCH(L49, _xlfn.TEXTBEFORE(FileList!$A$1:$A$43, ".tsv"), 0)), "notfound")</f>
        <v>10.1371%2Fjournal.pbio.1002000_TableS1.tsv</v>
      </c>
      <c r="N49" s="13" t="s">
        <v>269</v>
      </c>
      <c r="Q49" s="13" t="s">
        <v>42</v>
      </c>
      <c r="AA49" s="13" t="s">
        <v>270</v>
      </c>
      <c r="AI49" s="13">
        <v>9</v>
      </c>
      <c r="AK49" s="13">
        <v>20</v>
      </c>
    </row>
    <row r="50" spans="1:37" ht="16" customHeight="1" x14ac:dyDescent="0.2">
      <c r="A50" s="13" t="s">
        <v>223</v>
      </c>
      <c r="C50" t="str">
        <f>RIGHT(A50,1)</f>
        <v>0</v>
      </c>
      <c r="D50" t="str">
        <f>E50 &amp; IF(F50&lt;&gt;"", "_" &amp; F50, "_") &amp; IF(G50&lt;&gt;"", "_" &amp; G50, "_") &amp; IF(B50&lt;&gt;"", "_" &amp; B50, "")</f>
        <v>Lewitus_etal_2014</v>
      </c>
      <c r="E50" s="2" t="str">
        <f>SUBSTITUTE(SUBSTITUTE(_xlfn.TEXTBEFORE(A50,","), "-", ""), " ", "")</f>
        <v>Lewitus</v>
      </c>
      <c r="F50" s="2" t="str">
        <f>IF(ISNUMBER(FIND("&amp;", A50)),
    IF(LEN(A50)-LEN(SUBSTITUTE(A50, ",", ""))&gt;=6, "etal", MID(A50, SEARCH("&amp; ", A50)+2, SEARCH(",", A50, SEARCH("&amp; ", A50)+2) - SEARCH("&amp; ", A50)-2)),
    ""
)</f>
        <v>etal</v>
      </c>
      <c r="G50" s="2" t="str">
        <f>_xlfn.TEXTBEFORE(_xlfn.TEXTAFTER(A50, "("), ")")</f>
        <v>2014</v>
      </c>
      <c r="H50" t="str">
        <f>_xlfn.TEXTAFTER(A50,"https://doi.org/")</f>
        <v>10.1371/journal.pbio.1002000</v>
      </c>
      <c r="J50" s="13" t="s">
        <v>224</v>
      </c>
      <c r="K50" s="1" t="str">
        <f>TRIM(_xlfn.TEXTJOIN("_",FALSE,D50,(SUBSTITUTE(SUBSTITUTE(J50," ",""), "_", ""))))</f>
        <v>Lewitus_etal_2014_TableS8</v>
      </c>
      <c r="L50" s="1" t="str">
        <f>IF(ISBLANK(I50),TRIM(SUBSTITUTE(SUBSTITUTE(SUBSTITUTE(_xlfn.TEXTJOIN("_", FALSE, H50, SUBSTITUTE(J50,"_", "")), "/", "%2F"), ":", "%3A"), " ", "")),TRIM(SUBSTITUTE(SUBSTITUTE(SUBSTITUTE(_xlfn.TEXTJOIN("_", FALSE, I50, SUBSTITUTE(J50,"_", "")), "/", "%2F"), ":", "%3A"), " ", "")))</f>
        <v>10.1371%2Fjournal.pbio.1002000_TableS8</v>
      </c>
      <c r="M50" t="str">
        <f t="array" ref="M50">IFERROR(INDEX(FileList!$A$1:$A$43, MATCH(L50, _xlfn.TEXTBEFORE(FileList!$A$1:$A$43, ".tsv"), 0)), "notfound")</f>
        <v>10.1371%2Fjournal.pbio.1002000_TableS8.tsv</v>
      </c>
      <c r="N50" s="13" t="s">
        <v>225</v>
      </c>
      <c r="Q50" s="13" t="s">
        <v>42</v>
      </c>
      <c r="AA50" s="13" t="s">
        <v>270</v>
      </c>
      <c r="AI50" s="13">
        <v>6</v>
      </c>
      <c r="AK50" s="13">
        <v>13</v>
      </c>
    </row>
    <row r="51" spans="1:37" ht="15.75" customHeight="1" x14ac:dyDescent="0.2">
      <c r="A51" s="13" t="s">
        <v>347</v>
      </c>
      <c r="C51" t="str">
        <f>RIGHT(A51,1)</f>
        <v>5</v>
      </c>
      <c r="D51" t="str">
        <f>E51 &amp; IF(F51&lt;&gt;"", "_" &amp; F51, "_") &amp; IF(G51&lt;&gt;"", "_" &amp; G51, "_") &amp; IF(B51&lt;&gt;"", "_" &amp; B51, "")</f>
        <v>MacLarnon__1996</v>
      </c>
      <c r="E51" s="7" t="str">
        <f>SUBSTITUTE(SUBSTITUTE(_xlfn.TEXTBEFORE(A51,","), "-", ""), " ", "")</f>
        <v>MacLarnon</v>
      </c>
      <c r="F51" s="2" t="str">
        <f>IF(ISNUMBER(FIND("&amp;", A51)),
    IF(LEN(A51)-LEN(SUBSTITUTE(A51, ",", ""))&gt;=6, "etal", MID(A51, SEARCH("&amp; ", A51)+2, SEARCH(",", A51, SEARCH("&amp; ", A51)+2) - SEARCH("&amp; ", A51)-2)),
    ""
)</f>
        <v/>
      </c>
      <c r="G51" s="7" t="str">
        <f>_xlfn.TEXTBEFORE(_xlfn.TEXTAFTER(A51, "("), ")")</f>
        <v>1996</v>
      </c>
      <c r="H51" t="str">
        <f>_xlfn.TEXTAFTER(A51,"https://doi.org/")</f>
        <v>10.1006/jhev.1996.0005</v>
      </c>
      <c r="J51" s="13" t="s">
        <v>52</v>
      </c>
      <c r="K51" s="3" t="str">
        <f>TRIM(_xlfn.TEXTJOIN("_",FALSE,D51,(SUBSTITUTE(SUBSTITUTE(J51," ",""), "_", ""))))</f>
        <v>MacLarnon__1996_Table1</v>
      </c>
      <c r="L51" s="3" t="str">
        <f>IF(ISBLANK(I51),TRIM(SUBSTITUTE(SUBSTITUTE(SUBSTITUTE(_xlfn.TEXTJOIN("_", FALSE, H51, SUBSTITUTE(J51,"_", "")), "/", "%2F"), ":", "%3A"), " ", "")),TRIM(SUBSTITUTE(SUBSTITUTE(SUBSTITUTE(_xlfn.TEXTJOIN("_", FALSE, I51, SUBSTITUTE(J51,"_", "")), "/", "%2F"), ":", "%3A"), " ", "")))</f>
        <v>10.1006%2Fjhev.1996.0005_Table1</v>
      </c>
      <c r="M51" t="str">
        <f t="array" ref="M51">IFERROR(INDEX(FileList!$A$1:$A$43, MATCH(L51, _xlfn.TEXTBEFORE(FileList!$A$1:$A$43, ".tsv"), 0)), "notfound")</f>
        <v>notfound</v>
      </c>
      <c r="N51" s="13" t="s">
        <v>287</v>
      </c>
      <c r="P51" s="13" t="s">
        <v>125</v>
      </c>
    </row>
    <row r="52" spans="1:37" ht="15.75" customHeight="1" x14ac:dyDescent="0.2">
      <c r="A52" s="13" t="s">
        <v>188</v>
      </c>
      <c r="C52" t="str">
        <f>RIGHT(A52,1)</f>
        <v>2</v>
      </c>
      <c r="D52" t="str">
        <f>E52 &amp; IF(F52&lt;&gt;"", "_" &amp; F52, "_") &amp; IF(G52&lt;&gt;"", "_" &amp; G52, "_") &amp; IF(B52&lt;&gt;"", "_" &amp; B52, "")</f>
        <v>ManyPrimates__2022</v>
      </c>
      <c r="E52" s="2" t="str">
        <f>SUBSTITUTE(SUBSTITUTE(_xlfn.TEXTBEFORE(A52,","), "-", ""), " ", "")</f>
        <v>ManyPrimates</v>
      </c>
      <c r="F52" s="2" t="str">
        <f>IF(ISNUMBER(FIND("&amp;", A52)),
    IF(LEN(A52)-LEN(SUBSTITUTE(A52, ",", ""))&gt;=6, "etal", MID(A52, SEARCH("&amp; ", A52)+2, SEARCH(",", A52, SEARCH("&amp; ", A52)+2) - SEARCH("&amp; ", A52)-2)),
    ""
)</f>
        <v/>
      </c>
      <c r="G52" s="2" t="str">
        <f>_xlfn.TEXTBEFORE(_xlfn.TEXTAFTER(A52, "("), ")")</f>
        <v>2022</v>
      </c>
      <c r="H52" t="str">
        <f>_xlfn.TEXTAFTER(A52,"https://doi.org/")</f>
        <v>10.26451/abc.09.04.06.2022</v>
      </c>
      <c r="J52" s="13" t="s">
        <v>189</v>
      </c>
      <c r="K52" s="1" t="str">
        <f>TRIM(_xlfn.TEXTJOIN("_",FALSE,D52,(SUBSTITUTE(SUBSTITUTE(J52," ",""), "_", ""))))</f>
        <v>ManyPrimates__2022_data/speciespredictors.xlsx</v>
      </c>
      <c r="L52" s="1" t="str">
        <f>IF(ISBLANK(I52),TRIM(SUBSTITUTE(SUBSTITUTE(SUBSTITUTE(_xlfn.TEXTJOIN("_", FALSE, H52, SUBSTITUTE(J52,"_", "")), "/", "%2F"), ":", "%3A"), " ", "")),TRIM(SUBSTITUTE(SUBSTITUTE(SUBSTITUTE(_xlfn.TEXTJOIN("_", FALSE, I52, SUBSTITUTE(J52,"_", "")), "/", "%2F"), ":", "%3A"), " ", "")))</f>
        <v>10.26451%2Fabc.09.04.06.2022_data%2Fspeciespredictors.xlsx</v>
      </c>
      <c r="M52" t="str">
        <f t="array" ref="M52">IFERROR(INDEX(FileList!$A$1:$A$43, MATCH(L52, _xlfn.TEXTBEFORE(FileList!$A$1:$A$43, ".tsv"), 0)), "notfound")</f>
        <v>notfound</v>
      </c>
      <c r="P52" s="13" t="s">
        <v>190</v>
      </c>
      <c r="Q52" s="13" t="s">
        <v>35</v>
      </c>
      <c r="R52" s="14"/>
      <c r="T52" s="13" t="str">
        <f>IF(S52="N", R52, "write file name")</f>
        <v>write file name</v>
      </c>
      <c r="U52" s="13" t="s">
        <v>67</v>
      </c>
      <c r="V52" s="13" t="s">
        <v>46</v>
      </c>
      <c r="W52" s="13" t="s">
        <v>68</v>
      </c>
      <c r="X52" s="13" t="s">
        <v>191</v>
      </c>
      <c r="Y52" s="13" t="s">
        <v>192</v>
      </c>
      <c r="Z52" s="13" t="s">
        <v>49</v>
      </c>
      <c r="AC52" s="13" t="s">
        <v>193</v>
      </c>
      <c r="AE52" s="13" t="s">
        <v>64</v>
      </c>
    </row>
    <row r="53" spans="1:37" ht="15.75" customHeight="1" x14ac:dyDescent="0.2">
      <c r="A53" s="13" t="s">
        <v>211</v>
      </c>
      <c r="C53" t="str">
        <f>RIGHT(A53,1)</f>
        <v>1</v>
      </c>
      <c r="D53" t="str">
        <f>E53 &amp; IF(F53&lt;&gt;"", "_" &amp; F53, "_") &amp; IF(G53&lt;&gt;"", "_" &amp; G53, "_") &amp; IF(B53&lt;&gt;"", "_" &amp; B53, "")</f>
        <v>Mota_etal_2015</v>
      </c>
      <c r="E53" s="2" t="str">
        <f>SUBSTITUTE(SUBSTITUTE(_xlfn.TEXTBEFORE(A53,","), "-", ""), " ", "")</f>
        <v>Mota</v>
      </c>
      <c r="F53" s="2" t="str">
        <f>IF(ISNUMBER(FIND("&amp;", A53)),
    IF(LEN(A53)-LEN(SUBSTITUTE(A53, ",", ""))&gt;=6, "etal", MID(A53, SEARCH("&amp; ", A53)+2, SEARCH(",", A53, SEARCH("&amp; ", A53)+2) - SEARCH("&amp; ", A53)-2)),
    ""
)</f>
        <v>etal</v>
      </c>
      <c r="G53" s="2" t="str">
        <f>_xlfn.TEXTBEFORE(_xlfn.TEXTAFTER(A53, "("), ")")</f>
        <v>2015</v>
      </c>
      <c r="H53" t="str">
        <f>_xlfn.TEXTAFTER(A53,"https://doi.org/")</f>
        <v>10.1126/science.aaa9101</v>
      </c>
      <c r="J53" s="13" t="s">
        <v>91</v>
      </c>
      <c r="K53" s="1" t="str">
        <f>TRIM(_xlfn.TEXTJOIN("_",FALSE,D53,(SUBSTITUTE(SUBSTITUTE(J53," ",""), "_", ""))))</f>
        <v>Mota_etal_2015_TableS1</v>
      </c>
      <c r="L53" s="1" t="str">
        <f>IF(ISBLANK(I53),TRIM(SUBSTITUTE(SUBSTITUTE(SUBSTITUTE(_xlfn.TEXTJOIN("_", FALSE, H53, SUBSTITUTE(J53,"_", "")), "/", "%2F"), ":", "%3A"), " ", "")),TRIM(SUBSTITUTE(SUBSTITUTE(SUBSTITUTE(_xlfn.TEXTJOIN("_", FALSE, I53, SUBSTITUTE(J53,"_", "")), "/", "%2F"), ":", "%3A"), " ", "")))</f>
        <v>10.1126%2Fscience.aaa9101_TableS1</v>
      </c>
      <c r="M53" t="str">
        <f t="array" ref="M53">IFERROR(INDEX(FileList!$A$1:$A$43, MATCH(L53, _xlfn.TEXTBEFORE(FileList!$A$1:$A$43, ".tsv"), 0)), "notfound")</f>
        <v>10.1126%2Fscience.aaa9101_TableS1.tsv</v>
      </c>
      <c r="Q53" s="13" t="s">
        <v>42</v>
      </c>
      <c r="AI53" s="13">
        <v>10</v>
      </c>
      <c r="AK53" s="13">
        <v>15</v>
      </c>
    </row>
    <row r="54" spans="1:37" ht="15.75" customHeight="1" x14ac:dyDescent="0.2">
      <c r="A54" s="13" t="s">
        <v>344</v>
      </c>
      <c r="C54" t="str">
        <f>RIGHT(A54,1)</f>
        <v>6</v>
      </c>
      <c r="D54" t="str">
        <f>E54 &amp; IF(F54&lt;&gt;"", "_" &amp; F54, "_") &amp; IF(G54&lt;&gt;"", "_" &amp; G54, "_") &amp; IF(B54&lt;&gt;"", "_" &amp; B54, "")</f>
        <v>Mota_etal_2019</v>
      </c>
      <c r="E54" s="7" t="str">
        <f>SUBSTITUTE(SUBSTITUTE(_xlfn.TEXTBEFORE(A54,","), "-", ""), " ", "")</f>
        <v>Mota</v>
      </c>
      <c r="F54" s="2" t="str">
        <f>IF(ISNUMBER(FIND("&amp;", A54)),
    IF(LEN(A54)-LEN(SUBSTITUTE(A54, ",", ""))&gt;=6, "etal", MID(A54, SEARCH("&amp; ", A54)+2, SEARCH(",", A54, SEARCH("&amp; ", A54)+2) - SEARCH("&amp; ", A54)-2)),
    ""
)</f>
        <v>etal</v>
      </c>
      <c r="G54" s="7" t="str">
        <f>_xlfn.TEXTBEFORE(_xlfn.TEXTAFTER(A54, "("), ")")</f>
        <v>2019</v>
      </c>
      <c r="H54" t="str">
        <f>_xlfn.TEXTAFTER(A54,"https://doi.org/")</f>
        <v>10.1073/pnas.1716956116</v>
      </c>
      <c r="J54" s="13" t="s">
        <v>272</v>
      </c>
      <c r="K54" s="3" t="str">
        <f>TRIM(_xlfn.TEXTJOIN("_",FALSE,D54,(SUBSTITUTE(SUBSTITUTE(J54," ",""), "_", ""))))</f>
        <v>Mota_etal_2019_SupplementaryTableS1</v>
      </c>
      <c r="L54" s="3" t="str">
        <f>IF(ISBLANK(I54),TRIM(SUBSTITUTE(SUBSTITUTE(SUBSTITUTE(_xlfn.TEXTJOIN("_", FALSE, H54, SUBSTITUTE(J54,"_", "")), "/", "%2F"), ":", "%3A"), " ", "")),TRIM(SUBSTITUTE(SUBSTITUTE(SUBSTITUTE(_xlfn.TEXTJOIN("_", FALSE, I54, SUBSTITUTE(J54,"_", "")), "/", "%2F"), ":", "%3A"), " ", "")))</f>
        <v>10.1073%2Fpnas.1716956116_SupplementaryTableS1</v>
      </c>
      <c r="M54" t="str">
        <f t="array" ref="M54">IFERROR(INDEX(FileList!$A$1:$A$43, MATCH(L54, _xlfn.TEXTBEFORE(FileList!$A$1:$A$43, ".tsv"), 0)), "notfound")</f>
        <v>notfound</v>
      </c>
      <c r="N54" s="13" t="s">
        <v>271</v>
      </c>
      <c r="P54" s="13" t="s">
        <v>125</v>
      </c>
      <c r="AC54" s="13" t="s">
        <v>280</v>
      </c>
    </row>
    <row r="55" spans="1:37" ht="15.75" customHeight="1" x14ac:dyDescent="0.2">
      <c r="A55" s="13" t="s">
        <v>194</v>
      </c>
      <c r="C55" t="str">
        <f>RIGHT(A55,1)</f>
        <v>5</v>
      </c>
      <c r="D55" t="str">
        <f>E55 &amp; IF(F55&lt;&gt;"", "_" &amp; F55, "_") &amp; IF(G55&lt;&gt;"", "_" &amp; G55, "_") &amp; IF(B55&lt;&gt;"", "_" &amp; B55, "")</f>
        <v>Powell_etal_2017</v>
      </c>
      <c r="E55" s="2" t="str">
        <f>SUBSTITUTE(SUBSTITUTE(_xlfn.TEXTBEFORE(A55,","), "-", ""), " ", "")</f>
        <v>Powell</v>
      </c>
      <c r="F55" s="2" t="str">
        <f>IF(ISNUMBER(FIND("&amp;", A55)),
    IF(LEN(A55)-LEN(SUBSTITUTE(A55, ",", ""))&gt;=6, "etal", MID(A55, SEARCH("&amp; ", A55)+2, SEARCH(",", A55, SEARCH("&amp; ", A55)+2) - SEARCH("&amp; ", A55)-2)),
    ""
)</f>
        <v>etal</v>
      </c>
      <c r="G55" s="2" t="str">
        <f>_xlfn.TEXTBEFORE(_xlfn.TEXTAFTER(A55, "("), ")")</f>
        <v>2017</v>
      </c>
      <c r="H55" t="str">
        <f>_xlfn.TEXTAFTER(A55,"https://doi.org/")</f>
        <v>10.1098/rspb.2017.1765</v>
      </c>
      <c r="I55" s="13" t="s">
        <v>195</v>
      </c>
      <c r="J55" s="13" t="s">
        <v>196</v>
      </c>
      <c r="K55" s="1" t="str">
        <f>TRIM(_xlfn.TEXTJOIN("_",FALSE,D55,(SUBSTITUTE(SUBSTITUTE(J55," ",""), "_", ""))))</f>
        <v>Powell_etal_2017_Dataset1</v>
      </c>
      <c r="L55" s="1" t="str">
        <f>IF(ISBLANK(I55),TRIM(SUBSTITUTE(SUBSTITUTE(SUBSTITUTE(_xlfn.TEXTJOIN("_", FALSE, H55, SUBSTITUTE(J55,"_", "")), "/", "%2F"), ":", "%3A"), " ", "")),TRIM(SUBSTITUTE(SUBSTITUTE(SUBSTITUTE(_xlfn.TEXTJOIN("_", FALSE, I55, SUBSTITUTE(J55,"_", "")), "/", "%2F"), ":", "%3A"), " ", "")))</f>
        <v>10.6084%2Fm9.figshare.c.3899422.v1_Dataset1</v>
      </c>
      <c r="M55" t="str">
        <f t="array" ref="M55">IFERROR(INDEX(FileList!$A$1:$A$43, MATCH(L55, _xlfn.TEXTBEFORE(FileList!$A$1:$A$43, ".tsv"), 0)), "notfound")</f>
        <v>notfound</v>
      </c>
      <c r="P55" s="13" t="s">
        <v>125</v>
      </c>
      <c r="Q55" s="13" t="s">
        <v>35</v>
      </c>
      <c r="R55" s="14"/>
      <c r="T55" s="13" t="str">
        <f>IF(S55="N", R55, "write file name")</f>
        <v>write file name</v>
      </c>
      <c r="U55" s="13" t="s">
        <v>67</v>
      </c>
      <c r="V55" s="13" t="s">
        <v>46</v>
      </c>
      <c r="W55" s="13" t="s">
        <v>68</v>
      </c>
      <c r="X55" s="13" t="s">
        <v>197</v>
      </c>
      <c r="Y55" s="13" t="s">
        <v>198</v>
      </c>
      <c r="Z55" s="13" t="s">
        <v>49</v>
      </c>
      <c r="AC55" s="13" t="s">
        <v>48</v>
      </c>
      <c r="AE55" s="13" t="s">
        <v>64</v>
      </c>
    </row>
    <row r="56" spans="1:37" ht="15.75" customHeight="1" x14ac:dyDescent="0.2">
      <c r="A56" s="13" t="s">
        <v>199</v>
      </c>
      <c r="B56" s="13" t="s">
        <v>200</v>
      </c>
      <c r="C56" t="str">
        <f>RIGHT(A56,1)</f>
        <v>2</v>
      </c>
      <c r="D56" t="str">
        <f>E56 &amp; IF(F56&lt;&gt;"", "_" &amp; F56, "_") &amp; IF(G56&lt;&gt;"", "_" &amp; G56, "_") &amp; IF(B56&lt;&gt;"", "_" &amp; B56, "")</f>
        <v>Sherwood_etal_2004_I</v>
      </c>
      <c r="E56" s="2" t="str">
        <f>SUBSTITUTE(SUBSTITUTE(_xlfn.TEXTBEFORE(A56,","), "-", ""), " ", "")</f>
        <v>Sherwood</v>
      </c>
      <c r="F56" s="2" t="str">
        <f>IF(ISNUMBER(FIND("&amp;", A56)),
    IF(LEN(A56)-LEN(SUBSTITUTE(A56, ",", ""))&gt;=6, "etal", MID(A56, SEARCH("&amp; ", A56)+2, SEARCH(",", A56, SEARCH("&amp; ", A56)+2) - SEARCH("&amp; ", A56)-2)),
    ""
)</f>
        <v>etal</v>
      </c>
      <c r="G56" s="2" t="str">
        <f>_xlfn.TEXTBEFORE(_xlfn.TEXTAFTER(A56, "("), ")")</f>
        <v>2004</v>
      </c>
      <c r="H56" t="str">
        <f>_xlfn.TEXTAFTER(A56,"https://doi.org/")</f>
        <v>10.1159/000075672</v>
      </c>
      <c r="J56" s="13" t="s">
        <v>143</v>
      </c>
      <c r="K56" s="1" t="str">
        <f>TRIM(_xlfn.TEXTJOIN("_",FALSE,D56,(SUBSTITUTE(SUBSTITUTE(J56," ",""), "_", ""))))</f>
        <v>Sherwood_etal_2004_I_Table4</v>
      </c>
      <c r="L56" s="1" t="str">
        <f>IF(ISBLANK(I56),TRIM(SUBSTITUTE(SUBSTITUTE(SUBSTITUTE(_xlfn.TEXTJOIN("_", FALSE, H56, SUBSTITUTE(J56,"_", "")), "/", "%2F"), ":", "%3A"), " ", "")),TRIM(SUBSTITUTE(SUBSTITUTE(SUBSTITUTE(_xlfn.TEXTJOIN("_", FALSE, I56, SUBSTITUTE(J56,"_", "")), "/", "%2F"), ":", "%3A"), " ", "")))</f>
        <v>10.1159%2F000075672_Table4</v>
      </c>
      <c r="M56" t="str">
        <f t="array" ref="M56">IFERROR(INDEX(FileList!$A$1:$A$43, MATCH(L56, _xlfn.TEXTBEFORE(FileList!$A$1:$A$43, ".tsv"), 0)), "notfound")</f>
        <v>notfound</v>
      </c>
      <c r="N56" s="13" t="s">
        <v>202</v>
      </c>
      <c r="P56" s="13" t="s">
        <v>190</v>
      </c>
      <c r="Q56" s="13" t="s">
        <v>35</v>
      </c>
      <c r="R56" s="14"/>
      <c r="T56" s="13" t="str">
        <f>IF(S56="N", R56, "write file name")</f>
        <v>write file name</v>
      </c>
      <c r="U56" s="13" t="s">
        <v>57</v>
      </c>
      <c r="V56" s="13" t="s">
        <v>201</v>
      </c>
      <c r="Y56" s="13" t="s">
        <v>203</v>
      </c>
      <c r="Z56" s="13" t="s">
        <v>99</v>
      </c>
      <c r="AE56" s="13" t="s">
        <v>64</v>
      </c>
    </row>
    <row r="57" spans="1:37" ht="15.75" customHeight="1" x14ac:dyDescent="0.2">
      <c r="A57" s="13" t="s">
        <v>199</v>
      </c>
      <c r="B57" s="13" t="s">
        <v>200</v>
      </c>
      <c r="C57" t="str">
        <f>RIGHT(A57,1)</f>
        <v>2</v>
      </c>
      <c r="D57" t="str">
        <f>E57 &amp; IF(F57&lt;&gt;"", "_" &amp; F57, "_") &amp; IF(G57&lt;&gt;"", "_" &amp; G57, "_") &amp; IF(B57&lt;&gt;"", "_" &amp; B57, "")</f>
        <v>Sherwood_etal_2004_I</v>
      </c>
      <c r="E57" s="2" t="str">
        <f>SUBSTITUTE(SUBSTITUTE(_xlfn.TEXTBEFORE(A57,","), "-", ""), " ", "")</f>
        <v>Sherwood</v>
      </c>
      <c r="F57" s="2" t="str">
        <f>IF(ISNUMBER(FIND("&amp;", A57)),
    IF(LEN(A57)-LEN(SUBSTITUTE(A57, ",", ""))&gt;=6, "etal", MID(A57, SEARCH("&amp; ", A57)+2, SEARCH(",", A57, SEARCH("&amp; ", A57)+2) - SEARCH("&amp; ", A57)-2)),
    ""
)</f>
        <v>etal</v>
      </c>
      <c r="G57" s="2" t="str">
        <f>_xlfn.TEXTBEFORE(_xlfn.TEXTAFTER(A57, "("), ")")</f>
        <v>2004</v>
      </c>
      <c r="H57" t="str">
        <f>_xlfn.TEXTAFTER(A57,"https://doi.org/")</f>
        <v>10.1159/000075672</v>
      </c>
      <c r="J57" s="13" t="s">
        <v>147</v>
      </c>
      <c r="K57" s="1" t="str">
        <f>TRIM(_xlfn.TEXTJOIN("_",FALSE,D57,(SUBSTITUTE(SUBSTITUTE(J57," ",""), "_", ""))))</f>
        <v>Sherwood_etal_2004_I_Table5</v>
      </c>
      <c r="L57" s="1" t="str">
        <f>IF(ISBLANK(I57),TRIM(SUBSTITUTE(SUBSTITUTE(SUBSTITUTE(_xlfn.TEXTJOIN("_", FALSE, H57, SUBSTITUTE(J57,"_", "")), "/", "%2F"), ":", "%3A"), " ", "")),TRIM(SUBSTITUTE(SUBSTITUTE(SUBSTITUTE(_xlfn.TEXTJOIN("_", FALSE, I57, SUBSTITUTE(J57,"_", "")), "/", "%2F"), ":", "%3A"), " ", "")))</f>
        <v>10.1159%2F000075672_Table5</v>
      </c>
      <c r="M57" t="str">
        <f t="array" ref="M57">IFERROR(INDEX(FileList!$A$1:$A$43, MATCH(L57, _xlfn.TEXTBEFORE(FileList!$A$1:$A$43, ".tsv"), 0)), "notfound")</f>
        <v>notfound</v>
      </c>
      <c r="N57" s="13" t="s">
        <v>204</v>
      </c>
      <c r="P57" s="13" t="s">
        <v>190</v>
      </c>
      <c r="Q57" s="13" t="s">
        <v>35</v>
      </c>
      <c r="R57" s="14"/>
      <c r="T57" s="13" t="str">
        <f>IF(S57="N", R57, "write file name")</f>
        <v>write file name</v>
      </c>
      <c r="U57" s="13" t="s">
        <v>57</v>
      </c>
      <c r="V57" s="13" t="s">
        <v>201</v>
      </c>
      <c r="Y57" s="13" t="s">
        <v>203</v>
      </c>
      <c r="Z57" s="13" t="s">
        <v>99</v>
      </c>
      <c r="AE57" s="13" t="s">
        <v>64</v>
      </c>
    </row>
    <row r="58" spans="1:37" ht="15.75" customHeight="1" x14ac:dyDescent="0.2">
      <c r="A58" s="13" t="s">
        <v>228</v>
      </c>
      <c r="C58" t="str">
        <f>RIGHT(A58,1)</f>
        <v>1</v>
      </c>
      <c r="D58" t="str">
        <f>E58 &amp; IF(F58&lt;&gt;"", "_" &amp; F58, "_") &amp; IF(G58&lt;&gt;"", "_" &amp; G58, "_") &amp; IF(B58&lt;&gt;"", "_" &amp; B58, "")</f>
        <v>Smaers_etal_2011</v>
      </c>
      <c r="E58" s="7" t="str">
        <f>SUBSTITUTE(SUBSTITUTE(_xlfn.TEXTBEFORE(A58,","), "-", ""), " ", "")</f>
        <v>Smaers</v>
      </c>
      <c r="F58" s="2" t="str">
        <f>IF(ISNUMBER(FIND("&amp;", A58)),
    IF(LEN(A58)-LEN(SUBSTITUTE(A58, ",", ""))&gt;=6, "etal", MID(A58, SEARCH("&amp; ", A58)+2, SEARCH(",", A58, SEARCH("&amp; ", A58)+2) - SEARCH("&amp; ", A58)-2)),
    ""
)</f>
        <v>etal</v>
      </c>
      <c r="G58" s="7" t="str">
        <f>_xlfn.TEXTBEFORE(_xlfn.TEXTAFTER(A58, "("), ")")</f>
        <v>2011</v>
      </c>
      <c r="H58" t="str">
        <f>_xlfn.TEXTAFTER(A58,"https://doi.org/")</f>
        <v>10.1159/000323671</v>
      </c>
      <c r="J58" s="13" t="s">
        <v>229</v>
      </c>
      <c r="K58" s="3" t="str">
        <f>TRIM(_xlfn.TEXTJOIN("_",FALSE,D58,(SUBSTITUTE(SUBSTITUTE(J58," ",""), "_", ""))))</f>
        <v>Smaers_etal_2011_SupplementaryTable1</v>
      </c>
      <c r="L58" s="3" t="str">
        <f>IF(ISBLANK(I58),TRIM(SUBSTITUTE(SUBSTITUTE(SUBSTITUTE(_xlfn.TEXTJOIN("_", FALSE, H58, SUBSTITUTE(J58,"_", "")), "/", "%2F"), ":", "%3A"), " ", "")),TRIM(SUBSTITUTE(SUBSTITUTE(SUBSTITUTE(_xlfn.TEXTJOIN("_", FALSE, I58, SUBSTITUTE(J58,"_", "")), "/", "%2F"), ":", "%3A"), " ", "")))</f>
        <v>10.1159%2F000323671_SupplementaryTable1</v>
      </c>
      <c r="M58" t="str">
        <f t="array" ref="M58">IFERROR(INDEX(FileList!$A$1:$A$43, MATCH(L58, _xlfn.TEXTBEFORE(FileList!$A$1:$A$43, ".tsv"), 0)), "notfound")</f>
        <v>10.1159%2F000323671_SupplementaryTable1.tsv</v>
      </c>
      <c r="Q58" s="13" t="s">
        <v>42</v>
      </c>
      <c r="AI58" s="13" t="s">
        <v>230</v>
      </c>
    </row>
    <row r="59" spans="1:37" ht="15.75" customHeight="1" x14ac:dyDescent="0.2">
      <c r="A59" s="13" t="s">
        <v>228</v>
      </c>
      <c r="C59" t="str">
        <f>RIGHT(A59,1)</f>
        <v>1</v>
      </c>
      <c r="D59" t="str">
        <f>E59 &amp; IF(F59&lt;&gt;"", "_" &amp; F59, "_") &amp; IF(G59&lt;&gt;"", "_" &amp; G59, "_") &amp; IF(B59&lt;&gt;"", "_" &amp; B59, "")</f>
        <v>Smaers_etal_2011</v>
      </c>
      <c r="E59" s="7" t="str">
        <f>SUBSTITUTE(SUBSTITUTE(_xlfn.TEXTBEFORE(A59,","), "-", ""), " ", "")</f>
        <v>Smaers</v>
      </c>
      <c r="F59" s="2" t="str">
        <f>IF(ISNUMBER(FIND("&amp;", A59)),
    IF(LEN(A59)-LEN(SUBSTITUTE(A59, ",", ""))&gt;=6, "etal", MID(A59, SEARCH("&amp; ", A59)+2, SEARCH(",", A59, SEARCH("&amp; ", A59)+2) - SEARCH("&amp; ", A59)-2)),
    ""
)</f>
        <v>etal</v>
      </c>
      <c r="G59" s="7" t="str">
        <f>_xlfn.TEXTBEFORE(_xlfn.TEXTAFTER(A59, "("), ")")</f>
        <v>2011</v>
      </c>
      <c r="H59" t="str">
        <f>_xlfn.TEXTAFTER(A59,"https://doi.org/")</f>
        <v>10.1159/000323671</v>
      </c>
      <c r="J59" s="13" t="s">
        <v>231</v>
      </c>
      <c r="K59" s="3" t="str">
        <f>TRIM(_xlfn.TEXTJOIN("_",FALSE,D59,(SUBSTITUTE(SUBSTITUTE(J59," ",""), "_", ""))))</f>
        <v>Smaers_etal_2011_SupplementaryTable2</v>
      </c>
      <c r="L59" s="3" t="str">
        <f>IF(ISBLANK(I59),TRIM(SUBSTITUTE(SUBSTITUTE(SUBSTITUTE(_xlfn.TEXTJOIN("_", FALSE, H59, SUBSTITUTE(J59,"_", "")), "/", "%2F"), ":", "%3A"), " ", "")),TRIM(SUBSTITUTE(SUBSTITUTE(SUBSTITUTE(_xlfn.TEXTJOIN("_", FALSE, I59, SUBSTITUTE(J59,"_", "")), "/", "%2F"), ":", "%3A"), " ", "")))</f>
        <v>10.1159%2F000323671_SupplementaryTable2</v>
      </c>
      <c r="M59" t="str">
        <f t="array" ref="M59">IFERROR(INDEX(FileList!$A$1:$A$43, MATCH(L59, _xlfn.TEXTBEFORE(FileList!$A$1:$A$43, ".tsv"), 0)), "notfound")</f>
        <v>10.1159%2F000323671_SupplementaryTable2.tsv</v>
      </c>
      <c r="Q59" s="13" t="s">
        <v>42</v>
      </c>
      <c r="AI59" s="13" t="s">
        <v>230</v>
      </c>
    </row>
    <row r="60" spans="1:37" ht="15.75" customHeight="1" x14ac:dyDescent="0.2">
      <c r="A60" s="13" t="s">
        <v>364</v>
      </c>
      <c r="C60" t="str">
        <f>RIGHT(A60,1)</f>
        <v>2</v>
      </c>
      <c r="D60" t="str">
        <f>E60 &amp; IF(F60&lt;&gt;"", "_" &amp; F60, "_") &amp; IF(G60&lt;&gt;"", "_" &amp; G60, "_") &amp; IF(B60&lt;&gt;"", "_" &amp; B60, "")</f>
        <v>Turner_etal_2016</v>
      </c>
      <c r="E60" s="7" t="str">
        <f>SUBSTITUTE(SUBSTITUTE(_xlfn.TEXTBEFORE(A60,","), "-", ""), " ", "")</f>
        <v>Turner</v>
      </c>
      <c r="F60" s="2" t="str">
        <f>IF(ISNUMBER(FIND("&amp;", A60)),
    IF(LEN(A60)-LEN(SUBSTITUTE(A60, ",", ""))&gt;=6, "etal", MID(A60, SEARCH("&amp; ", A60)+2, SEARCH(",", A60, SEARCH("&amp; ", A60)+2) - SEARCH("&amp; ", A60)-2)),
    ""
)</f>
        <v>etal</v>
      </c>
      <c r="G60" s="7" t="str">
        <f>_xlfn.TEXTBEFORE(_xlfn.TEXTAFTER(A60, "("), ")")</f>
        <v>2016</v>
      </c>
      <c r="H60" t="str">
        <f>_xlfn.TEXTAFTER(A60,"https://doi.org/")</f>
        <v>10.1159/000446762</v>
      </c>
      <c r="J60" s="13" t="s">
        <v>52</v>
      </c>
      <c r="K60" s="3" t="str">
        <f>TRIM(_xlfn.TEXTJOIN("_",FALSE,D60,(SUBSTITUTE(SUBSTITUTE(J60," ",""), "_", ""))))</f>
        <v>Turner_etal_2016_Table1</v>
      </c>
      <c r="L60" s="3" t="str">
        <f>IF(ISBLANK(I60),TRIM(SUBSTITUTE(SUBSTITUTE(SUBSTITUTE(_xlfn.TEXTJOIN("_", FALSE, H60, SUBSTITUTE(J60,"_", "")), "/", "%2F"), ":", "%3A"), " ", "")),TRIM(SUBSTITUTE(SUBSTITUTE(SUBSTITUTE(_xlfn.TEXTJOIN("_", FALSE, I60, SUBSTITUTE(J60,"_", "")), "/", "%2F"), ":", "%3A"), " ", "")))</f>
        <v>10.1159%2F000446762_Table1</v>
      </c>
      <c r="M60" t="str">
        <f t="array" ref="M60">IFERROR(INDEX(FileList!$A$1:$A$43, MATCH(L60, _xlfn.TEXTBEFORE(FileList!$A$1:$A$43, ".tsv"), 0)), "notfound")</f>
        <v>notfound</v>
      </c>
      <c r="N60" s="13" t="s">
        <v>362</v>
      </c>
      <c r="Y60" s="13" t="s">
        <v>363</v>
      </c>
    </row>
    <row r="61" spans="1:37" ht="15.75" customHeight="1" x14ac:dyDescent="0.2">
      <c r="A61" s="13" t="s">
        <v>350</v>
      </c>
      <c r="C61" t="str">
        <f>RIGHT(A61,1)</f>
        <v>1</v>
      </c>
      <c r="D61" t="str">
        <f>E61 &amp; IF(F61&lt;&gt;"", "_" &amp; F61, "_") &amp; IF(G61&lt;&gt;"", "_" &amp; G61, "_") &amp; IF(B61&lt;&gt;"", "_" &amp; B61, "")</f>
        <v>Wilman_etal_2014</v>
      </c>
      <c r="E61" s="7" t="str">
        <f>SUBSTITUTE(SUBSTITUTE(_xlfn.TEXTBEFORE(A61,","), "-", ""), " ", "")</f>
        <v>Wilman</v>
      </c>
      <c r="F61" s="2" t="str">
        <f>IF(ISNUMBER(FIND("&amp;", A61)),
    IF(LEN(A61)-LEN(SUBSTITUTE(A61, ",", ""))&gt;=6, "etal", MID(A61, SEARCH("&amp; ", A61)+2, SEARCH(",", A61, SEARCH("&amp; ", A61)+2) - SEARCH("&amp; ", A61)-2)),
    ""
)</f>
        <v>etal</v>
      </c>
      <c r="G61" s="7" t="str">
        <f>_xlfn.TEXTBEFORE(_xlfn.TEXTAFTER(A61, "("), ")")</f>
        <v>2014</v>
      </c>
      <c r="H61" t="str">
        <f>_xlfn.TEXTAFTER(A61,"https://doi.org/")</f>
        <v>10.1890/13-1917.1</v>
      </c>
      <c r="J61" s="13" t="s">
        <v>338</v>
      </c>
      <c r="K61" s="3" t="str">
        <f>TRIM(_xlfn.TEXTJOIN("_",FALSE,D61,(SUBSTITUTE(SUBSTITUTE(J61," ",""), "_", ""))))</f>
        <v>Wilman_etal_2014_MamFuncDat.txt</v>
      </c>
      <c r="L61" s="3" t="str">
        <f>IF(ISBLANK(I61),TRIM(SUBSTITUTE(SUBSTITUTE(SUBSTITUTE(_xlfn.TEXTJOIN("_", FALSE, H61, SUBSTITUTE(J61,"_", "")), "/", "%2F"), ":", "%3A"), " ", "")),TRIM(SUBSTITUTE(SUBSTITUTE(SUBSTITUTE(_xlfn.TEXTJOIN("_", FALSE, I61, SUBSTITUTE(J61,"_", "")), "/", "%2F"), ":", "%3A"), " ", "")))</f>
        <v>10.1890%2F13-1917.1_MamFuncDat.txt</v>
      </c>
      <c r="M61" t="str">
        <f t="array" ref="M61">IFERROR(INDEX(FileList!$A$1:$A$43, MATCH(L61, _xlfn.TEXTBEFORE(FileList!$A$1:$A$43, ".tsv"), 0)), "notfound")</f>
        <v>notfound</v>
      </c>
    </row>
    <row r="62" spans="1:37" ht="15.75" customHeight="1" x14ac:dyDescent="0.2">
      <c r="A62" s="13" t="s">
        <v>348</v>
      </c>
      <c r="C62" t="str">
        <f>RIGHT(A62,1)</f>
        <v>7</v>
      </c>
      <c r="D62" t="str">
        <f>E62 &amp; IF(F62&lt;&gt;"", "_" &amp; F62, "_") &amp; IF(G62&lt;&gt;"", "_" &amp; G62, "_") &amp; IF(B62&lt;&gt;"", "_" &amp; B62, "")</f>
        <v>Wimberly_etal_2021</v>
      </c>
      <c r="E62" s="7" t="str">
        <f>SUBSTITUTE(SUBSTITUTE(_xlfn.TEXTBEFORE(A62,","), "-", ""), " ", "")</f>
        <v>Wimberly</v>
      </c>
      <c r="F62" s="2" t="str">
        <f>IF(ISNUMBER(FIND("&amp;", A62)),
    IF(LEN(A62)-LEN(SUBSTITUTE(A62, ",", ""))&gt;=6, "etal", MID(A62, SEARCH("&amp; ", A62)+2, SEARCH(",", A62, SEARCH("&amp; ", A62)+2) - SEARCH("&amp; ", A62)-2)),
    ""
)</f>
        <v>etal</v>
      </c>
      <c r="G62" s="7" t="str">
        <f>_xlfn.TEXTBEFORE(_xlfn.TEXTAFTER(A62, "("), ")")</f>
        <v>2021</v>
      </c>
      <c r="H62" t="str">
        <f>_xlfn.TEXTAFTER(A62,"https://doi.org/")</f>
        <v>10.1098/rspb.2021.0937</v>
      </c>
      <c r="J62" s="13" t="s">
        <v>337</v>
      </c>
      <c r="K62" s="3" t="str">
        <f>TRIM(_xlfn.TEXTJOIN("_",FALSE,D62,(SUBSTITUTE(SUBSTITUTE(J62," ",""), "_", ""))))</f>
        <v>Wimberly_etal_2021_mammalgait.txt</v>
      </c>
      <c r="L62" s="3" t="str">
        <f>IF(ISBLANK(I62),TRIM(SUBSTITUTE(SUBSTITUTE(SUBSTITUTE(_xlfn.TEXTJOIN("_", FALSE, H62, SUBSTITUTE(J62,"_", "")), "/", "%2F"), ":", "%3A"), " ", "")),TRIM(SUBSTITUTE(SUBSTITUTE(SUBSTITUTE(_xlfn.TEXTJOIN("_", FALSE, I62, SUBSTITUTE(J62,"_", "")), "/", "%2F"), ":", "%3A"), " ", "")))</f>
        <v>10.1098%2Frspb.2021.0937_mammalgait.txt</v>
      </c>
      <c r="M62" t="str">
        <f t="array" ref="M62">IFERROR(INDEX(FileList!$A$1:$A$43, MATCH(L62, _xlfn.TEXTBEFORE(FileList!$A$1:$A$43, ".tsv"), 0)), "notfound")</f>
        <v>notfound</v>
      </c>
      <c r="P62" s="13" t="s">
        <v>125</v>
      </c>
    </row>
    <row r="63" spans="1:37" x14ac:dyDescent="0.2">
      <c r="A63" s="13" t="s">
        <v>205</v>
      </c>
      <c r="C63" t="str">
        <f>RIGHT(A63,1)</f>
        <v>5</v>
      </c>
      <c r="D63" t="str">
        <f>E63 &amp; IF(F63&lt;&gt;"", "_" &amp; F63, "_") &amp; IF(G63&lt;&gt;"", "_" &amp; G63, "_") &amp; IF(B63&lt;&gt;"", "_" &amp; B63, "")</f>
        <v>Winkler_Bryant_2021</v>
      </c>
      <c r="E63" s="2" t="str">
        <f>SUBSTITUTE(SUBSTITUTE(_xlfn.TEXTBEFORE(A63,","), "-", ""), " ", "")</f>
        <v>Winkler</v>
      </c>
      <c r="F63" s="2" t="str">
        <f>IF(ISNUMBER(FIND("&amp;", A63)),
    IF(LEN(A63)-LEN(SUBSTITUTE(A63, ",", ""))&gt;=6, "etal", MID(A63, SEARCH("&amp; ", A63)+2, SEARCH(",", A63, SEARCH("&amp; ", A63)+2) - SEARCH("&amp; ", A63)-2)),
    ""
)</f>
        <v>Bryant</v>
      </c>
      <c r="G63" s="2" t="str">
        <f>_xlfn.TEXTBEFORE(_xlfn.TEXTAFTER(A63, "("), ")")</f>
        <v>2021</v>
      </c>
      <c r="H63" t="str">
        <f>_xlfn.TEXTAFTER(A63,"https://doi.org/")</f>
        <v>10.1080/09524622.2021.1905065</v>
      </c>
      <c r="J63" s="13" t="s">
        <v>206</v>
      </c>
      <c r="K63" s="1" t="str">
        <f>TRIM(_xlfn.TEXTJOIN("_",FALSE,D63,(SUBSTITUTE(SUBSTITUTE(J63," ",""), "_", ""))))</f>
        <v>Winkler_Bryant_2021_Figure1</v>
      </c>
      <c r="L63" s="1" t="str">
        <f>IF(ISBLANK(I63),TRIM(SUBSTITUTE(SUBSTITUTE(SUBSTITUTE(_xlfn.TEXTJOIN("_", FALSE, H63, SUBSTITUTE(J63,"_", "")), "/", "%2F"), ":", "%3A"), " ", "")),TRIM(SUBSTITUTE(SUBSTITUTE(SUBSTITUTE(_xlfn.TEXTJOIN("_", FALSE, I63, SUBSTITUTE(J63,"_", "")), "/", "%2F"), ":", "%3A"), " ", "")))</f>
        <v>10.1080%2F09524622.2021.1905065_Figure1</v>
      </c>
      <c r="M63" t="str">
        <f t="array" ref="M63">IFERROR(INDEX(FileList!$A$1:$A$43, MATCH(L63, _xlfn.TEXTBEFORE(FileList!$A$1:$A$43, ".tsv"), 0)), "notfound")</f>
        <v>notfound</v>
      </c>
      <c r="P63" s="13" t="s">
        <v>125</v>
      </c>
      <c r="Q63" s="13" t="s">
        <v>35</v>
      </c>
      <c r="R63" s="14"/>
      <c r="T63" s="13" t="str">
        <f>IF(S63="N", R63, "write file name")</f>
        <v>write file name</v>
      </c>
      <c r="U63" s="13" t="s">
        <v>57</v>
      </c>
      <c r="V63" s="13" t="s">
        <v>207</v>
      </c>
      <c r="Y63" s="13" t="s">
        <v>208</v>
      </c>
      <c r="AE63" s="13" t="s">
        <v>37</v>
      </c>
    </row>
    <row r="64" spans="1:37" x14ac:dyDescent="0.2">
      <c r="A64" s="13" t="s">
        <v>209</v>
      </c>
      <c r="C64" t="str">
        <f>RIGHT(A64,1)</f>
        <v>0</v>
      </c>
      <c r="D64" t="str">
        <f>E64 &amp; IF(F64&lt;&gt;"", "_" &amp; F64, "_") &amp; IF(G64&lt;&gt;"", "_" &amp; G64, "_") &amp; IF(B64&lt;&gt;"", "_" &amp; B64, "")</f>
        <v>Young_etal_2013</v>
      </c>
      <c r="E64" s="2" t="str">
        <f>SUBSTITUTE(SUBSTITUTE(_xlfn.TEXTBEFORE(A64,","), "-", ""), " ", "")</f>
        <v>Young</v>
      </c>
      <c r="F64" s="2" t="str">
        <f>IF(ISNUMBER(FIND("&amp;", A64)),
    IF(LEN(A64)-LEN(SUBSTITUTE(A64, ",", ""))&gt;=6, "etal", MID(A64, SEARCH("&amp; ", A64)+2, SEARCH(",", A64, SEARCH("&amp; ", A64)+2) - SEARCH("&amp; ", A64)-2)),
    ""
)</f>
        <v>etal</v>
      </c>
      <c r="G64" s="2" t="str">
        <f>_xlfn.TEXTBEFORE(_xlfn.TEXTAFTER(A64, "("), ")")</f>
        <v>2013</v>
      </c>
      <c r="H64" t="str">
        <f>_xlfn.TEXTAFTER(A64,"https://doi.org/")</f>
        <v>10.3389/fncir.2013.00030</v>
      </c>
      <c r="J64" s="13" t="s">
        <v>52</v>
      </c>
      <c r="K64" s="1" t="str">
        <f>TRIM(_xlfn.TEXTJOIN("_",FALSE,D64,(SUBSTITUTE(SUBSTITUTE(J64," ",""), "_", ""))))</f>
        <v>Young_etal_2013_Table1</v>
      </c>
      <c r="L64" s="1" t="str">
        <f>IF(ISBLANK(I64),TRIM(SUBSTITUTE(SUBSTITUTE(SUBSTITUTE(_xlfn.TEXTJOIN("_", FALSE, H64, SUBSTITUTE(J64,"_", "")), "/", "%2F"), ":", "%3A"), " ", "")),TRIM(SUBSTITUTE(SUBSTITUTE(SUBSTITUTE(_xlfn.TEXTJOIN("_", FALSE, I64, SUBSTITUTE(J64,"_", "")), "/", "%2F"), ":", "%3A"), " ", "")))</f>
        <v>10.3389%2Ffncir.2013.00030_Table1</v>
      </c>
      <c r="M64" t="str">
        <f t="array" ref="M64">IFERROR(INDEX(FileList!$A$1:$A$43, MATCH(L64, _xlfn.TEXTBEFORE(FileList!$A$1:$A$43, ".tsv"), 0)), "notfound")</f>
        <v>notfound</v>
      </c>
      <c r="P64" s="13" t="s">
        <v>190</v>
      </c>
      <c r="Q64" s="13" t="s">
        <v>35</v>
      </c>
      <c r="R64" s="14"/>
      <c r="T64" s="13" t="str">
        <f>IF(S64="N", R64, "write file name")</f>
        <v>write file name</v>
      </c>
      <c r="U64" s="13" t="s">
        <v>113</v>
      </c>
      <c r="V64" s="13" t="s">
        <v>46</v>
      </c>
      <c r="Y64" s="13" t="s">
        <v>210</v>
      </c>
      <c r="AE64" s="13" t="s">
        <v>64</v>
      </c>
    </row>
  </sheetData>
  <sortState xmlns:xlrd2="http://schemas.microsoft.com/office/spreadsheetml/2017/richdata2" ref="A2:AK64">
    <sortCondition ref="K2:K64"/>
  </sortState>
  <hyperlinks>
    <hyperlink ref="X7" r:id="rId1"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0000000}"/>
    <hyperlink ref="X6" r:id="rId2" xr:uid="{00000000-0004-0000-0000-000001000000}"/>
    <hyperlink ref="X9" r:id="rId3" xr:uid="{00000000-0004-0000-0000-000002000000}"/>
    <hyperlink ref="X11" r:id="rId4" xr:uid="{00000000-0004-0000-0000-000003000000}"/>
    <hyperlink ref="X13" r:id="rId5" xr:uid="{00000000-0004-0000-0000-000004000000}"/>
    <hyperlink ref="X52" r:id="rId6" xr:uid="{00000000-0004-0000-0000-000005000000}"/>
    <hyperlink ref="X55" r:id="rId7" xr:uid="{00000000-0004-0000-0000-000006000000}"/>
    <hyperlink ref="X25" r:id="rId8" xr:uid="{00000000-0004-0000-0000-000007000000}"/>
    <hyperlink ref="X18:X21" r:id="rId9" display="https://karger.com/bbe/article-pdf/86/3-4/145/2264694/000437413.pdf" xr:uid="{00000000-0004-0000-0000-000008000000}"/>
    <hyperlink ref="X47" r:id="rId10" xr:uid="{00000000-0004-0000-0000-000009000000}"/>
    <hyperlink ref="X46" r:id="rId11" xr:uid="{00000000-0004-0000-0000-00000A000000}"/>
    <hyperlink ref="X44" r:id="rId12" xr:uid="{00000000-0004-0000-0000-00000B000000}"/>
    <hyperlink ref="X15" r:id="rId13" xr:uid="{C1F957F4-0EDC-0E49-A387-57F382261715}"/>
    <hyperlink ref="X16" r:id="rId14" xr:uid="{9C2C9343-3842-7E45-A05C-5DD83A0C30F9}"/>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workbookViewId="0">
      <selection activeCell="B8" sqref="B8"/>
    </sheetView>
  </sheetViews>
  <sheetFormatPr baseColWidth="10" defaultRowHeight="16" x14ac:dyDescent="0.2"/>
  <cols>
    <col min="1" max="1" width="26.1640625" customWidth="1"/>
  </cols>
  <sheetData>
    <row r="1" spans="1:2" x14ac:dyDescent="0.2">
      <c r="A1" t="s">
        <v>232</v>
      </c>
    </row>
    <row r="2" spans="1:2" x14ac:dyDescent="0.2">
      <c r="A2" t="s">
        <v>233</v>
      </c>
    </row>
    <row r="3" spans="1:2" x14ac:dyDescent="0.2">
      <c r="A3" s="10" t="s">
        <v>234</v>
      </c>
      <c r="B3" t="s">
        <v>235</v>
      </c>
    </row>
    <row r="4" spans="1:2" x14ac:dyDescent="0.2">
      <c r="A4" s="10" t="s">
        <v>236</v>
      </c>
      <c r="B4" t="s">
        <v>237</v>
      </c>
    </row>
    <row r="5" spans="1:2" x14ac:dyDescent="0.2">
      <c r="A5" s="10" t="s">
        <v>238</v>
      </c>
      <c r="B5" t="s">
        <v>239</v>
      </c>
    </row>
    <row r="6" spans="1:2" x14ac:dyDescent="0.2">
      <c r="A6" s="10" t="s">
        <v>240</v>
      </c>
      <c r="B6" t="s">
        <v>241</v>
      </c>
    </row>
    <row r="7" spans="1:2" x14ac:dyDescent="0.2">
      <c r="A7" s="10" t="s">
        <v>242</v>
      </c>
      <c r="B7" t="s">
        <v>289</v>
      </c>
    </row>
    <row r="8" spans="1:2" x14ac:dyDescent="0.2">
      <c r="A8" s="10" t="s">
        <v>243</v>
      </c>
      <c r="B8" t="s">
        <v>244</v>
      </c>
    </row>
    <row r="9" spans="1:2" x14ac:dyDescent="0.2">
      <c r="A9" s="10" t="s">
        <v>245</v>
      </c>
      <c r="B9" t="s">
        <v>263</v>
      </c>
    </row>
    <row r="10" spans="1:2" x14ac:dyDescent="0.2">
      <c r="A10" s="10" t="s">
        <v>246</v>
      </c>
      <c r="B10" t="s">
        <v>247</v>
      </c>
    </row>
    <row r="11" spans="1:2" x14ac:dyDescent="0.2">
      <c r="A11" s="10" t="s">
        <v>248</v>
      </c>
      <c r="B11" t="s">
        <v>249</v>
      </c>
    </row>
    <row r="12" spans="1:2" ht="17" customHeight="1" x14ac:dyDescent="0.2">
      <c r="A12" s="11" t="s">
        <v>250</v>
      </c>
      <c r="B12" t="s">
        <v>251</v>
      </c>
    </row>
    <row r="13" spans="1:2" x14ac:dyDescent="0.2">
      <c r="A13" s="12" t="s">
        <v>252</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election activeCell="G35" sqref="G35"/>
    </sheetView>
  </sheetViews>
  <sheetFormatPr baseColWidth="10" defaultRowHeight="16" x14ac:dyDescent="0.2"/>
  <cols>
    <col min="1" max="1" width="1.83203125" customWidth="1"/>
    <col min="2" max="2" width="126" customWidth="1"/>
  </cols>
  <sheetData>
    <row r="1" spans="1:3" x14ac:dyDescent="0.2">
      <c r="A1" t="s">
        <v>253</v>
      </c>
    </row>
    <row r="2" spans="1:3" x14ac:dyDescent="0.2">
      <c r="C2" t="s">
        <v>254</v>
      </c>
    </row>
    <row r="3" spans="1:3" x14ac:dyDescent="0.2">
      <c r="A3">
        <v>1</v>
      </c>
      <c r="B3" t="s">
        <v>255</v>
      </c>
      <c r="C3" t="s">
        <v>256</v>
      </c>
    </row>
    <row r="4" spans="1:3" x14ac:dyDescent="0.2">
      <c r="A4">
        <v>2</v>
      </c>
      <c r="B4" t="s">
        <v>257</v>
      </c>
      <c r="C4" t="s">
        <v>258</v>
      </c>
    </row>
    <row r="5" spans="1:3" x14ac:dyDescent="0.2">
      <c r="A5">
        <v>3</v>
      </c>
      <c r="B5" t="s">
        <v>259</v>
      </c>
      <c r="C5" t="s">
        <v>260</v>
      </c>
    </row>
    <row r="6" spans="1:3" x14ac:dyDescent="0.2">
      <c r="A6">
        <v>4</v>
      </c>
      <c r="B6" t="s">
        <v>261</v>
      </c>
      <c r="C6" t="s">
        <v>262</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46"/>
  <sheetViews>
    <sheetView workbookViewId="0"/>
  </sheetViews>
  <sheetFormatPr baseColWidth="10" defaultRowHeight="16" x14ac:dyDescent="0.2"/>
  <sheetData>
    <row r="1" spans="1:1" x14ac:dyDescent="0.2">
      <c r="A1" t="s">
        <v>290</v>
      </c>
    </row>
    <row r="2" spans="1:1" x14ac:dyDescent="0.2">
      <c r="A2" t="s">
        <v>291</v>
      </c>
    </row>
    <row r="3" spans="1:1" x14ac:dyDescent="0.2">
      <c r="A3" t="s">
        <v>292</v>
      </c>
    </row>
    <row r="4" spans="1:1" x14ac:dyDescent="0.2">
      <c r="A4" t="s">
        <v>293</v>
      </c>
    </row>
    <row r="5" spans="1:1" x14ac:dyDescent="0.2">
      <c r="A5" t="s">
        <v>294</v>
      </c>
    </row>
    <row r="6" spans="1:1" x14ac:dyDescent="0.2">
      <c r="A6" t="s">
        <v>295</v>
      </c>
    </row>
    <row r="7" spans="1:1" x14ac:dyDescent="0.2">
      <c r="A7" t="s">
        <v>296</v>
      </c>
    </row>
    <row r="8" spans="1:1" x14ac:dyDescent="0.2">
      <c r="A8" t="s">
        <v>297</v>
      </c>
    </row>
    <row r="9" spans="1:1" x14ac:dyDescent="0.2">
      <c r="A9" t="s">
        <v>298</v>
      </c>
    </row>
    <row r="10" spans="1:1" x14ac:dyDescent="0.2">
      <c r="A10" t="s">
        <v>299</v>
      </c>
    </row>
    <row r="11" spans="1:1" x14ac:dyDescent="0.2">
      <c r="A11" t="s">
        <v>300</v>
      </c>
    </row>
    <row r="12" spans="1:1" x14ac:dyDescent="0.2">
      <c r="A12" t="s">
        <v>301</v>
      </c>
    </row>
    <row r="13" spans="1:1" x14ac:dyDescent="0.2">
      <c r="A13" t="s">
        <v>302</v>
      </c>
    </row>
    <row r="14" spans="1:1" x14ac:dyDescent="0.2">
      <c r="A14" t="s">
        <v>303</v>
      </c>
    </row>
    <row r="15" spans="1:1" x14ac:dyDescent="0.2">
      <c r="A15" t="s">
        <v>304</v>
      </c>
    </row>
    <row r="16" spans="1:1" x14ac:dyDescent="0.2">
      <c r="A16" t="s">
        <v>305</v>
      </c>
    </row>
    <row r="17" spans="1:1" x14ac:dyDescent="0.2">
      <c r="A17" t="s">
        <v>306</v>
      </c>
    </row>
    <row r="18" spans="1:1" x14ac:dyDescent="0.2">
      <c r="A18" t="s">
        <v>307</v>
      </c>
    </row>
    <row r="19" spans="1:1" x14ac:dyDescent="0.2">
      <c r="A19" t="s">
        <v>308</v>
      </c>
    </row>
    <row r="20" spans="1:1" x14ac:dyDescent="0.2">
      <c r="A20" t="s">
        <v>309</v>
      </c>
    </row>
    <row r="21" spans="1:1" x14ac:dyDescent="0.2">
      <c r="A21" t="s">
        <v>310</v>
      </c>
    </row>
    <row r="22" spans="1:1" x14ac:dyDescent="0.2">
      <c r="A22" t="s">
        <v>311</v>
      </c>
    </row>
    <row r="23" spans="1:1" x14ac:dyDescent="0.2">
      <c r="A23" t="s">
        <v>312</v>
      </c>
    </row>
    <row r="24" spans="1:1" x14ac:dyDescent="0.2">
      <c r="A24" t="s">
        <v>313</v>
      </c>
    </row>
    <row r="25" spans="1:1" x14ac:dyDescent="0.2">
      <c r="A25" t="s">
        <v>314</v>
      </c>
    </row>
    <row r="26" spans="1:1" x14ac:dyDescent="0.2">
      <c r="A26" t="s">
        <v>315</v>
      </c>
    </row>
    <row r="27" spans="1:1" x14ac:dyDescent="0.2">
      <c r="A27" t="s">
        <v>316</v>
      </c>
    </row>
    <row r="28" spans="1:1" x14ac:dyDescent="0.2">
      <c r="A28" t="s">
        <v>317</v>
      </c>
    </row>
    <row r="29" spans="1:1" x14ac:dyDescent="0.2">
      <c r="A29" t="s">
        <v>318</v>
      </c>
    </row>
    <row r="30" spans="1:1" x14ac:dyDescent="0.2">
      <c r="A30" t="s">
        <v>319</v>
      </c>
    </row>
    <row r="31" spans="1:1" x14ac:dyDescent="0.2">
      <c r="A31" t="s">
        <v>320</v>
      </c>
    </row>
    <row r="32" spans="1:1" x14ac:dyDescent="0.2">
      <c r="A32" t="s">
        <v>321</v>
      </c>
    </row>
    <row r="33" spans="1:1" x14ac:dyDescent="0.2">
      <c r="A33" t="s">
        <v>322</v>
      </c>
    </row>
    <row r="34" spans="1:1" x14ac:dyDescent="0.2">
      <c r="A34" t="s">
        <v>323</v>
      </c>
    </row>
    <row r="35" spans="1:1" x14ac:dyDescent="0.2">
      <c r="A35" t="s">
        <v>324</v>
      </c>
    </row>
    <row r="36" spans="1:1" x14ac:dyDescent="0.2">
      <c r="A36" t="s">
        <v>325</v>
      </c>
    </row>
    <row r="37" spans="1:1" x14ac:dyDescent="0.2">
      <c r="A37" t="s">
        <v>326</v>
      </c>
    </row>
    <row r="38" spans="1:1" x14ac:dyDescent="0.2">
      <c r="A38" t="s">
        <v>327</v>
      </c>
    </row>
    <row r="39" spans="1:1" x14ac:dyDescent="0.2">
      <c r="A39" t="s">
        <v>328</v>
      </c>
    </row>
    <row r="40" spans="1:1" x14ac:dyDescent="0.2">
      <c r="A40" t="s">
        <v>329</v>
      </c>
    </row>
    <row r="41" spans="1:1" x14ac:dyDescent="0.2">
      <c r="A41" t="s">
        <v>330</v>
      </c>
    </row>
    <row r="42" spans="1:1" x14ac:dyDescent="0.2">
      <c r="A42" t="s">
        <v>331</v>
      </c>
    </row>
    <row r="43" spans="1:1" x14ac:dyDescent="0.2">
      <c r="A43" t="s">
        <v>332</v>
      </c>
    </row>
    <row r="44" spans="1:1" x14ac:dyDescent="0.2">
      <c r="A44" t="s">
        <v>333</v>
      </c>
    </row>
    <row r="45" spans="1:1" x14ac:dyDescent="0.2">
      <c r="A45" t="s">
        <v>334</v>
      </c>
    </row>
    <row r="46" spans="1:1" x14ac:dyDescent="0.2">
      <c r="A46" t="s">
        <v>335</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d42a73f51a03135be35f4acb272f8cf1">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ea21b36c10eaa86a5cb337ec7f4e0a6"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D7313F8-A05E-4214-AA83-B148B6D9FF29}">
  <ds:schemaRefs>
    <ds:schemaRef ds:uri="http://schemas.microsoft.com/office/2006/metadata/properties"/>
    <ds:schemaRef ds:uri="3bad6c6a-329d-45e9-b8b0-1ebecc8a8764"/>
    <ds:schemaRef ds:uri="http://www.w3.org/XML/1998/namespace"/>
    <ds:schemaRef ds:uri="http://purl.org/dc/dcmitype/"/>
    <ds:schemaRef ds:uri="http://schemas.microsoft.com/office/2006/documentManagement/types"/>
    <ds:schemaRef ds:uri="http://purl.org/dc/elements/1.1/"/>
    <ds:schemaRef ds:uri="http://purl.org/dc/terms/"/>
    <ds:schemaRef ds:uri="http://schemas.microsoft.com/office/infopath/2007/PartnerControls"/>
    <ds:schemaRef ds:uri="http://schemas.openxmlformats.org/package/2006/metadata/core-properties"/>
    <ds:schemaRef ds:uri="8e1efd23-f4ba-42d2-85fd-6a510437bae6"/>
  </ds:schemaRefs>
</ds:datastoreItem>
</file>

<file path=customXml/itemProps2.xml><?xml version="1.0" encoding="utf-8"?>
<ds:datastoreItem xmlns:ds="http://schemas.openxmlformats.org/officeDocument/2006/customXml" ds:itemID="{5E6C6718-1083-4BA4-895F-4D544A70F5E5}">
  <ds:schemaRefs>
    <ds:schemaRef ds:uri="http://schemas.microsoft.com/sharepoint/v3/contenttype/forms"/>
  </ds:schemaRefs>
</ds:datastoreItem>
</file>

<file path=customXml/itemProps3.xml><?xml version="1.0" encoding="utf-8"?>
<ds:datastoreItem xmlns:ds="http://schemas.openxmlformats.org/officeDocument/2006/customXml" ds:itemID="{626A4699-A325-43EA-975B-831A3E6EEB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Pipeline</vt:lpstr>
      <vt:lpstr>Conflicts</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2024-10-16T20:55:44Z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