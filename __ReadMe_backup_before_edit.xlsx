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codeName="ThisWorkbook" defaultThemeVersion="166925"/>
  <bookViews>
    <workbookView xWindow="-80" yWindow="660" windowWidth="34560" windowHeight="20460" firstSheet="0" activeTab="0"/>
  </bookViews>
  <sheets>
    <sheet name="Sheet1" sheetId="1" state="visible" r:id="rId1"/>
    <sheet name="Pipeline" sheetId="3" state="visible" r:id="rId2"/>
    <sheet name="Conflicts" sheetId="4" state="visible" r:id="rId3"/>
    <sheet name="FileList" sheetId="5" state="visible" r:id="rId4"/>
  </sheets>
  <calcPr calcId="191028"/>
</workbook>
</file>

<file path=xl/sharedStrings.xml><?xml version="1.0" encoding="utf-8"?>
<sst xmlns="http://schemas.openxmlformats.org/spreadsheetml/2006/main" count="479" uniqueCount="479">
  <si>
    <t>Citation (APA 7th-Annotated)</t>
  </si>
  <si>
    <t>sequence</t>
  </si>
  <si>
    <t>DOI if different from article</t>
  </si>
  <si>
    <t>Item number</t>
  </si>
  <si>
    <t>end</t>
  </si>
  <si>
    <t>Publication name</t>
  </si>
  <si>
    <t>1st Author</t>
  </si>
  <si>
    <t>other author(s)</t>
  </si>
  <si>
    <t>year</t>
  </si>
  <si>
    <t>DOI (or Alt)</t>
  </si>
  <si>
    <t>Item name</t>
  </si>
  <si>
    <t>Item encoded</t>
  </si>
  <si>
    <t>Item in directory FileList</t>
  </si>
  <si>
    <t>Item full name</t>
  </si>
  <si>
    <t>Note: related Item(s) included in folder</t>
  </si>
  <si>
    <t>Progress stage</t>
  </si>
  <si>
    <t>Online Database</t>
  </si>
  <si>
    <t>Snapshot</t>
  </si>
  <si>
    <t>Adjustment made</t>
  </si>
  <si>
    <t>Data readable file, can use this</t>
  </si>
  <si>
    <t>Source Type</t>
  </si>
  <si>
    <t>Source format</t>
  </si>
  <si>
    <t>Source URL direct access</t>
  </si>
  <si>
    <t>Source URL link</t>
  </si>
  <si>
    <t>Main Trait(s)</t>
  </si>
  <si>
    <t>Source type</t>
  </si>
  <si>
    <t>Team</t>
  </si>
  <si>
    <t>Method</t>
  </si>
  <si>
    <t>Possible Traits</t>
  </si>
  <si>
    <t>Note</t>
  </si>
  <si>
    <t>Subcategory</t>
  </si>
  <si>
    <t>Flags pre-addressed</t>
  </si>
  <si>
    <t>Flags possible</t>
  </si>
  <si>
    <t>Flags active (skips)</t>
  </si>
  <si>
    <t>Andelin, A. K., Olavarria, J. F., Fine, I., Taber, E. N., Schwartz, D., Kroenke, C. D., &amp; Stevens, A. A. (2019). The Effect of Onset Age of Visual Deprivation on Visual Cortex Surface Area Across-Species. Cereb Cortex, 29(10), 4321-4333. https://doi.org/10.1093/cercor/bhy315</t>
  </si>
  <si>
    <t>Table 4</t>
  </si>
  <si>
    <t>table</t>
  </si>
  <si>
    <t>Avelino-de-Souza, K., Patzke, N., Karlsson, K. A. E., Manger, P. R., &amp; Herculano-Houzel, S. (2025). Cellular Composition of the Brain of a Northern Minke Whale. J Comp Neurol, 533(9), e70089. https://doi.org/10.1002/cne.70089</t>
  </si>
  <si>
    <t>TABLE 1</t>
  </si>
  <si>
    <t>neuron number</t>
  </si>
  <si>
    <t>primary</t>
  </si>
  <si>
    <t>Barbeito-Andres, J., Castro-Fonseca, E., Qiu, L. R., Bernal, V., Lent, R., Henkelman, M., Lukowiak, K., Gleiser, P. M., Hallgrimsson, B., &amp; Gonzalez, P. N. (2019). Region-specific changes in Mus musculus brain size and cell composition under chronic nutrient restriction. J Exp Biol, 222(Pt 17). https://doi.org/10.1242/jeb.204651</t>
  </si>
  <si>
    <t>data_figshare.xlsx</t>
  </si>
  <si>
    <t>Baron, G., Frahm, H. D., Bhatnagar, K. P., &amp; Stephan, H. (1983). Comparison of brain structure volumes in Insectivora and Primates. III. Main olfactory bulb (MOB). J Hirnforsch, 24(5), 551-568. https://www.ncbi.nlm.nih.gov/pubmed/6663055</t>
  </si>
  <si>
    <t>10.0000/placeholder.1</t>
  </si>
  <si>
    <t>Table 1</t>
  </si>
  <si>
    <t>NO - not digitized</t>
  </si>
  <si>
    <t>Baron, G., Stephan, H., &amp; Frahm, H. D. (1987). Comparison of brain structure volumes in Insectivora and Primates. VI. Paleocortical components. J Hirnforsch, 28(4), 463-477. http://www.ncbi.nlm.nih.gov/pubmed/3116076</t>
  </si>
  <si>
    <t>10.0000/placeholder.2</t>
  </si>
  <si>
    <t>Brodmann, K. (1913). Neue Forschungsergebnisse der Großhirnrindenanatomie mit besonderer Berücksichtigung anthropologischer Fragen. Verhandlungen der Gesellschaft Deutscher Naturforscher und Ärzte, 85(1), 200-240</t>
  </si>
  <si>
    <t>10.0000/placeholder</t>
  </si>
  <si>
    <t>Tabelle 1</t>
  </si>
  <si>
    <t>Burger, J. R., George, M. A., Leadbetter, C., &amp; Shaikh, F. (2019). The allometry of brain size in mammals. J Mammal, 100(2), 276-283. https://doi.org/10.1093/jmammal/gyz043</t>
  </si>
  <si>
    <t>Supplementary Data SD1</t>
  </si>
  <si>
    <t>Supplementary Data SD2</t>
  </si>
  <si>
    <t>FINISHED</t>
  </si>
  <si>
    <t>already there</t>
  </si>
  <si>
    <t>gyz043_suppl_Supplement_Data.csv</t>
  </si>
  <si>
    <t>N</t>
  </si>
  <si>
    <t>zipped csv</t>
  </si>
  <si>
    <t>NO - the article link did not work in R, and goes to a zip</t>
  </si>
  <si>
    <t>Brain and body size</t>
  </si>
  <si>
    <t>secondary</t>
  </si>
  <si>
    <t>derived relative brain size data are problematic</t>
  </si>
  <si>
    <t>mammals</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</si>
  <si>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</si>
  <si>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</si>
  <si>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</si>
  <si>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Species - binomials need to be added</t>
  </si>
  <si>
    <t>Burish_etal_2010_SupplementaryTable1_snapshot.csv</t>
  </si>
  <si>
    <t>primary (individual)</t>
  </si>
  <si>
    <t>number spinal cord neurons</t>
  </si>
  <si>
    <t>primates and tree shrew</t>
  </si>
  <si>
    <t>Table 1. Cellular composition of the spinal cord</t>
  </si>
  <si>
    <t>added</t>
  </si>
  <si>
    <t>Burish_etal_2010_Table1_snapshot.csv</t>
  </si>
  <si>
    <t>primary (averages)</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</si>
  <si>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</si>
  <si>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</si>
  <si>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</si>
  <si>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</si>
  <si>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xlsx</t>
  </si>
  <si>
    <t>YES - download link</t>
  </si>
  <si>
    <t>https://cdn.elifesciences.org/articles/77875/elife-77875-supp3-v1.xlsx</t>
  </si>
  <si>
    <t>Habitual Tool Use, Ecology, Female brain size</t>
  </si>
  <si>
    <t>primates</t>
  </si>
  <si>
    <t>part 1: handedness summary table</t>
  </si>
  <si>
    <t>Caspar_etal_2022_Table1_snapshot.xlsx</t>
  </si>
  <si>
    <t>Y</t>
  </si>
  <si>
    <t>Caspar_etal_2022_Table1.csv</t>
  </si>
  <si>
    <t>pdf</t>
  </si>
  <si>
    <t>YES - but formatting issues</t>
  </si>
  <si>
    <t>https://elifesciences.org/download/aHR0cHM6Ly9jZG4uZWxpZmVzY2llbmNlcy5vcmcvYXJ0aWNsZXMvNzc4NzUvZWxpZmUtNzc4NzUtdjEucGRmP2Nhbm9uaWNhbFVyaT1odHRwczovL2VsaWZlc2NpZW5jZXMub3JnL2FydGljbGVzLzc3ODc1/elife-77875-v1.pdf?_hash=NStjcL9fTlmy3AQDwSiM0YgMVB3UYjO8nDg0UbwN5gM%3D</t>
  </si>
  <si>
    <t>Handedness derived data</t>
  </si>
  <si>
    <t>derived from primary</t>
  </si>
  <si>
    <t>perhaps useful to get raw data as well?</t>
  </si>
  <si>
    <t>Changizi, M. A. (2001). Principles underlying mammalian neocortical scaling. Biol Cybern, 84(3), 207-215. https://doi.org/10.1007/s004220000205</t>
  </si>
  <si>
    <t>Figure 3</t>
  </si>
  <si>
    <t>Species -- wait for Project Kaskan</t>
  </si>
  <si>
    <t>NA</t>
  </si>
  <si>
    <t>Changizi__2001_Figure3_snapshot.csv</t>
  </si>
  <si>
    <t>Changizi__2001_Figure3.csv</t>
  </si>
  <si>
    <t>figure and caption</t>
  </si>
  <si>
    <t>NO - paywall</t>
  </si>
  <si>
    <t>number of cortical areas</t>
  </si>
  <si>
    <t>primary (derived from published materials)</t>
  </si>
  <si>
    <t>summary to check more precise areas from ProjectKaskan</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</si>
  <si>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</si>
  <si>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</si>
  <si>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</si>
  <si>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</si>
  <si>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acoustic communication</t>
  </si>
  <si>
    <t>dial activity (Supp 4)</t>
  </si>
  <si>
    <t>maybe delete: not relevent in current dataset, unless for imputations?</t>
  </si>
  <si>
    <t>vertebrates</t>
  </si>
  <si>
    <t>Collins, C. E., Airey, D. C., Young, N. A., Leitch, D. B., &amp; Kaas, J. H. (2010). Neuron densities vary across and within cortical areas in primates. Proc Natl Acad Sci U S A, 107(36), 15927-15932. https://doi.org/10.1073/pnas.1010356107</t>
  </si>
  <si>
    <t>Dataset S1</t>
  </si>
  <si>
    <t>cortical area surface area, neuron density</t>
  </si>
  <si>
    <t>DeCasien, A. R., &amp; Higham, J. P. (2019). Primate mosaic brain evolution reflects selection on sensory and cognitive specialization. Nat Ecol Evol, 3(10), 1483-1493. https://doi.org/10.1038/s41559-019-0969-0</t>
  </si>
  <si>
    <t>Supplementary Data 1-Brain Region</t>
  </si>
  <si>
    <t>Supplementary Data 1 Brain Region Data (mm3)</t>
  </si>
  <si>
    <t>table Sheet 1</t>
  </si>
  <si>
    <t>https://www.nature.com/articles/s41559-019-0969-0#Sec13</t>
  </si>
  <si>
    <t>Brain Regions Volumes</t>
  </si>
  <si>
    <t>mostly Stephan and other Ddorf studies</t>
  </si>
  <si>
    <t>Supplementary Data 1-Activity Period</t>
  </si>
  <si>
    <t>Activity Period</t>
  </si>
  <si>
    <t>Supplementary Data 1-Diet</t>
  </si>
  <si>
    <t>Diet</t>
  </si>
  <si>
    <t>Supplementary Data 1-Social System</t>
  </si>
  <si>
    <t>Social System</t>
  </si>
  <si>
    <t>Dos Santos, S. E., Porfirio, J., da Cunha, F. B., Manger, P. R., Tavares, W., Pessoa, L., Raghanti, M. A., Sherwood, C. C., &amp; Herculano-Houzel, S. (2017). Cellular Scaling Rules for the Brains of Marsupials: Not as "Primitive" as Expected. Brain Behav Evol. https://doi.org/10.1159/000452856</t>
  </si>
  <si>
    <t>Table S1</t>
  </si>
  <si>
    <t>ERRATUM !</t>
  </si>
  <si>
    <t>DosSantos_etal_2017_TableS1_snapshot.csv</t>
  </si>
  <si>
    <t>DosSantos_etal_2017_TableS1.csv</t>
  </si>
  <si>
    <t>doc, erratum (on pdf)</t>
  </si>
  <si>
    <t>table, erratum</t>
  </si>
  <si>
    <t>https://ndownloader.figstatic.com/files/7428211</t>
  </si>
  <si>
    <t>Cell numbers, region size</t>
  </si>
  <si>
    <t>HH</t>
  </si>
  <si>
    <t>marsupials</t>
  </si>
  <si>
    <t>erratum</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</si>
  <si>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</si>
  <si>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DosSantos_etal_2020_Table1_snapshot.csv</t>
  </si>
  <si>
    <t>DosSantos_etal_2020_Table1.csv</t>
  </si>
  <si>
    <t>pdf online</t>
  </si>
  <si>
    <t>primary; secondary (compiled team data)</t>
  </si>
  <si>
    <t>microglia</t>
  </si>
  <si>
    <t>unpublished</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</si>
  <si>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</si>
  <si>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</si>
  <si>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</si>
  <si>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Falcone, C., Wolf-Ochoa, M., Amina, S., Hong, T., Vakilzadeh, G., Hopkins, W. D., Hof, P. R., Sherwood, C. C., Manger, P. R., Noctor, S. C., &amp; Martinez-Cerdeno,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</si>
  <si>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</si>
  <si>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TABLE 2</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</si>
  <si>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</si>
  <si>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</si>
  <si>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</si>
  <si>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Finlay_etal_2006_Table6.1_snapshot.xlsx</t>
  </si>
  <si>
    <t>Finlay_etal_2006_Table6.1.csv</t>
  </si>
  <si>
    <t>https://www.researchgate.net/publication/299027052_Developmental_constraints_on_or_developmental_structure_in_brain_evolution</t>
  </si>
  <si>
    <t>cerebral cortex surface area and number of areas (broadly defined)</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</si>
  <si>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</si>
  <si>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</si>
  <si>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NOT STARTED</t>
  </si>
  <si>
    <t>mouse (developmental)</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</si>
  <si>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</si>
  <si>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</si>
  <si>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</si>
  <si>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Table S2</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</si>
  <si>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</si>
  <si>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</si>
  <si>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</si>
  <si>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</si>
  <si>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</si>
  <si>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</si>
  <si>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Haarlem, C. S., Hynes, C., Jackson, A. L., Mitchell, K. J., O'Connell, R. G., &amp; Healy, K. (2026). Pace of ecology drives the tempo of visual perception across the animal kingdom. Nat Ecol Evol. https://doi.org/10.1038/s41559-026-02994-7</t>
  </si>
  <si>
    <t>Heffner, R., &amp; Masterton, B. (1975). Variation in form of the pyramidal tract and its relationship to digital dexterity. Brain Behav Evol, 12(3), 161-200. https://doi.org/10.1159/000124401</t>
  </si>
  <si>
    <t>Table I</t>
  </si>
  <si>
    <t>Heffner_Masterton_1975_TableI_snapshot.xlsx</t>
  </si>
  <si>
    <t>Heffner_Masterton_1975_TableI.csv</t>
  </si>
  <si>
    <t>digital dexterity</t>
  </si>
  <si>
    <t>mostly secondary</t>
  </si>
  <si>
    <t>area of pyramidal tract; deepest lamina</t>
  </si>
  <si>
    <t>Heffner, R. S., &amp; Masterton, R. B. (1983). The role of the corticospinal tract in the evolution of human digital dexterity. Brain Behav Evol, 23(3-4), 165-183. https://doi.org/10.1159/000121494</t>
  </si>
  <si>
    <t>compare to 1975</t>
  </si>
  <si>
    <t>Heiss, W. D., Habedank, B., Klein, J. C., Herholz, K., Wienhard, K., Lenox, M., &amp; Nutt, R. (2004). Metabolic rates in small brain nuclei determined by high-resolution PET. J Nucl Med, 45(11), 1811-1815. https://www.ncbi.nlm.nih.gov/pubmed/15534048</t>
  </si>
  <si>
    <t>WOS:000225086000011</t>
  </si>
  <si>
    <t>TABLE 1 rCMRGlc Values</t>
  </si>
  <si>
    <t>regional cerebral metabolic rates for glucose</t>
  </si>
  <si>
    <t>Heldstab, S. A., Kosonen, Z. K., Koski, S. E., Burkart, J. M., van Schaik, C. P., &amp; Isler, K. (2016). Manipulation complexity in primates coevolved with brain size and terrestriality. Sci Rep, 6, 24528. https://doi.org/10.1038/srep24528</t>
  </si>
  <si>
    <t>manipulation complexity</t>
  </si>
  <si>
    <t>Herculano-Houzel, S. (2015). Decreasing sleep requirement with increasing numbers of neurons as a driver for bigger brains and bodies in mammalian evolution. Proc Biol Sci, 282(1816), 20151853. https://doi.org/10.1098/rspb.2015.1853</t>
  </si>
  <si>
    <t>Table 2</t>
  </si>
  <si>
    <t>Table 2. Dataset on the ontogeny of sleep and cellular composition of the rat brain used in this study.</t>
  </si>
  <si>
    <t>Per cent of hours asleep and brain size and composition</t>
  </si>
  <si>
    <t>Herculano-Houzel, S., Watson, C., &amp; Paxinos, G. (2013). Distribution of neurons in functional areas of the mouse cerebral cortex reveals quantitatively different cortical zones. Front Neuroanat, 7, 35. https://doi.org/10.3389/fnana.2013.00035</t>
  </si>
  <si>
    <t>Figure 2 Top Left</t>
  </si>
  <si>
    <t>Table 1-a</t>
  </si>
  <si>
    <t>Table 1-b</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</si>
  <si>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</si>
  <si>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</si>
  <si>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HerculanoHouzel_etal_2015_Table1_snapshot.xlsx</t>
  </si>
  <si>
    <t>HerculanoHouzel_etal_2015_Table1.csv</t>
  </si>
  <si>
    <t>https://karger.com/bbe/article-pdf/86/3-4/145/2264694/000437413.pdf</t>
  </si>
  <si>
    <t>placental mammals</t>
  </si>
  <si>
    <t>Table 2. Cerebellum</t>
  </si>
  <si>
    <t>HerculanoHouzel_etal_2015_Table2_snapshot.xlsx</t>
  </si>
  <si>
    <t>HerculanoHouzel_etal_2015_Table2.csv</t>
  </si>
  <si>
    <t>Table 3</t>
  </si>
  <si>
    <t>Table 3. RoB</t>
  </si>
  <si>
    <t>HerculanoHouzel_etal_2015_Table3_snapshot.xlsx</t>
  </si>
  <si>
    <t>HerculanoHouzel_etal_2015_Table3.csv</t>
  </si>
  <si>
    <t>Table 4. Olfactory bulb</t>
  </si>
  <si>
    <t>HerculanoHouzel_etal_2015_Table4_snapshot.xlsx</t>
  </si>
  <si>
    <t>HerculanoHouzel_etal_2015_Table4.csv</t>
  </si>
  <si>
    <t>Table 5</t>
  </si>
  <si>
    <t>Table 5. Whole brain</t>
  </si>
  <si>
    <t>HerculanoHouzel_etal_2015_Table5_snapshot.xlsx</t>
  </si>
  <si>
    <t>HerculanoHouzel_etal_2015_Table5.csv</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</si>
  <si>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</si>
  <si>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</si>
  <si>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HerculanoHouzel_etal_2020_TABLE1_snapshot.csv</t>
  </si>
  <si>
    <t>HerculanoHouzel_etal_2020_Table1.csv</t>
  </si>
  <si>
    <t>region size</t>
  </si>
  <si>
    <t>bats</t>
  </si>
  <si>
    <t>TABLE 2 Numbers of neurons and neuronal density (neurons/mg)</t>
  </si>
  <si>
    <t>HerculanoHouzel_etal_2020_TABLE2_snapshot.csv</t>
  </si>
  <si>
    <t>HerculanoHouzel_etal_2020_Table2.csv</t>
  </si>
  <si>
    <t>Cell numbers</t>
  </si>
  <si>
    <t>Isler, K., Christopher Kirk, E., Miller, J. M. A., Albrecht, G. A., Gelvin, B. R., &amp; Martin, R. D. (2008). Endocranial volumes of primate species: scaling analyses using a comprehensive and reliable data set. J Hum Evol, 55(6), 967. https://doi.org/10.1016/j.jhevol.2008.08.004</t>
  </si>
  <si>
    <t>Table 7</t>
  </si>
  <si>
    <t>Table S3</t>
  </si>
  <si>
    <t>Tree.nex</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</si>
  <si>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</si>
  <si>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</si>
  <si>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</si>
  <si>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Table 1 The anatomical and behavioural traits used the comparative analysis</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</si>
  <si>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</si>
  <si>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</si>
  <si>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only manually added M1 species; do all species and record steps</t>
  </si>
  <si>
    <t>play</t>
  </si>
  <si>
    <t>mammal clades</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</si>
  <si>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</si>
  <si>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</si>
  <si>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</si>
  <si>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</si>
  <si>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</si>
  <si>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JardimMesseder_etal_2017_Table1_snapshot.csv</t>
  </si>
  <si>
    <t>JardimMesseder_etal_2017_Table1.csv</t>
  </si>
  <si>
    <t>https://doi.org/10.3389/fnana.2017.00118</t>
  </si>
  <si>
    <t>companion animals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</si>
  <si>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</si>
  <si>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</si>
  <si>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the synaptic marker Synaptic Vesicle glycoprotein 2A (SV2A)</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</si>
  <si>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</si>
  <si>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</si>
  <si>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</si>
  <si>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</si>
  <si>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</si>
  <si>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Kverkova_etal_2018_Table1_snapshot.xlsx</t>
  </si>
  <si>
    <t>Kverkova_etal_2018_TableS1.csv</t>
  </si>
  <si>
    <t>docx</t>
  </si>
  <si>
    <t>sample size and information</t>
  </si>
  <si>
    <t>African mole-rats (Bathyergidae)</t>
  </si>
  <si>
    <t>Table S1. Brain mass and brain region volumes</t>
  </si>
  <si>
    <t>Kverkova_etal_2018_TableS1_snapshot.xlsx</t>
  </si>
  <si>
    <t>https://static-content.springer.com/esm/art%3A10.1038%2Fs41598-018-26062-8/MediaObjects/41598_2018_26062_MOESM1_ESM.docx</t>
  </si>
  <si>
    <t>primary; secondary brain and body mass</t>
  </si>
  <si>
    <t>Table S5</t>
  </si>
  <si>
    <t>Table S5. Numbers of neurons in the whole brain and the major brain divisions</t>
  </si>
  <si>
    <t>Kverkova_etal_2018_TableS5_snapshot.csv</t>
  </si>
  <si>
    <t>Kverkova_etal_2018_TableS5.csv</t>
  </si>
  <si>
    <t>docx online</t>
  </si>
  <si>
    <t>Lewitus, E., Kelava, I., &amp; Huttner, W. B. (2013). Conical expansion of the outer subventricular zone and the role of neocortical folding in evolution and development. Front Hum Neurosci, 7, 424. https://doi.org/10.3389/fnhum.2013.00424</t>
  </si>
  <si>
    <t>Table S2 partial</t>
  </si>
  <si>
    <t>L</t>
  </si>
  <si>
    <t>Lewitus, E., Kelava, I., Kalinka, A. T., Tomancak, P., &amp; Huttner, W. B. (2014). An adaptive threshold in mammalian neocortical evolution. PLoS Biol, 12(11), e1002000. https://doi.org/10.1371/journal.pbio.1002000</t>
  </si>
  <si>
    <t>Table S1 Physiological and life-history variables</t>
  </si>
  <si>
    <t>Table S8</t>
  </si>
  <si>
    <t>Table S8: Neocortical neuron number for Figure 3d</t>
  </si>
  <si>
    <t>MacLarnon, A. (1996). The scaling of gross dimensions of the spinal cord in primates and other species. J Hum Evol, 30(1), 71-87. https://doi.org/10.1006/jhev.1996.0005</t>
  </si>
  <si>
    <t>Table 1 Data</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</si>
  <si>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</si>
  <si>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data/species_predictors.xlsx</t>
  </si>
  <si>
    <t>need to record steps</t>
  </si>
  <si>
    <t>https://github.com/ManyPrimates/mp1_short_term_memory/raw/master/data/species_predictors.xlsx</t>
  </si>
  <si>
    <t>number of vocalizations</t>
  </si>
  <si>
    <t>various secondary and primary data, e.g., ecology</t>
  </si>
  <si>
    <t>Mota, B., &amp; Herculano-Houzel, S. (2015). Cortical folding scales universally with surface area and thickness, not number of neurons. Science, 349(6243), 74-77. https://doi.org/10.1126/science.aaa9101</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</si>
  <si>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</si>
  <si>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</si>
  <si>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</si>
  <si>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total and exposed cortical surface area</t>
  </si>
  <si>
    <t>Powell, L. E., Isler, K., &amp; Barton, R. A. (2017). Re-evaluating the link between brain size and behavioural ecology in primates. Proc Biol Sci, 284(1865). https://doi.org/10.1098/rspb.2017.1765</t>
  </si>
  <si>
    <t>10.6084/m9.figshare.c.3899422.v1</t>
  </si>
  <si>
    <t>Dataset 1</t>
  </si>
  <si>
    <t>https://figshare.com/ndownloader/files/9479092</t>
  </si>
  <si>
    <t>ecology</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</si>
  <si>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</si>
  <si>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</si>
  <si>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</si>
  <si>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tables</t>
  </si>
  <si>
    <t>GLI: laminar and profiles</t>
  </si>
  <si>
    <t>Table 5. Species mean values for 10 GLI profile feature vectors</t>
  </si>
  <si>
    <t>Smaers, J. B., Steele, J., Case, C. R., Cowper, A., Amunts, K., &amp; Zilles, K. (2011). Primate prefrontal cortex evolution: human brains are the extreme of a lateralized ape trend. Brain Behav Evol, 77(2), 67-78. https://doi.org/10.1159/000323671</t>
  </si>
  <si>
    <t>SupplementaryTable1</t>
  </si>
  <si>
    <t>SupplementaryTable2</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</si>
  <si>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</si>
  <si>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</si>
  <si>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</si>
  <si>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Wilman, H., Belmaker, J., Simpson, J., de la Rosa, C., Rivadeneira, M. M., &amp; Jetz, W. (2014). EltonTraits 1.0: Species‐level foraging attributes of the world's birds and mammals. Ecology, 95(7), 2027-2027. https://doi.org/10.1890/13-1917.1</t>
  </si>
  <si>
    <t>MamFuncDat.txt</t>
  </si>
  <si>
    <t>Wimberly, A. N., Slater, G. J., &amp; Granatosky, M. C. (2021). Evolutionary history of quadrupedal walking gaits shows mammalian release from locomotor constraint. Proc Biol Sci, 288(1957), 20210937. https://doi.org/10.1098/rspb.2021.0937</t>
  </si>
  <si>
    <t>mammal_gait.txt</t>
  </si>
  <si>
    <t>Winkler, S. L., &amp; Bryant, G. A. (2021). Play vocalisations and human laughter: a comparative review. Bioacoustics, 1-28. https://doi.org/10.1080/09524622.2021.1905065</t>
  </si>
  <si>
    <t>Figure 1</t>
  </si>
  <si>
    <t>table and figure</t>
  </si>
  <si>
    <t>play vocalizations</t>
  </si>
  <si>
    <t>Young, N. A., Collins, C. E., &amp; Kaas, J. H. (2013). Cell and neuron densities in the primary motor cortex of primates [Original Research]. Front Neural Circuits, 7(30), 30. https://doi.org/10.3389/fncir.2013.00030</t>
  </si>
  <si>
    <t>M1 Cell count, surface area, mass</t>
  </si>
  <si>
    <t xml:space="preserve">Flexible Data Wrangling Pipeline: </t>
  </si>
  <si>
    <t xml:space="preserve">Source </t>
  </si>
  <si>
    <t>--&gt; Snapshot</t>
  </si>
  <si>
    <t>Digitized in original layout for comparison to source. R readable, e.g., Excel or CSV. All further changes in R code. Save a reference hardcopy file even if it can be accessed through URL.</t>
  </si>
  <si>
    <t xml:space="preserve">--&gt; Data readable   </t>
  </si>
  <si>
    <t>use csv, so that there is no data content that could be lost due layout changes.  For example, copy information from merged cells into individual cells</t>
  </si>
  <si>
    <t>--&gt; Transpose</t>
  </si>
  <si>
    <t>first column should have original species information.</t>
  </si>
  <si>
    <t>--&gt; Variables</t>
  </si>
  <si>
    <t>add a new header row. variable name should be made compatible with different datasets across different species. (save old header row at bottom?)</t>
  </si>
  <si>
    <t>--&gt; Species update</t>
  </si>
  <si>
    <t>if there are typos or shorthand species names used, can update based on heading, note, text</t>
  </si>
  <si>
    <t>--&gt; Species note</t>
  </si>
  <si>
    <t xml:space="preserve">add a column to include any additional information about the species from the table legend, paper text, personal communication, etc </t>
  </si>
  <si>
    <t>--&gt; Species correction</t>
  </si>
  <si>
    <t>add a column to correct any errors in species designations (e.g., misidentified or combined different species of same genus)</t>
  </si>
  <si>
    <t>--&gt; Corrections</t>
  </si>
  <si>
    <t>correction after erratum or other note. Indicate reason for correction.</t>
  </si>
  <si>
    <t>--&gt; Species final update</t>
  </si>
  <si>
    <t>add a column with (NCBI?) species names, scientific binomial, to match across databases</t>
  </si>
  <si>
    <t>--&gt; Online database</t>
  </si>
  <si>
    <t>save as tsv with DOI plus item for file name</t>
  </si>
  <si>
    <t>Question: the tables will be matched by a column, currently "Species". Should this be renamed something more unique like "Species_NCBI_EvoGen"?</t>
  </si>
  <si>
    <t>When combining datasets, provide metadata in the files "definitions" and deal with any conflicting values by preffering values following to the order below</t>
  </si>
  <si>
    <t>implementation</t>
  </si>
  <si>
    <t>Revised paper (or datum) if the team explicitly said values have been improved. Provide a flag and a reference in Metadata</t>
  </si>
  <si>
    <t>Flag worse value in and filter</t>
  </si>
  <si>
    <t>Method and/or lab with the highest number of mammalian species represented (ANY mammals not just the focal ones)</t>
  </si>
  <si>
    <t>this may need to be done manually</t>
  </si>
  <si>
    <t>Paper with the highest number of mammalian species represented (ANY mammals not just the focal ones)</t>
  </si>
  <si>
    <t>Species N</t>
  </si>
  <si>
    <t>Paper with the most recent publication date</t>
  </si>
  <si>
    <t xml:space="preserve">Ref last </t>
  </si>
  <si>
    <t>Files</t>
  </si>
  <si>
    <t>10.0000%2Fplaceholder.1_Table1.tsv</t>
  </si>
  <si>
    <t>10.1002%2Fcne.24605_TABLE1.tsv</t>
  </si>
  <si>
    <t>10.1002%2Fcne.24605_TABLE2.tsv</t>
  </si>
  <si>
    <t>10.1002%2Fcne.24985_TABLE1.tsv</t>
  </si>
  <si>
    <t>10.1002%2Fcne.24985_TABLE2.tsv</t>
  </si>
  <si>
    <t>10.1002%2Fcne.25669_TABLE1.tsv</t>
  </si>
  <si>
    <t>10.1002%2Fcne.70089_TABLE1.tsv</t>
  </si>
  <si>
    <t>10.1006%2Fjhev.1996.0005_Table1.tsv</t>
  </si>
  <si>
    <t>10.1007%2Fs004220000205_Figure3.tsv</t>
  </si>
  <si>
    <t>10.1016%2Fj.jhevol.2008.08.004_Table2.tsv</t>
  </si>
  <si>
    <t>10.1016%2Fj.jhevol.2008.08.004_Table7.tsv</t>
  </si>
  <si>
    <t>10.1016%2Fj.jhevol.2008.08.004_TableS1.tsv</t>
  </si>
  <si>
    <t>10.1016%2Fj.jhevol.2008.08.004_TableS2.tsv</t>
  </si>
  <si>
    <t>10.1016%2Fj.jhevol.2008.08.004_TableS3.tsv</t>
  </si>
  <si>
    <t>10.1016%2Fj.jhevol.2008.08.004_Tree.nex</t>
  </si>
  <si>
    <t>10.1016%2Fs0166-4328(98)00151-x_Table1.tsv</t>
  </si>
  <si>
    <t>10.1037%2F0735-7036.115.1.29_Table1.tsv</t>
  </si>
  <si>
    <t>10.1037%2F0735-7036.115.1.29_Table2.tsv</t>
  </si>
  <si>
    <t>10.1037%2F0735-7036.115.1.29_Table3.tsv</t>
  </si>
  <si>
    <t>10.1037%2F0735-7036.115.1.29_Table4.tsv</t>
  </si>
  <si>
    <t>10.1038%2Fs41467-020-14356-3_SupplementaryData3.tsv</t>
  </si>
  <si>
    <t>10.1038%2Fs41598-018-26062-8_Table1.tsv</t>
  </si>
  <si>
    <t>10.1038%2Fs41598-018-26062-8_TableS1.tsv</t>
  </si>
  <si>
    <t>10.1038%2Fs41598-018-26062-8_TableS5.tsv</t>
  </si>
  <si>
    <t>10.1073%2Fpnas.0905777106_TableS1.tsv</t>
  </si>
  <si>
    <t>10.1093%2Fjmammal%2Fgyz043_SupplementaryDataSD1.tsv</t>
  </si>
  <si>
    <t>10.1093%2Fjmammal%2Fgyz043.ReadMe.md</t>
  </si>
  <si>
    <t>10.1093%2Foso%2F9780198568742.003.0006_Table6.1.tsv</t>
  </si>
  <si>
    <t>10.1098%2Frspb.2015.1853_Table1.tsv</t>
  </si>
  <si>
    <t>10.1126%2Fscience.aaa9101_TableS1.tsv</t>
  </si>
  <si>
    <t>10.1159%2F000124401_TableI.tsv</t>
  </si>
  <si>
    <t>10.1159%2F000319019_SupplementaryTable1.tsv</t>
  </si>
  <si>
    <t>10.1159%2F000319019_Table1.tsv</t>
  </si>
  <si>
    <t>10.1159%2F000323671_SupplementaryTable1.tsv</t>
  </si>
  <si>
    <t>10.1159%2F000323671_SupplementaryTable2.tsv</t>
  </si>
  <si>
    <t>10.1159%2F000323671.ReadMe.md</t>
  </si>
  <si>
    <t>10.1159%2F000437413_Table1.tsv</t>
  </si>
  <si>
    <t>10.1159%2F000437413_Table2.tsv</t>
  </si>
  <si>
    <t>10.1159%2F000437413_Table3.tsv</t>
  </si>
  <si>
    <t>10.1159%2F000437413_Table4.tsv</t>
  </si>
  <si>
    <t>10.1159%2F000437413_Table5.tsv</t>
  </si>
  <si>
    <t>10.1159%2F000452856_TableS1.tsv</t>
  </si>
  <si>
    <t>10.1371%2Fjournal.pbio.1002000_TableS1.tsv</t>
  </si>
  <si>
    <t>10.1371%2Fjournal.pbio.1002000_TableS8.ReadMe.md</t>
  </si>
  <si>
    <t>10.1371%2Fjournal.pbio.1002000_TableS8.tsv</t>
  </si>
  <si>
    <t>10.1523%2FJNEUROSCI.2339-19.2020_Table1.tsv</t>
  </si>
  <si>
    <t>10.1523%2FJNEUROSCI.2339-19.2020_unpublished.tsv</t>
  </si>
  <si>
    <t>10.3389%25Ffnana.2013.00035.svg</t>
  </si>
  <si>
    <t>10.3389%2Ffnana.2013.00035_Figure2TopLeft.ReadMe.md</t>
  </si>
  <si>
    <t>10.3389%2Ffnana.2013.00035_Figure2TopLeft.tsv</t>
  </si>
  <si>
    <t>10.3389%2Ffnana.2013.00035_Table1-a.tsv</t>
  </si>
  <si>
    <t>10.3389%2Ffnana.2013.00035_Table1-b.tsv</t>
  </si>
  <si>
    <t>10.3389%2Ffnana.2013.00035.ReadMe.md</t>
  </si>
  <si>
    <t>10.3389%2Ffnana.2017.00118_Table1.tsv</t>
  </si>
  <si>
    <t>10.3389%2Ffnhum.2013.00424_TableS2partial.tsv</t>
  </si>
  <si>
    <t>10.3389%2Ffnhum.2013.00424.ReadMe.md</t>
  </si>
  <si>
    <t>10.6084%2Fm9.figshare.c.3899422.v1_Dataset1.tsv</t>
  </si>
  <si>
    <t>10.7554%2FeLife.77875_Supplementaryfile3.tsv</t>
  </si>
  <si>
    <t>10.7554%2FeLife.77875_Table1.tsv</t>
  </si>
  <si>
    <t>README.md</t>
  </si>
  <si>
    <t xml:space="preserve">Files</t>
  </si>
  <si>
    <t xml:space="preserve">10.0000%2Fplaceholder.1_Table1.tsv</t>
  </si>
  <si>
    <t xml:space="preserve">10.1002%2Fcne.24605_TABLE1.tsv</t>
  </si>
  <si>
    <t xml:space="preserve">10.1002%2Fcne.24605_TABLE2.tsv</t>
  </si>
  <si>
    <t xml:space="preserve">10.1002%2Fcne.24985_TABLE1.tsv</t>
  </si>
  <si>
    <t xml:space="preserve">10.1002%2Fcne.24985_TABLE2.tsv</t>
  </si>
  <si>
    <t xml:space="preserve">10.1002%2Fcne.25669_TABLE1.tsv</t>
  </si>
  <si>
    <t xml:space="preserve">10.1002%2Fcne.70089_TABLE1.tsv</t>
  </si>
  <si>
    <t xml:space="preserve">10.1006%2Fjhev.1996.0005_Table1.tsv</t>
  </si>
  <si>
    <t xml:space="preserve">10.1007%2Fs004220000205_Figure3.tsv</t>
  </si>
  <si>
    <t xml:space="preserve">10.1016%2Fj.jhevol.2008.08.004_Table2.tsv</t>
  </si>
  <si>
    <t xml:space="preserve">10.1016%2Fj.jhevol.2008.08.004_Table7.tsv</t>
  </si>
  <si>
    <t xml:space="preserve">10.1016%2Fj.jhevol.2008.08.004_TableS1.tsv</t>
  </si>
  <si>
    <t xml:space="preserve">10.1016%2Fj.jhevol.2008.08.004_TableS2.tsv</t>
  </si>
  <si>
    <t xml:space="preserve">10.1016%2Fj.jhevol.2008.08.004_TableS3.tsv</t>
  </si>
  <si>
    <t xml:space="preserve">10.1016%2Fj.jhevol.2008.08.004_Tree.nex</t>
  </si>
  <si>
    <t xml:space="preserve">10.1016%2Fs0166-4328(98)00151-x_Table1.tsv</t>
  </si>
  <si>
    <t xml:space="preserve">10.1037%2F0735-7036.115.1.29_Table1.tsv</t>
  </si>
  <si>
    <t xml:space="preserve">10.1037%2F0735-7036.115.1.29_Table2.tsv</t>
  </si>
  <si>
    <t xml:space="preserve">10.1037%2F0735-7036.115.1.29_Table3.tsv</t>
  </si>
  <si>
    <t xml:space="preserve">10.1037%2F0735-7036.115.1.29_Table4.tsv</t>
  </si>
  <si>
    <t xml:space="preserve">10.1038%2Fs41467-020-14356-3_SupplementaryData3.tsv</t>
  </si>
  <si>
    <t xml:space="preserve">10.1038%2Fs41598-018-26062-8_Table1.tsv</t>
  </si>
  <si>
    <t xml:space="preserve">10.1038%2Fs41598-018-26062-8_TableS1.tsv</t>
  </si>
  <si>
    <t xml:space="preserve">10.1038%2Fs41598-018-26062-8_TableS5.tsv</t>
  </si>
  <si>
    <t xml:space="preserve">10.1073%2Fpnas.0905777106_TableS1.tsv</t>
  </si>
  <si>
    <t xml:space="preserve">10.1093%2Fjmammal%2Fgyz043_SupplementaryDataSD1.tsv</t>
  </si>
  <si>
    <t xml:space="preserve">10.1093%2Fjmammal%2Fgyz043.ReadMe.md</t>
  </si>
  <si>
    <t xml:space="preserve">10.1093%2Foso%2F9780198568742.003.0006_Table6.1.tsv</t>
  </si>
  <si>
    <t xml:space="preserve">10.1098%2Frspb.2015.1853_Table1.tsv</t>
  </si>
  <si>
    <t xml:space="preserve">10.1126%2Fscience.aaa9101_TableS1.tsv</t>
  </si>
  <si>
    <t xml:space="preserve">10.1159%2F000124401_TableI.tsv</t>
  </si>
  <si>
    <t xml:space="preserve">10.1159%2F000319019_SupplementaryTable1.tsv</t>
  </si>
  <si>
    <t xml:space="preserve">10.1159%2F000319019_Table1.tsv</t>
  </si>
  <si>
    <t xml:space="preserve">10.1159%2F000323671_SupplementaryTable1.tsv</t>
  </si>
  <si>
    <t xml:space="preserve">10.1159%2F000323671_SupplementaryTable2.tsv</t>
  </si>
  <si>
    <t xml:space="preserve">10.1159%2F000323671.ReadMe.md</t>
  </si>
  <si>
    <t xml:space="preserve">10.1159%2F000437413_Table1.tsv</t>
  </si>
  <si>
    <t xml:space="preserve">10.1159%2F000437413_Table2.tsv</t>
  </si>
  <si>
    <t xml:space="preserve">10.1159%2F000437413_Table3.tsv</t>
  </si>
  <si>
    <t xml:space="preserve">10.1159%2F000437413_Table4.tsv</t>
  </si>
  <si>
    <t xml:space="preserve">10.1159%2F000437413_Table5.tsv</t>
  </si>
  <si>
    <t xml:space="preserve">10.1159%2F000452856_TableS1.tsv</t>
  </si>
  <si>
    <t xml:space="preserve">10.1371%2Fjournal.pbio.1002000_TableS1.tsv</t>
  </si>
  <si>
    <t xml:space="preserve">10.1371%2Fjournal.pbio.1002000_TableS8.ReadMe.md</t>
  </si>
  <si>
    <t xml:space="preserve">10.1371%2Fjournal.pbio.1002000_TableS8.tsv</t>
  </si>
  <si>
    <t xml:space="preserve">10.1523%2FJNEUROSCI.2339-19.2020_Table1.tsv</t>
  </si>
  <si>
    <t xml:space="preserve">10.1523%2FJNEUROSCI.2339-19.2020_unpublished.tsv</t>
  </si>
  <si>
    <t xml:space="preserve">10.3389%25Ffnana.2013.00035.svg</t>
  </si>
  <si>
    <t xml:space="preserve">10.3389%2Ffnana.2013.00035_Figure2TopLeft.ReadMe.md</t>
  </si>
  <si>
    <t xml:space="preserve">10.3389%2Ffnana.2013.00035_Figure2TopLeft.tsv</t>
  </si>
  <si>
    <t xml:space="preserve">10.3389%2Ffnana.2013.00035_Table1-a.tsv</t>
  </si>
  <si>
    <t xml:space="preserve">10.3389%2Ffnana.2013.00035_Table1-b.tsv</t>
  </si>
  <si>
    <t xml:space="preserve">10.3389%2Ffnana.2013.00035.ReadMe.md</t>
  </si>
  <si>
    <t xml:space="preserve">10.3389%2Ffnana.2017.00118_Table1.tsv</t>
  </si>
  <si>
    <t xml:space="preserve">10.3389%2Ffnhum.2013.00424_TableS2partial.tsv</t>
  </si>
  <si>
    <t xml:space="preserve">10.3389%2Ffnhum.2013.00424.ReadMe.md</t>
  </si>
  <si>
    <t xml:space="preserve">10.3389%2Ffnins.2021.632853_TABLE1.tsv</t>
  </si>
  <si>
    <t xml:space="preserve">10.6084%2Fm9.figshare.c.3899422.v1_Dataset1.tsv</t>
  </si>
  <si>
    <t xml:space="preserve">10.7554%2FeLife.77875_Supplementaryfile3.tsv</t>
  </si>
  <si>
    <t xml:space="preserve">10.7554%2FeLife.77875_Table1.tsv</t>
  </si>
  <si>
    <t xml:space="preserve">README.md</t>
  </si>
  <si>
    <t xml:space="preserve">WOS%3A000225086000011_TABLE1.tsv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</si>
</sst>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font>
      <sz val="12"/>
      <color theme="1"/>
      <name val="Calibri"/>
      <family val="2"/>
      <scheme val="minor"/>
    </font>
    <font>
      <sz val="11"/>
      <color rgb="FF3F3F76"/>
      <name val="Calibri"/>
      <family val="2"/>
      <scheme val="minor"/>
    </font>
    <font>
      <sz val="12"/>
      <color rgb="FF3F3F76"/>
      <name val="Calibri"/>
      <family val="2"/>
      <scheme val="minor"/>
    </font>
    <font>
      <sz val="12"/>
      <color theme="1"/>
      <name val="Calibri"/>
      <family val="2"/>
      <scheme val="minor"/>
      <b/>
    </font>
    <font>
      <sz val="11"/>
      <color rgb="FF3F3F76"/>
      <name val="Calibri"/>
      <family val="2"/>
      <scheme val="minor"/>
      <b/>
    </font>
    <font>
      <sz val="12"/>
      <color theme="1"/>
      <name val="Calibri"/>
      <family val="2"/>
    </font>
    <font>
      <sz val="12"/>
      <color theme="1"/>
      <name val="Calibri"/>
      <family val="2"/>
      <scheme val="minor"/>
      <i/>
    </font>
  </fonts>
  <fills count="3">
    <fill>
      <patternFill patternType="none"/>
    </fill>
    <fill>
      <patternFill patternType="gray125"/>
    </fill>
    <fill>
      <patternFill patternType="solid">
        <fgColor rgb="FFFFCC99"/>
      </patternFill>
    </fill>
  </fills>
  <borders count="3">
    <border>
      <left/>
      <right/>
      <top/>
      <bottom/>
      <diagonal/>
    </border>
    <border>
      <left style="thin">
        <color rgb="FF7F7F7F"/>
      </left>
      <right style="thin">
        <color rgb="FF7F7F7F"/>
      </right>
      <top style="thin">
        <color rgb="FF7F7F7F"/>
      </top>
      <bottom style="thin">
        <color rgb="FF7F7F7F"/>
      </bottom>
    </border>
    <border>
      <left style="thin">
        <color rgb="FF7F7F7F"/>
      </left>
      <right style="thin">
        <color rgb="FF7F7F7F"/>
      </right>
    </border>
  </borders>
  <cellStyleXfs count="1">
    <xf numFmtId="0" fontId="0" fillId="0" borderId="0"/>
  </cellStyleXfs>
  <cellXfs count="13">
    <xf numFmtId="0" fontId="0" fillId="0" borderId="0" xfId="0"/>
    <xf numFmtId="0" fontId="1" fillId="2" borderId="1" xfId="0" applyFont="1" applyFill="1" applyBorder="1"/>
    <xf numFmtId="0" fontId="1" fillId="2" borderId="0" xfId="0" applyFont="1" applyFill="1"/>
    <xf numFmtId="0" fontId="1" fillId="2" borderId="2" xfId="0" applyFont="1" applyFill="1" applyBorder="1"/>
    <xf numFmtId="0" fontId="2" fillId="2" borderId="1" xfId="0" applyFont="1" applyFill="1" applyBorder="1"/>
    <xf numFmtId="0" fontId="3" fillId="0" borderId="0" xfId="0" applyFont="1"/>
    <xf numFmtId="0" fontId="1" fillId="2" borderId="1" xfId="0" applyFont="1" applyFill="1" applyBorder="1" applyAlignment="1">
      <alignment horizontal="left"/>
    </xf>
    <xf numFmtId="49" fontId="1" fillId="2" borderId="1" xfId="0" applyFont="1" applyNumberFormat="1" applyFill="1" applyBorder="1"/>
    <xf numFmtId="0" fontId="1" fillId="2" borderId="1" xfId="0" applyFont="1" applyFill="1" applyBorder="1" applyAlignment="1">
      <alignment wrapText="1"/>
    </xf>
    <xf numFmtId="0" fontId="4" fillId="2" borderId="1" xfId="0" applyFont="1" applyFill="1" applyBorder="1"/>
    <xf numFmtId="0" fontId="5" fillId="0" borderId="0" xfId="0" applyFont="1"/>
    <xf numFmtId="0" fontId="6" fillId="0" borderId="0" xfId="0" applyFont="1"/>
    <xf numFmtId="0" fontId="5"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elifesciences.org/download/aHR0cHM6Ly9jZG4uZWxpZmVzY2llbmNlcy5vcmcvYXJ0aWNsZXMvNzc4NzUvZWxpZmUtNzc4NzUtdjEucGRmP2Nhbm9uaWNhbFVyaT1odHRwczovL2VsaWZlc2NpZW5jZXMub3JnL2FydGljbGVzLzc3ODc1/elife-77875-v1.pdf?_hash=NStjcL9fTlmy3AQDwSiM0YgMVB3UYjO8nDg0UbwN5gM%3D" TargetMode="External"/><Relationship Id="rId2h" Type="http://schemas.openxmlformats.org/officeDocument/2006/relationships/hyperlink" Target="https://cdn.elifesciences.org/articles/77875/elife-77875-supp3-v1.xlsx" TargetMode="External"/><Relationship Id="rId3h" Type="http://schemas.openxmlformats.org/officeDocument/2006/relationships/hyperlink" Target="https://static-content.springer.com/esm/art%3A10.1038%2Fs41467-020-14356-3/MediaObjects/41467_2020_14356_MOESM6_ESM.xlsx" TargetMode="External"/><Relationship Id="rId4h" Type="http://schemas.openxmlformats.org/officeDocument/2006/relationships/hyperlink" Target="https://ndownloader.figstatic.com/files/7428211" TargetMode="External"/><Relationship Id="rId5h" Type="http://schemas.openxmlformats.org/officeDocument/2006/relationships/hyperlink" Target="https://www.researchgate.net/publication/299027052_Developmental_constraints_on_or_developmental_structure_in_brain_evolution" TargetMode="External"/><Relationship Id="rId6h" Type="http://schemas.openxmlformats.org/officeDocument/2006/relationships/hyperlink" Target="https://github.com/ManyPrimates/mp1_short_term_memory/raw/master/data/species_predictors.xlsx" TargetMode="External"/><Relationship Id="rId7h" Type="http://schemas.openxmlformats.org/officeDocument/2006/relationships/hyperlink" Target="https://figshare.com/ndownloader/files/9479092" TargetMode="External"/><Relationship Id="rId8h" Type="http://schemas.openxmlformats.org/officeDocument/2006/relationships/hyperlink" Target="https://karger.com/bbe/article-pdf/86/3-4/145/2264694/000437413.pdf" TargetMode="External"/><Relationship Id="rId9h" Type="http://schemas.openxmlformats.org/officeDocument/2006/relationships/hyperlink" Target="https://karger.com/bbe/article-pdf/86/3-4/145/2264694/000437413.pdf" TargetMode="External"/><Relationship Id="rId10h" Type="http://schemas.openxmlformats.org/officeDocument/2006/relationships/hyperlink" Target="https://static-content.springer.com/esm/art%3A10.1038%2Fs41598-018-26062-8/MediaObjects/41598_2018_26062_MOESM1_ESM.docx" TargetMode="External"/><Relationship Id="rId11h" Type="http://schemas.openxmlformats.org/officeDocument/2006/relationships/hyperlink" Target="https://static-content.springer.com/esm/art%3A10.1038%2Fs41598-018-26062-8/MediaObjects/41598_2018_26062_MOESM1_ESM.docx" TargetMode="External"/><Relationship Id="rId12h" Type="http://schemas.openxmlformats.org/officeDocument/2006/relationships/hyperlink" Target="https://doi.org/10.3389/fnana.2017.00118" TargetMode="External"/><Relationship Id="rId13h" Type="http://schemas.openxmlformats.org/officeDocument/2006/relationships/hyperlink" Target="https://www.pnas.org/doi/suppl/10.1073/pnas.0905777106/suppl_file/0905777106si.pdf" TargetMode="External"/><Relationship Id="rId14h" Type="http://schemas.openxmlformats.org/officeDocument/2006/relationships/hyperlink" Target="https://www.pnas.org/doi/suppl/10.1073/pnas.0905777106/suppl_file/0905777106si.pdf"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zoomScale="93" zoomScaleNormal="93" workbookViewId="0">
      <pane xSplit="2" ySplit="1" topLeftCell="D2" activePane="bottomRight" state="frozen"/>
      <selection pane="bottomRight" activeCell="L4" sqref="L4"/>
      <selection pane="bottomLeft" activeCell="A2" sqref="A2"/>
      <selection pane="topRight" activeCell="B1" sqref="B1"/>
    </sheetView>
  </sheetViews>
  <sheetFormatPr defaultRowHeight="15.0" baseColWidth="10"/>
  <cols>
    <col min="1" max="1" width="42.125" hidden="0" customWidth="1"/>
    <col min="2" max="2" width="5.125" hidden="0" customWidth="1"/>
    <col min="3" max="3" width="22.875" hidden="0" customWidth="1"/>
    <col min="4" max="4" width="34.875" hidden="0" customWidth="1"/>
    <col min="5" max="5" width="2" hidden="0" customWidth="1"/>
    <col min="6" max="6" width="23.625" hidden="0" customWidth="1"/>
    <col min="7" max="7" width="16.875" hidden="0" customWidth="1"/>
    <col min="8" max="8" width="15" hidden="0" customWidth="1"/>
    <col min="9" max="9" width="5.125" hidden="0" customWidth="1"/>
    <col min="10" max="10" width="12" hidden="0" customWidth="1"/>
    <col min="11" max="11" width="31.125" hidden="0" customWidth="1"/>
    <col min="12" max="12" width="46.5" hidden="0" customWidth="1"/>
    <col min="13" max="13" width="21.5" hidden="0" customWidth="1"/>
    <col min="14" max="14" width="15.375" hidden="0" customWidth="1"/>
    <col min="15" max="15" width="24" hidden="0" customWidth="1"/>
    <col min="16" max="16" width="10" hidden="0" customWidth="1"/>
    <col min="17" max="17" width="14.125" hidden="0" customWidth="1"/>
    <col min="18" max="18" width="14.125" hidden="0" customWidth="1"/>
    <col min="19" max="19" width="14.125" hidden="0" customWidth="1"/>
    <col min="20" max="20" width="14.125" hidden="0" customWidth="1"/>
    <col min="21" max="21" width="13.875" hidden="0" customWidth="1"/>
    <col min="22" max="22" width="12.625" hidden="0" customWidth="1"/>
    <col min="23" max="23" width="22.125" hidden="0" customWidth="1"/>
    <col min="24" max="24" width="14.375" hidden="0" customWidth="1"/>
    <col min="25" max="25" width="39.5" hidden="0" customWidth="1"/>
    <col min="26" max="26" width="11.125" hidden="0" customWidth="1"/>
    <col min="27" max="27" width="5" hidden="0" customWidth="1"/>
    <col min="28" max="28" width="7.5" hidden="0" customWidth="1"/>
    <col min="29" max="29" width="10.625" hidden="0" customWidth="1"/>
    <col min="30" max="30" width="10.875" hidden="0" customWidth="1"/>
    <col min="31" max="31" width="11" hidden="0" customWidth="1"/>
    <col min="32" max="32" width="10.875" hidden="0" customWidth="1"/>
    <col min="33" max="33" width="10.875" hidden="0" customWidth="1"/>
    <col min="34" max="34" width="10.875" hidden="0" customWidth="1"/>
  </cols>
  <sheetData>
    <row r="1" ht="15.95" customHeight="1">
      <c r="A1" s="9" t="s">
        <v>0</v>
      </c>
      <c r="B1" s="9" t="s">
        <v>1</v>
      </c>
      <c r="C1" s="9" t="s">
        <v>2</v>
      </c>
      <c r="D1" s="9" t="s">
        <v>3</v>
      </c>
      <c r="E1" s="5" t="s">
        <v>4</v>
      </c>
      <c r="F1" s="5" t="s">
        <v>5</v>
      </c>
      <c r="G1" s="5" t="s">
        <v>6</v>
      </c>
      <c r="H1" s="5" t="s">
        <v>7</v>
      </c>
      <c r="I1" s="5" t="s">
        <v>8</v>
      </c>
      <c r="J1" s="5" t="s">
        <v>9</v>
      </c>
      <c r="K1" s="5" t="s">
        <v>10</v>
      </c>
      <c r="L1" s="5" t="s">
        <v>11</v>
      </c>
      <c r="M1" s="5"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row>
    <row r="2" ht="15.95" customHeight="1">
      <c r="A2" s="1" t="s">
        <v>34</v>
      </c>
      <c r="D2" s="1" t="s">
        <v>35</v>
      </c>
      <c r="E2" t="str">
        <f t="shared" ref="E2" si="0">RIGHT(A2,1)</f>
        <v>5</v>
      </c>
      <c r="F2" t="str">
        <f t="shared" ref="F2" si="1">G2 &amp; IF(H2&lt;&gt;"", "_" &amp; H2, "_") &amp; IF(I2&lt;&gt;"", "_" &amp; I2, "_") &amp; IF(B2&lt;&gt;"", "_" &amp; B2, "")</f>
        <v>Andelin_etal_2019</v>
      </c>
      <c r="G2" t="str">
        <f t="shared" ref="G2" si="2">SUBSTITUTE(SUBSTITUTE(_xlfn.TEXTBEFORE(A2,","), "-", ""), " ", "")</f>
        <v>Andelin</v>
      </c>
      <c r="H2" t="str">
        <f t="shared" ref="H2" si="3">IF(ISNUMBER(FIND("&amp;", A2)),
    IF(LEN(A2)-LEN(SUBSTITUTE(A2, ",", ""))&gt;=6, "etal", MID(A2, SEARCH("&amp; ", A2)+2, SEARCH(",", A2, SEARCH("&amp; ", A2)+2) - SEARCH("&amp; ", A2)-2)),
    ""
)</f>
        <v>etal</v>
      </c>
      <c r="I2" t="str">
        <f t="shared" ref="I2" si="4">_xlfn.TEXTBEFORE(_xlfn.TEXTAFTER(A2, "("), ")")</f>
        <v>2019</v>
      </c>
      <c r="J2" t="str">
        <f>IF(C2&lt;&gt;"", C2, IF(C2="", _xlfn.TEXTAFTER(A2,"https://doi.org/"), C2))</f>
        <v>10.1093/cercor/bhy315</v>
      </c>
      <c r="K2" t="str">
        <f t="shared" ref="K2" si="5">TRIM(_xlfn.TEXTJOIN("_",FALSE,F2,(SUBSTITUTE(SUBSTITUTE(D2," ",""), "_", ""))))</f>
        <v>Andelin_etal_2019_Table4</v>
      </c>
      <c r="L2" t="str">
        <f t="shared" ref="L2" si="6">IF(ISBLANK(C2),TRIM(SUBSTITUTE(SUBSTITUTE(SUBSTITUTE(_xlfn.TEXTJOIN("_", FALSE, J2, SUBSTITUTE(D2,"_", "")), "/", "%2F"), ":", "%3A"), " ", "")),TRIM(SUBSTITUTE(SUBSTITUTE(SUBSTITUTE(_xlfn.TEXTJOIN("_", FALSE, C2, SUBSTITUTE(D2,"_", "")), "/", "%2F"), ":", "%3A"), " ", "")))</f>
        <v>10.1093%2Fcercor%2Fbhy315_Table4</v>
      </c>
      <c r="M2" t="str">
        <f t="array" ref="M2">IFERROR(INDEX(FileList!$A$1:$A$100, MATCH(L2, _xlfn.TEXTBEFORE(FileList!$A$1:$A$100, ".tsv"), 0)), "notfound")</f>
        <v>notfound</v>
      </c>
      <c r="V2" s="1" t="s">
        <v>36</v>
      </c>
      <c r="Y2" s="1"/>
      <c r="Z2" s="1"/>
    </row>
    <row r="3" ht="15.95" customHeight="1">
      <c r="A3" s="1" t="s">
        <v>37</v>
      </c>
      <c r="D3" s="1" t="s">
        <v>38</v>
      </c>
      <c r="E3" t="str">
        <f t="shared" ref="E3" si="7">RIGHT(A3,1)</f>
        <v>9</v>
      </c>
      <c r="F3" t="str">
        <f t="shared" ref="F3" si="8">G3 &amp; IF(H3&lt;&gt;"", "_" &amp; H3, "_") &amp; IF(I3&lt;&gt;"", "_" &amp; I3, "_") &amp; IF(B3&lt;&gt;"", "_" &amp; B3, "")</f>
        <v>AvelinodeSouza_etal_2025</v>
      </c>
      <c r="G3" t="str">
        <f t="shared" ref="G3" si="9">SUBSTITUTE(SUBSTITUTE(_xlfn.TEXTBEFORE(A3,","), "-", ""), " ", "")</f>
        <v>AvelinodeSouza</v>
      </c>
      <c r="H3" t="str">
        <f t="shared" ref="H3" si="10">IF(ISNUMBER(FIND("&amp;", A3)),
    IF(LEN(A3)-LEN(SUBSTITUTE(A3, ",", ""))&gt;=6, "etal", MID(A3, SEARCH("&amp; ", A3)+2, SEARCH(",", A3, SEARCH("&amp; ", A3)+2) - SEARCH("&amp; ", A3)-2)),
    ""
)</f>
        <v>etal</v>
      </c>
      <c r="I3" t="str">
        <f t="shared" ref="I3" si="11">_xlfn.TEXTBEFORE(_xlfn.TEXTAFTER(A3, "("), ")")</f>
        <v>2025</v>
      </c>
      <c r="J3" t="str">
        <f>IF(C3&lt;&gt;"", C3, IF(C3="", _xlfn.TEXTAFTER(A3,"https://doi.org/"), C3))</f>
        <v>10.1002/cne.70089</v>
      </c>
      <c r="K3" t="str">
        <f t="shared" ref="K3:K16" si="12">TRIM(_xlfn.TEXTJOIN("_",FALSE,F3,(SUBSTITUTE(SUBSTITUTE(D3," ",""), "_", ""))))</f>
        <v>AvelinodeSouza_etal_2025_TABLE1</v>
      </c>
      <c r="L3" t="str">
        <f t="shared" ref="L3:L16" si="13">IF(ISBLANK(C3),TRIM(SUBSTITUTE(SUBSTITUTE(SUBSTITUTE(_xlfn.TEXTJOIN("_", FALSE, J3, SUBSTITUTE(D3,"_", "")), "/", "%2F"), ":", "%3A"), " ", "")),TRIM(SUBSTITUTE(SUBSTITUTE(SUBSTITUTE(_xlfn.TEXTJOIN("_", FALSE, C3, SUBSTITUTE(D3,"_", "")), "/", "%2F"), ":", "%3A"), " ", "")))</f>
        <v>10.1002%2Fcne.70089_TABLE1</v>
      </c>
      <c r="M3" t="str">
        <f t="array" ref="M3">IFERROR(INDEX(FileList!$A$1:$A$100, MATCH(L3, _xlfn.TEXTBEFORE(FileList!$A$1:$A$100, ".tsv"), 0)), "notfound")</f>
        <v>10.1002%2Fcne.70089_TABLE1.tsv</v>
      </c>
      <c r="V3" s="1" t="s">
        <v>36</v>
      </c>
      <c r="Y3" s="1" t="s">
        <v>39</v>
      </c>
      <c r="Z3" s="1" t="s">
        <v>40</v>
      </c>
    </row>
    <row r="4" ht="15.95" customHeight="1">
      <c r="A4" s="1" t="s">
        <v>41</v>
      </c>
      <c r="D4" s="1" t="s">
        <v>42</v>
      </c>
      <c r="E4" t="str">
        <f t="shared" ref="E4" si="14">RIGHT(A4,1)</f>
        <v>1</v>
      </c>
      <c r="F4" t="str">
        <f t="shared" ref="F4" si="15">G4 &amp; IF(H4&lt;&gt;"", "_" &amp; H4, "_") &amp; IF(I4&lt;&gt;"", "_" &amp; I4, "_") &amp; IF(B4&lt;&gt;"", "_" &amp; B4, "")</f>
        <v>BarbeitoAndres_etal_2019</v>
      </c>
      <c r="G4" t="str">
        <f t="shared" ref="G4" si="16">SUBSTITUTE(SUBSTITUTE(_xlfn.TEXTBEFORE(A4,","), "-", ""), " ", "")</f>
        <v>BarbeitoAndres</v>
      </c>
      <c r="H4" t="str">
        <f t="shared" ref="H4" si="17">IF(ISNUMBER(FIND("&amp;", A4)),
    IF(LEN(A4)-LEN(SUBSTITUTE(A4, ",", ""))&gt;=6, "etal", MID(A4, SEARCH("&amp; ", A4)+2, SEARCH(",", A4, SEARCH("&amp; ", A4)+2) - SEARCH("&amp; ", A4)-2)),
    ""
)</f>
        <v>etal</v>
      </c>
      <c r="I4" t="str">
        <f t="shared" ref="I4" si="18">_xlfn.TEXTBEFORE(_xlfn.TEXTAFTER(A4, "("), ")")</f>
        <v>2019</v>
      </c>
      <c r="J4" t="str">
        <f>IF(C4&lt;&gt;"", C4, IF(C4="", _xlfn.TEXTAFTER(A4,"https://doi.org/"), C4))</f>
        <v>10.1242/jeb.204651</v>
      </c>
      <c r="K4" t="str">
        <f t="shared" ref="K4" si="19">TRIM(_xlfn.TEXTJOIN("_",FALSE,F4,(SUBSTITUTE(SUBSTITUTE(D4," ",""), "_", ""))))</f>
        <v>BarbeitoAndres_etal_2019_datafigshare.xlsx</v>
      </c>
      <c r="L4" t="str">
        <f t="shared" ref="L4" si="20">IF(ISBLANK(C4),TRIM(SUBSTITUTE(SUBSTITUTE(SUBSTITUTE(_xlfn.TEXTJOIN("_", FALSE, J4, SUBSTITUTE(D4,"_", "")), "/", "%2F"), ":", "%3A"), " ", "")),TRIM(SUBSTITUTE(SUBSTITUTE(SUBSTITUTE(_xlfn.TEXTJOIN("_", FALSE, C4, SUBSTITUTE(D4,"_", "")), "/", "%2F"), ":", "%3A"), " ", "")))</f>
        <v>10.1242%2Fjeb.204651_datafigshare.xlsx</v>
      </c>
      <c r="M4" t="str">
        <f t="array" ref="M4">IFERROR(INDEX(FileList!$A$1:$A$100, MATCH(L4, _xlfn.TEXTBEFORE(FileList!$A$1:$A$100, ".tsv"), 0)), "notfound")</f>
        <v>notfound</v>
      </c>
      <c r="V4" s="1"/>
      <c r="Y4" s="2"/>
      <c r="Z4" s="1"/>
    </row>
    <row r="5" ht="15.95" customHeight="1">
      <c r="A5" s="1" t="s">
        <v>43</v>
      </c>
      <c r="C5" s="1" t="s">
        <v>44</v>
      </c>
      <c r="D5" s="1" t="s">
        <v>45</v>
      </c>
      <c r="E5" t="str">
        <f t="shared" ref="E5:E6" si="21">RIGHT(A5,1)</f>
        <v>5</v>
      </c>
      <c r="F5" t="str">
        <f t="shared" ref="F5" si="22">G5 &amp; IF(H5&lt;&gt;"", "_" &amp; H5, "_") &amp; IF(I5&lt;&gt;"", "_" &amp; I5, "_") &amp; IF(B5&lt;&gt;"", "_" &amp; B5, "")</f>
        <v>Baron_etal_1983</v>
      </c>
      <c r="G5" t="str">
        <f t="shared" ref="G5" si="23">SUBSTITUTE(SUBSTITUTE(_xlfn.TEXTBEFORE(A5,","), "-", ""), " ", "")</f>
        <v>Baron</v>
      </c>
      <c r="H5" t="str">
        <f t="shared" ref="H5" si="24">IF(ISNUMBER(FIND("&amp;", A5)),
    IF(LEN(A5)-LEN(SUBSTITUTE(A5, ",", ""))&gt;=6, "etal", MID(A5, SEARCH("&amp; ", A5)+2, SEARCH(",", A5, SEARCH("&amp; ", A5)+2) - SEARCH("&amp; ", A5)-2)),
    ""
)</f>
        <v>etal</v>
      </c>
      <c r="I5" t="str">
        <f t="shared" ref="I5" si="25">_xlfn.TEXTBEFORE(_xlfn.TEXTAFTER(A5, "("), ")")</f>
        <v>1983</v>
      </c>
      <c r="J5" t="str">
        <f t="shared" ref="J5:J71" si="26">IF(C5&lt;&gt;"", C5, IF(C5="", _xlfn.TEXTAFTER(A5,"https://doi.org/"), C5))</f>
        <v>10.0000/placeholder.1</v>
      </c>
      <c r="K5" t="str">
        <f t="shared" si="12"/>
        <v>Baron_etal_1983_Table1</v>
      </c>
      <c r="L5" t="str">
        <f t="shared" si="13"/>
        <v>10.0000%2Fplaceholder.1_Table1</v>
      </c>
      <c r="M5" t="str">
        <f t="array" ref="M5">IFERROR(INDEX(FileList!$A$1:$A$100, MATCH(L5, _xlfn.TEXTBEFORE(FileList!$A$1:$A$100, ".tsv"), 0)), "notfound")</f>
        <v>10.0000%2Fplaceholder.1_Table1.tsv</v>
      </c>
      <c r="V5" s="1" t="s">
        <v>36</v>
      </c>
      <c r="W5" s="1" t="s">
        <v>46</v>
      </c>
      <c r="Z5" s="1" t="s">
        <v>40</v>
      </c>
    </row>
    <row r="6" ht="15.95" customHeight="1">
      <c r="A6" s="1" t="s">
        <v>47</v>
      </c>
      <c r="C6" s="1" t="s">
        <v>48</v>
      </c>
      <c r="D6" s="1" t="s">
        <v>45</v>
      </c>
      <c r="E6" t="str">
        <f t="shared" si="21"/>
        <v>6</v>
      </c>
      <c r="F6" t="str">
        <f t="shared" ref="F6" si="27">G6 &amp; IF(H6&lt;&gt;"", "_" &amp; H6, "_") &amp; IF(I6&lt;&gt;"", "_" &amp; I6, "_") &amp; IF(B6&lt;&gt;"", "_" &amp; B6, "")</f>
        <v>Baron_etal_1987</v>
      </c>
      <c r="G6" t="str">
        <f t="shared" ref="G6" si="28">SUBSTITUTE(SUBSTITUTE(_xlfn.TEXTBEFORE(A6,","), "-", ""), " ", "")</f>
        <v>Baron</v>
      </c>
      <c r="H6" t="str">
        <f t="shared" ref="H6" si="29">IF(ISNUMBER(FIND("&amp;", A6)),
    IF(LEN(A6)-LEN(SUBSTITUTE(A6, ",", ""))&gt;=6, "etal", MID(A6, SEARCH("&amp; ", A6)+2, SEARCH(",", A6, SEARCH("&amp; ", A6)+2) - SEARCH("&amp; ", A6)-2)),
    ""
)</f>
        <v>etal</v>
      </c>
      <c r="I6" t="str">
        <f t="shared" ref="I6" si="30">_xlfn.TEXTBEFORE(_xlfn.TEXTAFTER(A6, "("), ")")</f>
        <v>1987</v>
      </c>
      <c r="J6" t="str">
        <f t="shared" si="26"/>
        <v>10.0000/placeholder.2</v>
      </c>
      <c r="K6" t="str">
        <f t="shared" si="12"/>
        <v>Baron_etal_1987_Table1</v>
      </c>
      <c r="L6" t="str">
        <f t="shared" si="13"/>
        <v>10.0000%2Fplaceholder.2_Table1</v>
      </c>
      <c r="M6" t="str">
        <f t="array" ref="M6">IFERROR(INDEX(FileList!$A$1:$A$100, MATCH(L6, _xlfn.TEXTBEFORE(FileList!$A$1:$A$100, ".tsv"), 0)), "notfound")</f>
        <v>notfound</v>
      </c>
      <c r="V6" s="1" t="s">
        <v>36</v>
      </c>
      <c r="W6" s="1" t="s">
        <v>46</v>
      </c>
      <c r="Z6" s="1" t="s">
        <v>40</v>
      </c>
    </row>
    <row r="7" ht="15.95" customHeight="1">
      <c r="A7" s="1" t="s">
        <v>49</v>
      </c>
      <c r="C7" s="1" t="s">
        <v>50</v>
      </c>
      <c r="D7" s="1" t="s">
        <v>51</v>
      </c>
      <c r="E7" t="str">
        <f t="shared" ref="E7:E50" si="31">RIGHT(A7,1)</f>
        <v>0</v>
      </c>
      <c r="F7" t="str">
        <f t="shared" ref="F7:F50" si="32">G7 &amp; IF(H7&lt;&gt;"", "_" &amp; H7, "_") &amp; IF(I7&lt;&gt;"", "_" &amp; I7, "_") &amp; IF(B7&lt;&gt;"", "_" &amp; B7, "")</f>
        <v>Brodmann__1913</v>
      </c>
      <c r="G7" t="str">
        <f t="shared" ref="G7:G50" si="33">SUBSTITUTE(SUBSTITUTE(_xlfn.TEXTBEFORE(A7,","), "-", ""), " ", "")</f>
        <v>Brodmann</v>
      </c>
      <c r="H7" t="str">
        <f t="shared" ref="H7:H50" si="34">IF(ISNUMBER(FIND("&amp;", A7)),
    IF(LEN(A7)-LEN(SUBSTITUTE(A7, ",", ""))&gt;=6, "etal", MID(A7, SEARCH("&amp; ", A7)+2, SEARCH(",", A7, SEARCH("&amp; ", A7)+2) - SEARCH("&amp; ", A7)-2)),
    ""
)</f>
      </c>
      <c r="I7" t="str">
        <f t="shared" ref="I7:I50" si="35">_xlfn.TEXTBEFORE(_xlfn.TEXTAFTER(A7, "("), ")")</f>
        <v>1913</v>
      </c>
      <c r="J7" t="str">
        <f t="shared" si="26"/>
        <v>10.0000/placeholder</v>
      </c>
      <c r="K7" t="str">
        <f t="shared" si="12"/>
        <v>Brodmann__1913_Tabelle1</v>
      </c>
      <c r="L7" t="str">
        <f t="shared" si="13"/>
        <v>10.0000%2Fplaceholder_Tabelle1</v>
      </c>
      <c r="M7" t="str">
        <f t="array" ref="M7">IFERROR(INDEX(FileList!$A$1:$A$100, MATCH(L7, _xlfn.TEXTBEFORE(FileList!$A$1:$A$100, ".tsv"), 0)), "notfound")</f>
        <v>notfound</v>
      </c>
    </row>
    <row r="8" ht="17.100000000000001" customHeight="1">
      <c r="A8" s="1" t="s">
        <v>52</v>
      </c>
      <c r="D8" s="1" t="s">
        <v>53</v>
      </c>
      <c r="E8" t="str">
        <f t="shared" si="31"/>
        <v>3</v>
      </c>
      <c r="F8" t="str">
        <f t="shared" si="32"/>
        <v>Burger_etal_2019</v>
      </c>
      <c r="G8" t="str">
        <f t="shared" si="33"/>
        <v>Burger</v>
      </c>
      <c r="H8" t="str">
        <f t="shared" si="34"/>
        <v>etal</v>
      </c>
      <c r="I8" t="str">
        <f t="shared" si="35"/>
        <v>2019</v>
      </c>
      <c r="J8" t="str">
        <f t="shared" si="26"/>
        <v>10.1093/jmammal/gyz043</v>
      </c>
      <c r="K8" t="str">
        <f t="shared" si="12"/>
        <v>Burger_etal_2019_SupplementaryDataSD1</v>
      </c>
      <c r="L8" t="str">
        <f t="shared" si="13"/>
        <v>10.1093%2Fjmammal%2Fgyz043_SupplementaryDataSD1</v>
      </c>
      <c r="M8" t="str">
        <f t="array" ref="M8">IFERROR(INDEX(FileList!$A$1:$A$100, MATCH(L8, _xlfn.TEXTBEFORE(FileList!$A$1:$A$100, ".tsv"), 0)), "notfound")</f>
        <v>10.1093%2Fjmammal%2Fgyz043_SupplementaryDataSD1.tsv</v>
      </c>
      <c r="O8" s="1" t="s">
        <v>54</v>
      </c>
      <c r="P8" s="1" t="s">
        <v>55</v>
      </c>
      <c r="Q8" s="1" t="s">
        <v>56</v>
      </c>
      <c r="R8" s="1" t="s">
        <v>57</v>
      </c>
      <c r="S8" s="1" t="s">
        <v>58</v>
      </c>
      <c r="T8" s="1" t="str">
        <f>IF(S8="N", R8, "write file name")</f>
        <v>gyz043_suppl_Supplement_Data.csv</v>
      </c>
      <c r="U8" s="1" t="s">
        <v>59</v>
      </c>
      <c r="V8" s="1" t="s">
        <v>36</v>
      </c>
      <c r="W8" s="1" t="s">
        <v>60</v>
      </c>
      <c r="Y8" s="1" t="s">
        <v>61</v>
      </c>
      <c r="Z8" s="1" t="s">
        <v>62</v>
      </c>
      <c r="AD8" s="1" t="s">
        <v>63</v>
      </c>
      <c r="AE8" s="1" t="s">
        <v>64</v>
      </c>
    </row>
    <row r="9" ht="17.100000000000001" customHeight="1">
      <c r="A9" s="1" t="s">
        <v>65</v>
      </c>
      <c r="D9" s="1" t="s">
        <v>66</v>
      </c>
      <c r="E9" t="str">
        <f t="shared" si="31"/>
        <v>9</v>
      </c>
      <c r="F9" t="str">
        <f t="shared" si="32"/>
        <v>Burish_etal_2010</v>
      </c>
      <c r="G9" t="str">
        <f t="shared" si="33"/>
        <v>Burish</v>
      </c>
      <c r="H9" t="str">
        <f t="shared" si="34"/>
        <v>etal</v>
      </c>
      <c r="I9" t="str">
        <f t="shared" si="35"/>
        <v>2010</v>
      </c>
      <c r="J9" t="str">
        <f t="shared" si="26"/>
        <v>10.1159/000319019</v>
      </c>
      <c r="K9" t="str">
        <f t="shared" si="12"/>
        <v>Burish_etal_2010_SupplementaryTable1</v>
      </c>
      <c r="L9" t="str">
        <f t="shared" si="13"/>
        <v>10.1159%2F000319019_SupplementaryTable1</v>
      </c>
      <c r="M9" t="str">
        <f t="array" ref="M9">IFERROR(INDEX(FileList!$A$1:$A$100, MATCH(L9, _xlfn.TEXTBEFORE(FileList!$A$1:$A$100, ".tsv"), 0)), "notfound")</f>
        <v>10.1159%2F000319019_SupplementaryTable1.tsv</v>
      </c>
      <c r="N9" s="1" t="s">
        <v>67</v>
      </c>
      <c r="P9" s="1" t="s">
        <v>68</v>
      </c>
      <c r="R9" s="1" t="s">
        <v>69</v>
      </c>
      <c r="Z9" s="1" t="s">
        <v>70</v>
      </c>
      <c r="AC9" s="1" t="s">
        <v>71</v>
      </c>
      <c r="AE9" s="1" t="s">
        <v>72</v>
      </c>
    </row>
    <row r="10" ht="15.95" customHeight="1">
      <c r="A10" s="1" t="s">
        <v>65</v>
      </c>
      <c r="D10" s="1" t="s">
        <v>45</v>
      </c>
      <c r="E10" t="str">
        <f t="shared" si="31"/>
        <v>9</v>
      </c>
      <c r="F10" t="str">
        <f t="shared" si="32"/>
        <v>Burish_etal_2010</v>
      </c>
      <c r="G10" t="str">
        <f t="shared" si="33"/>
        <v>Burish</v>
      </c>
      <c r="H10" t="str">
        <f t="shared" si="34"/>
        <v>etal</v>
      </c>
      <c r="I10" t="str">
        <f t="shared" si="35"/>
        <v>2010</v>
      </c>
      <c r="J10" t="str">
        <f t="shared" si="26"/>
        <v>10.1159/000319019</v>
      </c>
      <c r="K10" t="str">
        <f t="shared" si="12"/>
        <v>Burish_etal_2010_Table1</v>
      </c>
      <c r="L10" t="str">
        <f t="shared" si="13"/>
        <v>10.1159%2F000319019_Table1</v>
      </c>
      <c r="M10" t="str">
        <f t="array" ref="M10">IFERROR(INDEX(FileList!$A$1:$A$100, MATCH(L10, _xlfn.TEXTBEFORE(FileList!$A$1:$A$100, ".tsv"), 0)), "notfound")</f>
        <v>10.1159%2F000319019_Table1.tsv</v>
      </c>
      <c r="N10" s="1" t="s">
        <v>73</v>
      </c>
      <c r="P10" s="1" t="s">
        <v>55</v>
      </c>
      <c r="Q10" s="1" t="s">
        <v>74</v>
      </c>
      <c r="R10" s="1" t="s">
        <v>75</v>
      </c>
      <c r="Z10" s="1" t="s">
        <v>76</v>
      </c>
      <c r="AC10" s="1" t="s">
        <v>71</v>
      </c>
      <c r="AE10" s="1" t="s">
        <v>72</v>
      </c>
    </row>
    <row r="11" ht="15.95" customHeight="1">
      <c r="A11" s="1" t="s">
        <v>77</v>
      </c>
      <c r="D11" s="1" t="s">
        <v>78</v>
      </c>
      <c r="E11" t="str">
        <f t="shared" si="31"/>
        <v>5</v>
      </c>
      <c r="F11" t="str">
        <f t="shared" si="32"/>
        <v>Caspar_etal_2022</v>
      </c>
      <c r="G11" t="str">
        <f t="shared" si="33"/>
        <v>Caspar</v>
      </c>
      <c r="H11" t="str">
        <f t="shared" si="34"/>
        <v>etal</v>
      </c>
      <c r="I11" t="str">
        <f t="shared" si="35"/>
        <v>2022</v>
      </c>
      <c r="J11" t="str">
        <f t="shared" si="26"/>
        <v>10.7554/eLife.77875</v>
      </c>
      <c r="K11" t="str">
        <f t="shared" si="12"/>
        <v>Caspar_etal_2022_Supplementaryfile3</v>
      </c>
      <c r="L11" t="str">
        <f t="shared" si="13"/>
        <v>10.7554%2FeLife.77875_Supplementaryfile3</v>
      </c>
      <c r="M11" t="str">
        <f t="array" ref="M11">IFERROR(INDEX(FileList!$A$1:$A$100, MATCH(L11, _xlfn.TEXTBEFORE(FileList!$A$1:$A$100, ".tsv"), 0)), "notfound")</f>
        <v>10.7554%2FeLife.77875_Supplementaryfile3.tsv</v>
      </c>
      <c r="N11" s="1" t="s">
        <v>79</v>
      </c>
      <c r="P11" s="1" t="s">
        <v>55</v>
      </c>
      <c r="Q11" s="1" t="s">
        <v>74</v>
      </c>
      <c r="R11" s="1" t="s">
        <v>80</v>
      </c>
      <c r="S11" s="1" t="s">
        <v>58</v>
      </c>
      <c r="T11" s="1" t="str">
        <f>IF(S11="N", R11, "write file name")</f>
        <v>elife-77875-supp3-v1.xlsx</v>
      </c>
      <c r="U11" s="1" t="s">
        <v>81</v>
      </c>
      <c r="V11" s="1" t="s">
        <v>36</v>
      </c>
      <c r="W11" s="1" t="s">
        <v>82</v>
      </c>
      <c r="X11" s="1" t="s">
        <v>83</v>
      </c>
      <c r="Y11" s="1" t="s">
        <v>84</v>
      </c>
      <c r="Z11" s="1" t="s">
        <v>62</v>
      </c>
      <c r="AE11" s="1" t="s">
        <v>85</v>
      </c>
    </row>
    <row r="12" ht="15.95" customHeight="1">
      <c r="A12" s="1" t="s">
        <v>77</v>
      </c>
      <c r="D12" s="1" t="s">
        <v>45</v>
      </c>
      <c r="E12" t="str">
        <f t="shared" si="31"/>
        <v>5</v>
      </c>
      <c r="F12" t="str">
        <f t="shared" si="32"/>
        <v>Caspar_etal_2022</v>
      </c>
      <c r="G12" t="str">
        <f t="shared" si="33"/>
        <v>Caspar</v>
      </c>
      <c r="H12" t="str">
        <f t="shared" si="34"/>
        <v>etal</v>
      </c>
      <c r="I12" t="str">
        <f t="shared" si="35"/>
        <v>2022</v>
      </c>
      <c r="J12" t="str">
        <f t="shared" si="26"/>
        <v>10.7554/eLife.77875</v>
      </c>
      <c r="K12" t="str">
        <f t="shared" si="12"/>
        <v>Caspar_etal_2022_Table1</v>
      </c>
      <c r="L12" t="str">
        <f t="shared" si="13"/>
        <v>10.7554%2FeLife.77875_Table1</v>
      </c>
      <c r="M12" t="str">
        <f t="array" ref="M12">IFERROR(INDEX(FileList!$A$1:$A$100, MATCH(L12, _xlfn.TEXTBEFORE(FileList!$A$1:$A$100, ".tsv"), 0)), "notfound")</f>
        <v>10.7554%2FeLife.77875_Table1.tsv</v>
      </c>
      <c r="N12" s="1" t="s">
        <v>86</v>
      </c>
      <c r="P12" s="1" t="s">
        <v>55</v>
      </c>
      <c r="Q12" s="1" t="s">
        <v>74</v>
      </c>
      <c r="R12" s="1" t="s">
        <v>87</v>
      </c>
      <c r="S12" s="1" t="s">
        <v>88</v>
      </c>
      <c r="T12" s="1" t="s">
        <v>89</v>
      </c>
      <c r="U12" s="1" t="s">
        <v>90</v>
      </c>
      <c r="V12" s="1" t="s">
        <v>36</v>
      </c>
      <c r="W12" s="1" t="s">
        <v>91</v>
      </c>
      <c r="X12" s="1" t="s">
        <v>92</v>
      </c>
      <c r="Y12" s="1" t="s">
        <v>93</v>
      </c>
      <c r="Z12" s="1" t="s">
        <v>94</v>
      </c>
      <c r="AD12" s="1" t="s">
        <v>95</v>
      </c>
      <c r="AE12" s="1" t="s">
        <v>85</v>
      </c>
    </row>
    <row r="13" ht="15.95" customHeight="1">
      <c r="A13" s="1" t="s">
        <v>96</v>
      </c>
      <c r="D13" s="1" t="s">
        <v>97</v>
      </c>
      <c r="E13" t="str">
        <f t="shared" si="31"/>
        <v>5</v>
      </c>
      <c r="F13" t="str">
        <f t="shared" si="32"/>
        <v>Changizi__2001</v>
      </c>
      <c r="G13" t="str">
        <f t="shared" si="33"/>
        <v>Changizi</v>
      </c>
      <c r="H13" t="str">
        <f t="shared" si="34"/>
      </c>
      <c r="I13" t="str">
        <f t="shared" si="35"/>
        <v>2001</v>
      </c>
      <c r="J13" t="str">
        <f t="shared" si="26"/>
        <v>10.1007/s004220000205</v>
      </c>
      <c r="K13" t="str">
        <f t="shared" si="12"/>
        <v>Changizi__2001_Figure3</v>
      </c>
      <c r="L13" t="str">
        <f t="shared" si="13"/>
        <v>10.1007%2Fs004220000205_Figure3</v>
      </c>
      <c r="M13" t="str">
        <f t="array" ref="M13">IFERROR(INDEX(FileList!$A$1:$A$100, MATCH(L13, _xlfn.TEXTBEFORE(FileList!$A$1:$A$100, ".tsv"), 0)), "notfound")</f>
        <v>10.1007%2Fs004220000205_Figure3.tsv</v>
      </c>
      <c r="P13" s="1" t="s">
        <v>98</v>
      </c>
      <c r="Q13" s="1" t="s">
        <v>99</v>
      </c>
      <c r="R13" s="1" t="s">
        <v>100</v>
      </c>
      <c r="S13" s="1" t="s">
        <v>88</v>
      </c>
      <c r="T13" s="1" t="s">
        <v>101</v>
      </c>
      <c r="U13" s="1" t="s">
        <v>90</v>
      </c>
      <c r="V13" s="1" t="s">
        <v>102</v>
      </c>
      <c r="W13" s="1" t="s">
        <v>103</v>
      </c>
      <c r="Y13" s="1" t="s">
        <v>104</v>
      </c>
      <c r="Z13" s="1" t="s">
        <v>105</v>
      </c>
      <c r="AD13" s="1" t="s">
        <v>106</v>
      </c>
    </row>
    <row r="14" ht="15.95" customHeight="1">
      <c r="A14" s="1" t="s">
        <v>107</v>
      </c>
      <c r="D14" s="1" t="s">
        <v>108</v>
      </c>
      <c r="E14" t="str">
        <f t="shared" si="31"/>
        <v>3</v>
      </c>
      <c r="F14" t="str">
        <f t="shared" si="32"/>
        <v>Chen_Wiens_2020</v>
      </c>
      <c r="G14" t="str">
        <f t="shared" si="33"/>
        <v>Chen</v>
      </c>
      <c r="H14" t="str">
        <f t="shared" si="34"/>
        <v>Wiens</v>
      </c>
      <c r="I14" t="str">
        <f t="shared" si="35"/>
        <v>2020</v>
      </c>
      <c r="J14" t="str">
        <f t="shared" si="26"/>
        <v>10.1038/s41467-020-14356-3</v>
      </c>
      <c r="K14" t="str">
        <f t="shared" si="12"/>
        <v>Chen_Wiens_2020_SupplementaryData3</v>
      </c>
      <c r="L14" t="str">
        <f t="shared" si="13"/>
        <v>10.1038%2Fs41467-020-14356-3_SupplementaryData3</v>
      </c>
      <c r="M14" t="str">
        <f t="array" ref="M14">IFERROR(INDEX(FileList!$A$1:$A$100, MATCH(L14, _xlfn.TEXTBEFORE(FileList!$A$1:$A$100, ".tsv"), 0)), "notfound")</f>
        <v>10.1038%2Fs41467-020-14356-3_SupplementaryData3.tsv</v>
      </c>
      <c r="P14" s="1" t="s">
        <v>55</v>
      </c>
      <c r="Q14" s="1" t="s">
        <v>74</v>
      </c>
      <c r="R14" s="1" t="s">
        <v>109</v>
      </c>
      <c r="S14" s="1" t="s">
        <v>58</v>
      </c>
      <c r="T14" s="1" t="str">
        <f>IF(S14="N", R14, "write file name")</f>
        <v>41467_2020_14356_MOESM6_ESM.xlsx</v>
      </c>
      <c r="U14" s="1" t="s">
        <v>81</v>
      </c>
      <c r="V14" s="1" t="s">
        <v>36</v>
      </c>
      <c r="W14" s="1" t="s">
        <v>82</v>
      </c>
      <c r="X14" s="1" t="s">
        <v>110</v>
      </c>
      <c r="Y14" s="1" t="s">
        <v>111</v>
      </c>
      <c r="Z14" s="1" t="s">
        <v>62</v>
      </c>
      <c r="AC14" s="1" t="s">
        <v>112</v>
      </c>
      <c r="AD14" s="1" t="s">
        <v>113</v>
      </c>
      <c r="AE14" s="1" t="s">
        <v>114</v>
      </c>
    </row>
    <row r="15" ht="15.95" customHeight="1">
      <c r="A15" s="1" t="s">
        <v>115</v>
      </c>
      <c r="D15" s="1" t="s">
        <v>116</v>
      </c>
      <c r="E15" t="str">
        <f t="shared" si="31"/>
        <v>7</v>
      </c>
      <c r="F15" t="str">
        <f t="shared" si="32"/>
        <v>Collins_etal_2010</v>
      </c>
      <c r="G15" t="str">
        <f t="shared" si="33"/>
        <v>Collins</v>
      </c>
      <c r="H15" t="str">
        <f t="shared" si="34"/>
        <v>etal</v>
      </c>
      <c r="I15" t="str">
        <f t="shared" si="35"/>
        <v>2010</v>
      </c>
      <c r="J15" t="str">
        <f t="shared" si="26"/>
        <v>10.1073/pnas.1010356107</v>
      </c>
      <c r="K15" t="str">
        <f t="shared" si="12"/>
        <v>Collins_etal_2010_DatasetS1</v>
      </c>
      <c r="L15" t="str">
        <f t="shared" si="13"/>
        <v>10.1073%2Fpnas.1010356107_DatasetS1</v>
      </c>
      <c r="M15" t="str">
        <f t="array" ref="M15">IFERROR(INDEX(FileList!$A$1:$A$100, MATCH(L15, _xlfn.TEXTBEFORE(FileList!$A$1:$A$100, ".tsv"), 0)), "notfound")</f>
        <v>notfound</v>
      </c>
      <c r="Y15" s="1" t="s">
        <v>117</v>
      </c>
      <c r="Z15" s="1" t="s">
        <v>40</v>
      </c>
    </row>
    <row r="16" ht="15.95" customHeight="1">
      <c r="A16" s="1" t="s">
        <v>118</v>
      </c>
      <c r="D16" s="1" t="s">
        <v>119</v>
      </c>
      <c r="E16" t="str">
        <f t="shared" si="31"/>
        <v>0</v>
      </c>
      <c r="F16" t="str">
        <f t="shared" si="32"/>
        <v>DeCasien_Higham_2019</v>
      </c>
      <c r="G16" t="str">
        <f t="shared" si="33"/>
        <v>DeCasien</v>
      </c>
      <c r="H16" t="str">
        <f t="shared" si="34"/>
        <v>Higham</v>
      </c>
      <c r="I16" t="str">
        <f t="shared" si="35"/>
        <v>2019</v>
      </c>
      <c r="J16" t="str">
        <f t="shared" si="26"/>
        <v>10.1038/s41559-019-0969-0</v>
      </c>
      <c r="K16" t="str">
        <f t="shared" si="12"/>
        <v>DeCasien_Higham_2019_SupplementaryData1-BrainRegion</v>
      </c>
      <c r="L16" t="str">
        <f t="shared" si="13"/>
        <v>10.1038%2Fs41559-019-0969-0_SupplementaryData1-BrainRegion</v>
      </c>
      <c r="M16" t="str">
        <f t="array" ref="M16">IFERROR(INDEX(FileList!$A$1:$A$100, MATCH(L16, _xlfn.TEXTBEFORE(FileList!$A$1:$A$100, ".tsv"), 0)), "notfound")</f>
        <v>notfound</v>
      </c>
      <c r="N16" s="1" t="s">
        <v>120</v>
      </c>
      <c r="U16" s="1" t="s">
        <v>81</v>
      </c>
      <c r="V16" s="1" t="s">
        <v>121</v>
      </c>
      <c r="W16" s="1" t="s">
        <v>82</v>
      </c>
      <c r="X16" s="1" t="s">
        <v>122</v>
      </c>
      <c r="Y16" s="1" t="s">
        <v>123</v>
      </c>
      <c r="Z16" s="1" t="s">
        <v>62</v>
      </c>
      <c r="AD16" s="1" t="s">
        <v>124</v>
      </c>
      <c r="AE16" s="1" t="s">
        <v>85</v>
      </c>
    </row>
    <row r="17" ht="15.95" customHeight="1">
      <c r="A17" s="1" t="s">
        <v>118</v>
      </c>
      <c r="D17" s="1" t="s">
        <v>125</v>
      </c>
      <c r="E17" t="str">
        <f t="shared" ref="E17" si="36">RIGHT(A17,1)</f>
        <v>0</v>
      </c>
      <c r="F17" t="str">
        <f t="shared" ref="F17" si="37">G17 &amp; IF(H17&lt;&gt;"", "_" &amp; H17, "_") &amp; IF(I17&lt;&gt;"", "_" &amp; I17, "_") &amp; IF(B17&lt;&gt;"", "_" &amp; B17, "")</f>
        <v>DeCasien_Higham_2019</v>
      </c>
      <c r="G17" t="str">
        <f t="shared" ref="G17" si="38">SUBSTITUTE(SUBSTITUTE(_xlfn.TEXTBEFORE(A17,","), "-", ""), " ", "")</f>
        <v>DeCasien</v>
      </c>
      <c r="H17" t="str">
        <f t="shared" ref="H17" si="39">IF(ISNUMBER(FIND("&amp;", A17)),
    IF(LEN(A17)-LEN(SUBSTITUTE(A17, ",", ""))&gt;=6, "etal", MID(A17, SEARCH("&amp; ", A17)+2, SEARCH(",", A17, SEARCH("&amp; ", A17)+2) - SEARCH("&amp; ", A17)-2)),
    ""
)</f>
        <v>Higham</v>
      </c>
      <c r="I17" t="str">
        <f t="shared" ref="I17" si="40">_xlfn.TEXTBEFORE(_xlfn.TEXTAFTER(A17, "("), ")")</f>
        <v>2019</v>
      </c>
      <c r="J17" t="str">
        <f t="shared" si="26"/>
        <v>10.1038/s41559-019-0969-0</v>
      </c>
      <c r="K17" t="str">
        <f>TRIM(_xlfn.TEXTJOIN("_",FALSE,F17,(SUBSTITUTE(SUBSTITUTE(D18," ",""), "_", ""))))</f>
        <v>DeCasien_Higham_2019_SupplementaryData1-Diet</v>
      </c>
      <c r="L17" t="str">
        <f>IF(ISBLANK(C17),TRIM(SUBSTITUTE(SUBSTITUTE(SUBSTITUTE(_xlfn.TEXTJOIN("_", FALSE, J17, SUBSTITUTE(D18,"_", "")), "/", "%2F"), ":", "%3A"), " ", "")),TRIM(SUBSTITUTE(SUBSTITUTE(SUBSTITUTE(_xlfn.TEXTJOIN("_", FALSE, C17, SUBSTITUTE(D18,"_", "")), "/", "%2F"), ":", "%3A"), " ", "")))</f>
        <v>10.1038%2Fs41559-019-0969-0_SupplementaryData1-Diet</v>
      </c>
      <c r="M17" t="str">
        <f t="array" ref="M17">IFERROR(INDEX(FileList!$A$1:$A$100, MATCH(L17, _xlfn.TEXTBEFORE(FileList!$A$1:$A$100, ".tsv"), 0)), "notfound")</f>
        <v>notfound</v>
      </c>
      <c r="N17" s="1" t="s">
        <v>120</v>
      </c>
      <c r="U17" s="1" t="s">
        <v>81</v>
      </c>
      <c r="V17" s="1" t="s">
        <v>121</v>
      </c>
      <c r="W17" s="1" t="s">
        <v>82</v>
      </c>
      <c r="X17" s="1" t="s">
        <v>122</v>
      </c>
      <c r="Y17" s="1" t="s">
        <v>126</v>
      </c>
      <c r="Z17" s="1" t="s">
        <v>62</v>
      </c>
      <c r="AE17" s="1" t="s">
        <v>85</v>
      </c>
    </row>
    <row r="18" ht="15.95" customHeight="1">
      <c r="A18" s="1" t="s">
        <v>118</v>
      </c>
      <c r="D18" s="1" t="s">
        <v>127</v>
      </c>
      <c r="E18" t="str">
        <f t="shared" ref="E18" si="41">RIGHT(A18,1)</f>
        <v>0</v>
      </c>
      <c r="F18" t="str">
        <f t="shared" ref="F18" si="42">G18 &amp; IF(H18&lt;&gt;"", "_" &amp; H18, "_") &amp; IF(I18&lt;&gt;"", "_" &amp; I18, "_") &amp; IF(B18&lt;&gt;"", "_" &amp; B18, "")</f>
        <v>DeCasien_Higham_2019</v>
      </c>
      <c r="G18" t="str">
        <f t="shared" ref="G18" si="43">SUBSTITUTE(SUBSTITUTE(_xlfn.TEXTBEFORE(A18,","), "-", ""), " ", "")</f>
        <v>DeCasien</v>
      </c>
      <c r="H18" t="str">
        <f t="shared" ref="H18" si="44">IF(ISNUMBER(FIND("&amp;", A18)),
    IF(LEN(A18)-LEN(SUBSTITUTE(A18, ",", ""))&gt;=6, "etal", MID(A18, SEARCH("&amp; ", A18)+2, SEARCH(",", A18, SEARCH("&amp; ", A18)+2) - SEARCH("&amp; ", A18)-2)),
    ""
)</f>
        <v>Higham</v>
      </c>
      <c r="I18" t="str">
        <f t="shared" ref="I18" si="45">_xlfn.TEXTBEFORE(_xlfn.TEXTAFTER(A18, "("), ")")</f>
        <v>2019</v>
      </c>
      <c r="J18" t="str">
        <f t="shared" si="26"/>
        <v>10.1038/s41559-019-0969-0</v>
      </c>
      <c r="K18" t="str">
        <f>TRIM(_xlfn.TEXTJOIN("_",FALSE,F18,(SUBSTITUTE(SUBSTITUTE(D19," ",""), "_", ""))))</f>
        <v>DeCasien_Higham_2019_SupplementaryData1-SocialSystem</v>
      </c>
      <c r="L18" t="str">
        <f>IF(ISBLANK(C18),TRIM(SUBSTITUTE(SUBSTITUTE(SUBSTITUTE(_xlfn.TEXTJOIN("_", FALSE, J18, SUBSTITUTE(D19,"_", "")), "/", "%2F"), ":", "%3A"), " ", "")),TRIM(SUBSTITUTE(SUBSTITUTE(SUBSTITUTE(_xlfn.TEXTJOIN("_", FALSE, C18, SUBSTITUTE(D19,"_", "")), "/", "%2F"), ":", "%3A"), " ", "")))</f>
        <v>10.1038%2Fs41559-019-0969-0_SupplementaryData1-SocialSystem</v>
      </c>
      <c r="M18" t="str">
        <f t="array" ref="M18">IFERROR(INDEX(FileList!$A$1:$A$100, MATCH(L18, _xlfn.TEXTBEFORE(FileList!$A$1:$A$100, ".tsv"), 0)), "notfound")</f>
        <v>notfound</v>
      </c>
      <c r="N18" s="1" t="s">
        <v>120</v>
      </c>
      <c r="U18" s="1" t="s">
        <v>81</v>
      </c>
      <c r="V18" s="1" t="s">
        <v>121</v>
      </c>
      <c r="W18" s="1" t="s">
        <v>82</v>
      </c>
      <c r="X18" s="1" t="s">
        <v>122</v>
      </c>
      <c r="Y18" s="1" t="s">
        <v>128</v>
      </c>
      <c r="Z18" s="1" t="s">
        <v>62</v>
      </c>
      <c r="AE18" s="1" t="s">
        <v>85</v>
      </c>
    </row>
    <row r="19" ht="15.95" customHeight="1">
      <c r="A19" s="1" t="s">
        <v>118</v>
      </c>
      <c r="D19" s="1" t="s">
        <v>129</v>
      </c>
      <c r="E19" t="str">
        <f t="shared" ref="E19" si="46">RIGHT(A19,1)</f>
        <v>0</v>
      </c>
      <c r="F19" t="str">
        <f t="shared" ref="F19" si="47">G19 &amp; IF(H19&lt;&gt;"", "_" &amp; H19, "_") &amp; IF(I19&lt;&gt;"", "_" &amp; I19, "_") &amp; IF(B19&lt;&gt;"", "_" &amp; B19, "")</f>
        <v>DeCasien_Higham_2019</v>
      </c>
      <c r="G19" t="str">
        <f t="shared" ref="G19" si="48">SUBSTITUTE(SUBSTITUTE(_xlfn.TEXTBEFORE(A19,","), "-", ""), " ", "")</f>
        <v>DeCasien</v>
      </c>
      <c r="H19" t="str">
        <f t="shared" ref="H19" si="49">IF(ISNUMBER(FIND("&amp;", A19)),
    IF(LEN(A19)-LEN(SUBSTITUTE(A19, ",", ""))&gt;=6, "etal", MID(A19, SEARCH("&amp; ", A19)+2, SEARCH(",", A19, SEARCH("&amp; ", A19)+2) - SEARCH("&amp; ", A19)-2)),
    ""
)</f>
        <v>Higham</v>
      </c>
      <c r="I19" t="str">
        <f t="shared" ref="I19" si="50">_xlfn.TEXTBEFORE(_xlfn.TEXTAFTER(A19, "("), ")")</f>
        <v>2019</v>
      </c>
      <c r="J19" t="str">
        <f t="shared" si="26"/>
        <v>10.1038/s41559-019-0969-0</v>
      </c>
      <c r="K19" t="str">
        <f t="shared" ref="K19:K53" si="51">TRIM(_xlfn.TEXTJOIN("_",FALSE,F19,(SUBSTITUTE(SUBSTITUTE(D19," ",""), "_", ""))))</f>
        <v>DeCasien_Higham_2019_SupplementaryData1-SocialSystem</v>
      </c>
      <c r="L19" t="str">
        <f t="shared" ref="L19:L53" si="52">IF(ISBLANK(C19),TRIM(SUBSTITUTE(SUBSTITUTE(SUBSTITUTE(_xlfn.TEXTJOIN("_", FALSE, J19, SUBSTITUTE(D19,"_", "")), "/", "%2F"), ":", "%3A"), " ", "")),TRIM(SUBSTITUTE(SUBSTITUTE(SUBSTITUTE(_xlfn.TEXTJOIN("_", FALSE, C19, SUBSTITUTE(D19,"_", "")), "/", "%2F"), ":", "%3A"), " ", "")))</f>
        <v>10.1038%2Fs41559-019-0969-0_SupplementaryData1-SocialSystem</v>
      </c>
      <c r="M19" t="str">
        <f t="array" ref="M19">IFERROR(INDEX(FileList!$A$1:$A$100, MATCH(L19, _xlfn.TEXTBEFORE(FileList!$A$1:$A$100, ".tsv"), 0)), "notfound")</f>
        <v>notfound</v>
      </c>
      <c r="N19" s="1" t="s">
        <v>120</v>
      </c>
      <c r="U19" s="1" t="s">
        <v>81</v>
      </c>
      <c r="V19" s="1" t="s">
        <v>121</v>
      </c>
      <c r="W19" s="1" t="s">
        <v>82</v>
      </c>
      <c r="X19" s="1" t="s">
        <v>122</v>
      </c>
      <c r="Y19" s="1" t="s">
        <v>130</v>
      </c>
      <c r="Z19" s="1" t="s">
        <v>62</v>
      </c>
      <c r="AE19" s="1" t="s">
        <v>85</v>
      </c>
    </row>
    <row r="20" ht="15.95" customHeight="1">
      <c r="A20" s="1" t="s">
        <v>131</v>
      </c>
      <c r="D20" s="1" t="s">
        <v>132</v>
      </c>
      <c r="E20" t="str">
        <f t="shared" si="31"/>
        <v>6</v>
      </c>
      <c r="F20" t="str">
        <f t="shared" si="32"/>
        <v>DosSantos_etal_2017</v>
      </c>
      <c r="G20" t="str">
        <f t="shared" si="33"/>
        <v>DosSantos</v>
      </c>
      <c r="H20" t="str">
        <f t="shared" si="34"/>
        <v>etal</v>
      </c>
      <c r="I20" t="str">
        <f t="shared" si="35"/>
        <v>2017</v>
      </c>
      <c r="J20" t="str">
        <f t="shared" si="26"/>
        <v>10.1159/000452856</v>
      </c>
      <c r="K20" t="str">
        <f t="shared" si="51"/>
        <v>DosSantos_etal_2017_TableS1</v>
      </c>
      <c r="L20" t="str">
        <f t="shared" si="52"/>
        <v>10.1159%2F000452856_TableS1</v>
      </c>
      <c r="M20" t="str">
        <f t="array" ref="M20">IFERROR(INDEX(FileList!$A$1:$A$100, MATCH(L20, _xlfn.TEXTBEFORE(FileList!$A$1:$A$100, ".tsv"), 0)), "notfound")</f>
        <v>10.1159%2F000452856_TableS1.tsv</v>
      </c>
      <c r="O20" s="1" t="s">
        <v>133</v>
      </c>
      <c r="P20" s="1" t="s">
        <v>55</v>
      </c>
      <c r="Q20" s="1" t="s">
        <v>74</v>
      </c>
      <c r="R20" s="1" t="s">
        <v>134</v>
      </c>
      <c r="S20" s="1" t="s">
        <v>88</v>
      </c>
      <c r="T20" s="1" t="s">
        <v>135</v>
      </c>
      <c r="U20" s="1" t="s">
        <v>136</v>
      </c>
      <c r="V20" s="1" t="s">
        <v>137</v>
      </c>
      <c r="W20" s="1" t="s">
        <v>82</v>
      </c>
      <c r="X20" s="1" t="s">
        <v>138</v>
      </c>
      <c r="Y20" s="1" t="s">
        <v>139</v>
      </c>
      <c r="Z20" s="1" t="s">
        <v>40</v>
      </c>
      <c r="AA20" s="1" t="s">
        <v>140</v>
      </c>
      <c r="AB20" s="1" t="s">
        <v>140</v>
      </c>
      <c r="AE20" s="1" t="s">
        <v>141</v>
      </c>
      <c r="AF20" s="1" t="s">
        <v>142</v>
      </c>
    </row>
    <row r="21" ht="15.95" customHeight="1">
      <c r="A21" s="1" t="s">
        <v>143</v>
      </c>
      <c r="D21" s="1" t="s">
        <v>45</v>
      </c>
      <c r="E21" t="str">
        <f t="shared" si="31"/>
        <v>0</v>
      </c>
      <c r="F21" t="str">
        <f t="shared" si="32"/>
        <v>DosSantos_etal_2020</v>
      </c>
      <c r="G21" t="str">
        <f t="shared" si="33"/>
        <v>DosSantos</v>
      </c>
      <c r="H21" t="str">
        <f t="shared" si="34"/>
        <v>etal</v>
      </c>
      <c r="I21" t="str">
        <f t="shared" si="35"/>
        <v>2020</v>
      </c>
      <c r="J21" t="str">
        <f t="shared" si="26"/>
        <v>10.1523/JNEUROSCI.2339-19.2020</v>
      </c>
      <c r="K21" t="str">
        <f t="shared" si="51"/>
        <v>DosSantos_etal_2020_Table1</v>
      </c>
      <c r="L21" t="str">
        <f t="shared" si="52"/>
        <v>10.1523%2FJNEUROSCI.2339-19.2020_Table1</v>
      </c>
      <c r="M21" t="str">
        <f t="array" ref="M21">IFERROR(INDEX(FileList!$A$1:$A$100, MATCH(L21, _xlfn.TEXTBEFORE(FileList!$A$1:$A$100, ".tsv"), 0)), "notfound")</f>
        <v>10.1523%2FJNEUROSCI.2339-19.2020_Table1.tsv</v>
      </c>
      <c r="P21" s="1" t="s">
        <v>55</v>
      </c>
      <c r="Q21" s="1" t="s">
        <v>74</v>
      </c>
      <c r="R21" s="7" t="s">
        <v>144</v>
      </c>
      <c r="S21" s="1" t="s">
        <v>88</v>
      </c>
      <c r="T21" s="1" t="s">
        <v>145</v>
      </c>
      <c r="U21" s="1" t="s">
        <v>146</v>
      </c>
      <c r="V21" s="1" t="s">
        <v>36</v>
      </c>
      <c r="Y21" s="1" t="s">
        <v>139</v>
      </c>
      <c r="Z21" s="1" t="s">
        <v>147</v>
      </c>
      <c r="AA21" s="1" t="s">
        <v>140</v>
      </c>
      <c r="AB21" s="1" t="s">
        <v>140</v>
      </c>
      <c r="AE21" s="1" t="s">
        <v>148</v>
      </c>
    </row>
    <row r="22" ht="15.95" customHeight="1">
      <c r="A22" s="1" t="s">
        <v>143</v>
      </c>
      <c r="D22" s="1" t="s">
        <v>149</v>
      </c>
      <c r="E22" t="str">
        <f t="shared" ref="E22" si="53">RIGHT(A22,1)</f>
        <v>0</v>
      </c>
      <c r="F22" t="str">
        <f t="shared" ref="F22" si="54">G22 &amp; IF(H22&lt;&gt;"", "_" &amp; H22, "_") &amp; IF(I22&lt;&gt;"", "_" &amp; I22, "_") &amp; IF(B22&lt;&gt;"", "_" &amp; B22, "")</f>
        <v>DosSantos_etal_2020</v>
      </c>
      <c r="G22" t="str">
        <f t="shared" ref="G22" si="55">SUBSTITUTE(SUBSTITUTE(_xlfn.TEXTBEFORE(A22,","), "-", ""), " ", "")</f>
        <v>DosSantos</v>
      </c>
      <c r="H22" t="str">
        <f t="shared" ref="H22" si="56">IF(ISNUMBER(FIND("&amp;", A22)),
    IF(LEN(A22)-LEN(SUBSTITUTE(A22, ",", ""))&gt;=6, "etal", MID(A22, SEARCH("&amp; ", A22)+2, SEARCH(",", A22, SEARCH("&amp; ", A22)+2) - SEARCH("&amp; ", A22)-2)),
    ""
)</f>
        <v>etal</v>
      </c>
      <c r="I22" t="str">
        <f t="shared" ref="I22" si="57">_xlfn.TEXTBEFORE(_xlfn.TEXTAFTER(A22, "("), ")")</f>
        <v>2020</v>
      </c>
      <c r="J22" t="str">
        <f t="shared" si="26"/>
        <v>10.1523/JNEUROSCI.2339-19.2020</v>
      </c>
      <c r="K22" t="str">
        <f t="shared" si="51"/>
        <v>DosSantos_etal_2020_unpublished</v>
      </c>
      <c r="L22" t="str">
        <f t="shared" si="52"/>
        <v>10.1523%2FJNEUROSCI.2339-19.2020_unpublished</v>
      </c>
      <c r="M22" t="str">
        <f t="array" ref="M22">IFERROR(INDEX(FileList!$A$1:$A$100, MATCH(L22, _xlfn.TEXTBEFORE(FileList!$A$1:$A$100, ".tsv"), 0)), "notfound")</f>
        <v>10.1523%2FJNEUROSCI.2339-19.2020_unpublished.tsv</v>
      </c>
      <c r="P22" s="1" t="s">
        <v>55</v>
      </c>
      <c r="Q22" s="1" t="s">
        <v>74</v>
      </c>
      <c r="R22" s="7" t="s">
        <v>144</v>
      </c>
      <c r="S22" s="1" t="s">
        <v>88</v>
      </c>
      <c r="T22" s="1" t="s">
        <v>145</v>
      </c>
      <c r="U22" s="1" t="s">
        <v>146</v>
      </c>
      <c r="V22" s="1" t="s">
        <v>36</v>
      </c>
      <c r="Y22" s="1" t="s">
        <v>139</v>
      </c>
      <c r="Z22" s="1" t="s">
        <v>147</v>
      </c>
      <c r="AA22" s="1" t="s">
        <v>140</v>
      </c>
      <c r="AB22" s="1" t="s">
        <v>140</v>
      </c>
      <c r="AE22" s="1" t="s">
        <v>148</v>
      </c>
    </row>
    <row r="23" ht="15.95" customHeight="1">
      <c r="A23" s="6" t="s">
        <v>150</v>
      </c>
      <c r="D23" s="1" t="s">
        <v>38</v>
      </c>
      <c r="E23" t="str">
        <f t="shared" ref="E23" si="58">RIGHT(A23,1)</f>
        <v>3</v>
      </c>
      <c r="F23" t="str">
        <f t="shared" ref="F23" si="59">G23 &amp; IF(H23&lt;&gt;"", "_" &amp; H23, "_") &amp; IF(I23&lt;&gt;"", "_" &amp; I23, "_") &amp; IF(B23&lt;&gt;"", "_" &amp; B23, "")</f>
        <v>Eagleman_Vaughn_2021</v>
      </c>
      <c r="G23" t="str">
        <f t="shared" ref="G23" si="60">SUBSTITUTE(SUBSTITUTE(_xlfn.TEXTBEFORE(A23,","), "-", ""), " ", "")</f>
        <v>Eagleman</v>
      </c>
      <c r="H23" t="str">
        <f t="shared" ref="H23" si="61">IF(ISNUMBER(FIND("&amp;", A23)),
    IF(LEN(A23)-LEN(SUBSTITUTE(A23, ",", ""))&gt;=6, "etal", MID(A23, SEARCH("&amp; ", A23)+2, SEARCH(",", A23, SEARCH("&amp; ", A23)+2) - SEARCH("&amp; ", A23)-2)),
    ""
)</f>
        <v>Vaughn</v>
      </c>
      <c r="I23" t="str">
        <f t="shared" ref="I23" si="62">_xlfn.TEXTBEFORE(_xlfn.TEXTAFTER(A23, "("), ")")</f>
        <v>2021</v>
      </c>
      <c r="J23" t="str">
        <f t="shared" si="26"/>
        <v>10.3389/fnins.2021.632853</v>
      </c>
      <c r="K23" t="str">
        <f t="shared" si="51"/>
        <v>Eagleman_Vaughn_2021_TABLE1</v>
      </c>
      <c r="L23" t="str">
        <f t="shared" si="52"/>
        <v>10.3389%2Ffnins.2021.632853_TABLE1</v>
      </c>
      <c r="M23" t="str">
        <f t="array" ref="M23">IFERROR(INDEX(FileList!$A$1:$A$100, MATCH(L23, _xlfn.TEXTBEFORE(FileList!$A$1:$A$100, ".tsv"), 0)), "notfound")</f>
        <v>notfound</v>
      </c>
      <c r="N23" s="1" t="s">
        <v>151</v>
      </c>
      <c r="R23" s="7"/>
      <c r="U23" s="1" t="s">
        <v>90</v>
      </c>
      <c r="Y23" s="3" t="s">
        <v>152</v>
      </c>
      <c r="Z23" s="1" t="s">
        <v>62</v>
      </c>
    </row>
    <row r="24" ht="15.95" customHeight="1">
      <c r="A24" s="1" t="s">
        <v>153</v>
      </c>
      <c r="D24" s="1" t="s">
        <v>38</v>
      </c>
      <c r="E24" t="str">
        <f t="shared" si="31"/>
        <v>5</v>
      </c>
      <c r="F24" t="str">
        <f t="shared" si="32"/>
        <v>Falcone_etal_2019</v>
      </c>
      <c r="G24" t="str">
        <f t="shared" si="33"/>
        <v>Falcone</v>
      </c>
      <c r="H24" t="str">
        <f t="shared" si="34"/>
        <v>etal</v>
      </c>
      <c r="I24" t="str">
        <f t="shared" si="35"/>
        <v>2019</v>
      </c>
      <c r="J24" t="str">
        <f t="shared" si="26"/>
        <v>10.1002/cne.24605</v>
      </c>
      <c r="K24" t="str">
        <f t="shared" si="51"/>
        <v>Falcone_etal_2019_TABLE1</v>
      </c>
      <c r="L24" t="str">
        <f t="shared" si="52"/>
        <v>10.1002%2Fcne.24605_TABLE1</v>
      </c>
      <c r="M24" t="str">
        <f t="array" ref="M24">IFERROR(INDEX(FileList!$A$1:$A$100, MATCH(L24, _xlfn.TEXTBEFORE(FileList!$A$1:$A$100, ".tsv"), 0)), "notfound")</f>
        <v>10.1002%2Fcne.24605_TABLE1.tsv</v>
      </c>
      <c r="N24" s="1" t="s">
        <v>154</v>
      </c>
      <c r="R24" s="7"/>
      <c r="U24" s="1" t="s">
        <v>90</v>
      </c>
      <c r="Z24" s="1" t="s">
        <v>40</v>
      </c>
    </row>
    <row r="25" ht="15.95" customHeight="1">
      <c r="A25" s="1" t="s">
        <v>153</v>
      </c>
      <c r="D25" s="1" t="s">
        <v>155</v>
      </c>
      <c r="E25" t="str">
        <f t="shared" ref="E25" si="63">RIGHT(A25,1)</f>
        <v>5</v>
      </c>
      <c r="F25" t="str">
        <f t="shared" ref="F25" si="64">G25 &amp; IF(H25&lt;&gt;"", "_" &amp; H25, "_") &amp; IF(I25&lt;&gt;"", "_" &amp; I25, "_") &amp; IF(B25&lt;&gt;"", "_" &amp; B25, "")</f>
        <v>Falcone_etal_2019</v>
      </c>
      <c r="G25" t="str">
        <f t="shared" ref="G25" si="65">SUBSTITUTE(SUBSTITUTE(_xlfn.TEXTBEFORE(A25,","), "-", ""), " ", "")</f>
        <v>Falcone</v>
      </c>
      <c r="H25" t="str">
        <f t="shared" ref="H25" si="66">IF(ISNUMBER(FIND("&amp;", A25)),
    IF(LEN(A25)-LEN(SUBSTITUTE(A25, ",", ""))&gt;=6, "etal", MID(A25, SEARCH("&amp; ", A25)+2, SEARCH(",", A25, SEARCH("&amp; ", A25)+2) - SEARCH("&amp; ", A25)-2)),
    ""
)</f>
        <v>etal</v>
      </c>
      <c r="I25" t="str">
        <f t="shared" ref="I25" si="67">_xlfn.TEXTBEFORE(_xlfn.TEXTAFTER(A25, "("), ")")</f>
        <v>2019</v>
      </c>
      <c r="J25" t="str">
        <f t="shared" si="26"/>
        <v>10.1002/cne.24605</v>
      </c>
      <c r="K25" t="str">
        <f t="shared" si="51"/>
        <v>Falcone_etal_2019_TABLE2</v>
      </c>
      <c r="L25" t="str">
        <f t="shared" si="52"/>
        <v>10.1002%2Fcne.24605_TABLE2</v>
      </c>
      <c r="M25" t="str">
        <f t="array" ref="M25">IFERROR(INDEX(FileList!$A$1:$A$100, MATCH(L25, _xlfn.TEXTBEFORE(FileList!$A$1:$A$100, ".tsv"), 0)), "notfound")</f>
        <v>10.1002%2Fcne.24605_TABLE2.tsv</v>
      </c>
      <c r="N25" s="1" t="s">
        <v>156</v>
      </c>
      <c r="R25" s="7"/>
      <c r="U25" s="1" t="s">
        <v>90</v>
      </c>
      <c r="Z25" s="1" t="s">
        <v>40</v>
      </c>
    </row>
    <row r="26" ht="15.95" customHeight="1">
      <c r="A26" s="1" t="s">
        <v>157</v>
      </c>
      <c r="D26" s="1" t="s">
        <v>158</v>
      </c>
      <c r="E26" t="str">
        <f t="shared" si="31"/>
        <v>6</v>
      </c>
      <c r="F26" t="str">
        <f t="shared" si="32"/>
        <v>Finlay_etal_2006</v>
      </c>
      <c r="G26" t="str">
        <f t="shared" si="33"/>
        <v>Finlay</v>
      </c>
      <c r="H26" t="str">
        <f t="shared" si="34"/>
        <v>etal</v>
      </c>
      <c r="I26" t="str">
        <f t="shared" si="35"/>
        <v>2006</v>
      </c>
      <c r="J26" t="str">
        <f t="shared" si="26"/>
        <v>10.1093/oso/9780198568742.003.0006</v>
      </c>
      <c r="K26" t="str">
        <f t="shared" si="51"/>
        <v>Finlay_etal_2006_Table6.1</v>
      </c>
      <c r="L26" t="str">
        <f t="shared" si="52"/>
        <v>10.1093%2Foso%2F9780198568742.003.0006_Table6.1</v>
      </c>
      <c r="M26" t="str">
        <f t="array" ref="M26">IFERROR(INDEX(FileList!$A$1:$A$100, MATCH(L26, _xlfn.TEXTBEFORE(FileList!$A$1:$A$100, ".tsv"), 0)), "notfound")</f>
        <v>10.1093%2Foso%2F9780198568742.003.0006_Table6.1.tsv</v>
      </c>
      <c r="N26" s="8"/>
      <c r="P26" s="1" t="s">
        <v>98</v>
      </c>
      <c r="Q26" s="1" t="s">
        <v>99</v>
      </c>
      <c r="R26" s="1" t="s">
        <v>159</v>
      </c>
      <c r="S26" s="1" t="s">
        <v>88</v>
      </c>
      <c r="T26" s="1" t="s">
        <v>160</v>
      </c>
      <c r="U26" s="1" t="s">
        <v>90</v>
      </c>
      <c r="V26" s="1" t="s">
        <v>36</v>
      </c>
      <c r="W26" s="1" t="s">
        <v>91</v>
      </c>
      <c r="X26" s="1" t="s">
        <v>161</v>
      </c>
      <c r="Y26" s="1" t="s">
        <v>162</v>
      </c>
      <c r="Z26" s="1" t="s">
        <v>105</v>
      </c>
      <c r="AD26" s="1" t="s">
        <v>106</v>
      </c>
      <c r="AE26" s="1" t="s">
        <v>64</v>
      </c>
    </row>
    <row r="27" ht="15.95" customHeight="1">
      <c r="A27" s="1" t="s">
        <v>163</v>
      </c>
      <c r="D27" s="1" t="s">
        <v>45</v>
      </c>
      <c r="E27" t="str">
        <f t="shared" si="31"/>
        <v>x</v>
      </c>
      <c r="F27" t="str">
        <f t="shared" si="32"/>
        <v>Fu_etal_2013</v>
      </c>
      <c r="G27" t="str">
        <f t="shared" si="33"/>
        <v>Fu</v>
      </c>
      <c r="H27" t="str">
        <f t="shared" si="34"/>
        <v>etal</v>
      </c>
      <c r="I27" t="str">
        <f t="shared" si="35"/>
        <v>2013</v>
      </c>
      <c r="J27" t="str">
        <f t="shared" si="26"/>
        <v>10.1007/s00429-012-0462-x</v>
      </c>
      <c r="K27" t="str">
        <f t="shared" si="51"/>
        <v>Fu_etal_2013_Table1</v>
      </c>
      <c r="L27" t="str">
        <f t="shared" si="52"/>
        <v>10.1007%2Fs00429-012-0462-x_Table1</v>
      </c>
      <c r="M27" t="str">
        <f t="array" ref="M27">IFERROR(INDEX(FileList!$A$1:$A$100, MATCH(L27, _xlfn.TEXTBEFORE(FileList!$A$1:$A$100, ".tsv"), 0)), "notfound")</f>
        <v>notfound</v>
      </c>
      <c r="N27" s="1" t="s">
        <v>164</v>
      </c>
      <c r="P27" s="1" t="s">
        <v>165</v>
      </c>
      <c r="Z27" s="1" t="s">
        <v>166</v>
      </c>
      <c r="AC27" s="1" t="s">
        <v>71</v>
      </c>
    </row>
    <row r="28" ht="15" customHeight="1">
      <c r="A28" s="1" t="s">
        <v>167</v>
      </c>
      <c r="D28" s="1" t="s">
        <v>132</v>
      </c>
      <c r="E28" t="str">
        <f t="shared" si="31"/>
        <v>6</v>
      </c>
      <c r="F28" t="str">
        <f t="shared" si="32"/>
        <v>Garwicz_etal_2009</v>
      </c>
      <c r="G28" t="str">
        <f t="shared" si="33"/>
        <v>Garwicz</v>
      </c>
      <c r="H28" t="str">
        <f t="shared" si="34"/>
        <v>etal</v>
      </c>
      <c r="I28" t="str">
        <f t="shared" si="35"/>
        <v>2009</v>
      </c>
      <c r="J28" t="str">
        <f t="shared" si="26"/>
        <v>10.1073/pnas.0905777106</v>
      </c>
      <c r="K28" t="str">
        <f t="shared" si="51"/>
        <v>Garwicz_etal_2009_TableS1</v>
      </c>
      <c r="L28" t="str">
        <f t="shared" si="52"/>
        <v>10.1073%2Fpnas.0905777106_TableS1</v>
      </c>
      <c r="M28" t="str">
        <f t="array" ref="M28">IFERROR(INDEX(FileList!$A$1:$A$100, MATCH(L28, _xlfn.TEXTBEFORE(FileList!$A$1:$A$100, ".tsv"), 0)), "notfound")</f>
        <v>10.1073%2Fpnas.0905777106_TableS1.tsv</v>
      </c>
      <c r="N28" s="1" t="s">
        <v>168</v>
      </c>
      <c r="U28" s="1" t="s">
        <v>90</v>
      </c>
      <c r="W28" s="1" t="s">
        <v>82</v>
      </c>
      <c r="X28" s="1" t="s">
        <v>169</v>
      </c>
    </row>
    <row r="29" ht="15.95" customHeight="1">
      <c r="A29" s="1" t="s">
        <v>167</v>
      </c>
      <c r="D29" s="1" t="s">
        <v>170</v>
      </c>
      <c r="E29" t="str">
        <f t="shared" si="31"/>
        <v>6</v>
      </c>
      <c r="F29" t="str">
        <f t="shared" si="32"/>
        <v>Garwicz_etal_2009</v>
      </c>
      <c r="G29" t="str">
        <f t="shared" si="33"/>
        <v>Garwicz</v>
      </c>
      <c r="H29" t="str">
        <f t="shared" si="34"/>
        <v>etal</v>
      </c>
      <c r="I29" t="str">
        <f t="shared" si="35"/>
        <v>2009</v>
      </c>
      <c r="J29" t="str">
        <f t="shared" si="26"/>
        <v>10.1073/pnas.0905777106</v>
      </c>
      <c r="K29" t="str">
        <f t="shared" si="51"/>
        <v>Garwicz_etal_2009_TableS2</v>
      </c>
      <c r="L29" t="str">
        <f t="shared" si="52"/>
        <v>10.1073%2Fpnas.0905777106_TableS2</v>
      </c>
      <c r="M29" t="str">
        <f t="array" ref="M29">IFERROR(INDEX(FileList!$A$1:$A$100, MATCH(L29, _xlfn.TEXTBEFORE(FileList!$A$1:$A$100, ".tsv"), 0)), "notfound")</f>
        <v>notfound</v>
      </c>
      <c r="N29" s="1" t="s">
        <v>171</v>
      </c>
      <c r="U29" s="1" t="s">
        <v>90</v>
      </c>
      <c r="W29" s="1" t="s">
        <v>82</v>
      </c>
      <c r="X29" s="1" t="s">
        <v>169</v>
      </c>
    </row>
    <row r="30" ht="15.95" customHeight="1">
      <c r="A30" s="1" t="s">
        <v>172</v>
      </c>
      <c r="D30" s="1" t="s">
        <v>170</v>
      </c>
      <c r="E30" t="str">
        <f t="shared" si="31"/>
        <v>0</v>
      </c>
      <c r="F30" t="str">
        <f t="shared" si="32"/>
        <v>Genoud_etal_2018</v>
      </c>
      <c r="G30" t="str">
        <f t="shared" si="33"/>
        <v>Genoud</v>
      </c>
      <c r="H30" t="str">
        <f t="shared" si="34"/>
        <v>etal</v>
      </c>
      <c r="I30" t="str">
        <f t="shared" si="35"/>
        <v>2018</v>
      </c>
      <c r="J30" t="str">
        <f t="shared" si="26"/>
        <v>10.1111/brv.12350</v>
      </c>
      <c r="K30" t="str">
        <f t="shared" si="51"/>
        <v>Genoud_etal_2018_TableS2</v>
      </c>
      <c r="L30" t="str">
        <f t="shared" si="52"/>
        <v>10.1111%2Fbrv.12350_TableS2</v>
      </c>
      <c r="M30" t="str">
        <f t="array" ref="M30">IFERROR(INDEX(FileList!$A$1:$A$100, MATCH(L30, _xlfn.TEXTBEFORE(FileList!$A$1:$A$100, ".tsv"), 0)), "notfound")</f>
        <v>notfound</v>
      </c>
      <c r="N30" s="1" t="s">
        <v>173</v>
      </c>
      <c r="P30" s="1" t="s">
        <v>165</v>
      </c>
      <c r="AC30" s="1" t="s">
        <v>174</v>
      </c>
    </row>
    <row r="31" ht="15.95" customHeight="1">
      <c r="A31" s="1" t="s">
        <v>175</v>
      </c>
      <c r="D31" s="1" t="s">
        <v>132</v>
      </c>
      <c r="E31" t="str">
        <f t="shared" si="31"/>
        <v>8</v>
      </c>
      <c r="F31" t="str">
        <f t="shared" si="32"/>
        <v>Granatosky__2018</v>
      </c>
      <c r="G31" t="str">
        <f t="shared" si="33"/>
        <v>Granatosky</v>
      </c>
      <c r="H31" t="str">
        <f t="shared" si="34"/>
      </c>
      <c r="I31" t="str">
        <f t="shared" si="35"/>
        <v>2018</v>
      </c>
      <c r="J31" t="str">
        <f t="shared" si="26"/>
        <v>10.1111/jzo.12608</v>
      </c>
      <c r="K31" t="str">
        <f t="shared" si="51"/>
        <v>Granatosky__2018_TableS1</v>
      </c>
      <c r="L31" t="str">
        <f t="shared" si="52"/>
        <v>10.1111%2Fjzo.12608_TableS1</v>
      </c>
      <c r="M31" t="str">
        <f t="array" ref="M31">IFERROR(INDEX(FileList!$A$1:$A$100, MATCH(L31, _xlfn.TEXTBEFORE(FileList!$A$1:$A$100, ".tsv"), 0)), "notfound")</f>
        <v>notfound</v>
      </c>
      <c r="N31" s="1" t="s">
        <v>176</v>
      </c>
      <c r="P31" s="1" t="s">
        <v>165</v>
      </c>
    </row>
    <row r="32" ht="15.95" customHeight="1">
      <c r="A32" s="1" t="s">
        <v>177</v>
      </c>
      <c r="D32" s="1"/>
      <c r="E32" t="str">
        <f t="shared" ref="E32" si="68">RIGHT(A32,1)</f>
        <v>7</v>
      </c>
      <c r="F32" t="str">
        <f t="shared" ref="F32" si="69">G32 &amp; IF(H32&lt;&gt;"", "_" &amp; H32, "_") &amp; IF(I32&lt;&gt;"", "_" &amp; I32, "_") &amp; IF(B32&lt;&gt;"", "_" &amp; B32, "")</f>
        <v>Haarlem_etal_2026</v>
      </c>
      <c r="G32" t="str">
        <f t="shared" ref="G32" si="70">SUBSTITUTE(SUBSTITUTE(_xlfn.TEXTBEFORE(A32,","), "-", ""), " ", "")</f>
        <v>Haarlem</v>
      </c>
      <c r="H32" t="str">
        <f t="shared" ref="H32" si="71">IF(ISNUMBER(FIND("&amp;", A32)),
    IF(LEN(A32)-LEN(SUBSTITUTE(A32, ",", ""))&gt;=6, "etal", MID(A32, SEARCH("&amp; ", A32)+2, SEARCH(",", A32, SEARCH("&amp; ", A32)+2) - SEARCH("&amp; ", A32)-2)),
    ""
)</f>
        <v>etal</v>
      </c>
      <c r="I32" t="str">
        <f t="shared" ref="I32" si="72">_xlfn.TEXTBEFORE(_xlfn.TEXTAFTER(A32, "("), ")")</f>
        <v>2026</v>
      </c>
      <c r="J32" t="str">
        <f t="shared" ref="J32" si="73">IF(C32&lt;&gt;"", C32, IF(C32="", _xlfn.TEXTAFTER(A32,"https://doi.org/"), C32))</f>
        <v>10.1038/s41559-026-02994-7</v>
      </c>
      <c r="K32" t="str">
        <f t="shared" ref="K32" si="74">TRIM(_xlfn.TEXTJOIN("_",FALSE,F32,(SUBSTITUTE(SUBSTITUTE(D32," ",""), "_", ""))))</f>
        <v>Haarlem_etal_2026_</v>
      </c>
      <c r="L32" t="str">
        <f t="shared" ref="L32" si="75">IF(ISBLANK(C32),TRIM(SUBSTITUTE(SUBSTITUTE(SUBSTITUTE(_xlfn.TEXTJOIN("_", FALSE, J32, SUBSTITUTE(D32,"_", "")), "/", "%2F"), ":", "%3A"), " ", "")),TRIM(SUBSTITUTE(SUBSTITUTE(SUBSTITUTE(_xlfn.TEXTJOIN("_", FALSE, C32, SUBSTITUTE(D32,"_", "")), "/", "%2F"), ":", "%3A"), " ", "")))</f>
        <v>10.1038%2Fs41559-026-02994-7_</v>
      </c>
      <c r="M32" t="str">
        <f t="array" ref="M32">IFERROR(INDEX(FileList!$A$1:$A$100, MATCH(L32, _xlfn.TEXTBEFORE(FileList!$A$1:$A$100, ".tsv"), 0)), "notfound")</f>
        <v>notfound</v>
      </c>
      <c r="N32" s="2"/>
      <c r="P32" s="1"/>
    </row>
    <row r="33" ht="15.95" customHeight="1">
      <c r="A33" s="1" t="s">
        <v>178</v>
      </c>
      <c r="D33" s="1" t="s">
        <v>179</v>
      </c>
      <c r="E33" t="str">
        <f t="shared" si="31"/>
        <v>1</v>
      </c>
      <c r="F33" t="str">
        <f t="shared" si="32"/>
        <v>Heffner_Masterton_1975</v>
      </c>
      <c r="G33" t="str">
        <f t="shared" si="33"/>
        <v>Heffner</v>
      </c>
      <c r="H33" t="str">
        <f t="shared" si="34"/>
        <v>Masterton</v>
      </c>
      <c r="I33" t="str">
        <f t="shared" si="35"/>
        <v>1975</v>
      </c>
      <c r="J33" t="str">
        <f t="shared" si="26"/>
        <v>10.1159/000124401</v>
      </c>
      <c r="K33" t="str">
        <f t="shared" si="51"/>
        <v>Heffner_Masterton_1975_TableI</v>
      </c>
      <c r="L33" t="str">
        <f t="shared" si="52"/>
        <v>10.1159%2F000124401_TableI</v>
      </c>
      <c r="M33" t="str">
        <f t="array" ref="M33">IFERROR(INDEX(FileList!$A$1:$A$100, MATCH(L33, _xlfn.TEXTBEFORE(FileList!$A$1:$A$100, ".tsv"), 0)), "notfound")</f>
        <v>10.1159%2F000124401_TableI.tsv</v>
      </c>
      <c r="P33" s="1" t="s">
        <v>55</v>
      </c>
      <c r="Q33" s="1" t="s">
        <v>74</v>
      </c>
      <c r="R33" s="1" t="s">
        <v>180</v>
      </c>
      <c r="S33" s="1" t="s">
        <v>88</v>
      </c>
      <c r="T33" s="1" t="s">
        <v>181</v>
      </c>
      <c r="U33" s="1" t="s">
        <v>90</v>
      </c>
      <c r="V33" s="1" t="s">
        <v>36</v>
      </c>
      <c r="W33" s="1" t="s">
        <v>103</v>
      </c>
      <c r="Y33" s="1" t="s">
        <v>182</v>
      </c>
      <c r="Z33" s="1" t="s">
        <v>183</v>
      </c>
      <c r="AC33" s="1" t="s">
        <v>184</v>
      </c>
      <c r="AE33" s="1" t="s">
        <v>64</v>
      </c>
    </row>
    <row r="34" ht="15.95" customHeight="1">
      <c r="A34" s="1" t="s">
        <v>185</v>
      </c>
      <c r="D34" s="1" t="s">
        <v>179</v>
      </c>
      <c r="E34" t="str">
        <f t="shared" si="31"/>
        <v>4</v>
      </c>
      <c r="F34" t="str">
        <f t="shared" si="32"/>
        <v>Heffner_Masterton_1983</v>
      </c>
      <c r="G34" t="str">
        <f t="shared" si="33"/>
        <v>Heffner</v>
      </c>
      <c r="H34" t="str">
        <f t="shared" si="34"/>
        <v>Masterton</v>
      </c>
      <c r="I34" t="str">
        <f t="shared" si="35"/>
        <v>1983</v>
      </c>
      <c r="J34" t="str">
        <f t="shared" si="26"/>
        <v>10.1159/000121494</v>
      </c>
      <c r="K34" t="str">
        <f t="shared" si="51"/>
        <v>Heffner_Masterton_1983_TableI</v>
      </c>
      <c r="L34" t="str">
        <f t="shared" si="52"/>
        <v>10.1159%2F000121494_TableI</v>
      </c>
      <c r="M34" t="str">
        <f t="array" ref="M34">IFERROR(INDEX(FileList!$A$1:$A$100, MATCH(L34, _xlfn.TEXTBEFORE(FileList!$A$1:$A$100, ".tsv"), 0)), "notfound")</f>
        <v>notfound</v>
      </c>
      <c r="P34" s="1" t="s">
        <v>165</v>
      </c>
      <c r="Q34" s="1" t="s">
        <v>99</v>
      </c>
      <c r="R34" s="7"/>
      <c r="T34" s="1" t="str">
        <f>IF(S34="N", R34, "write file name")</f>
        <v>write file name</v>
      </c>
      <c r="U34" s="1" t="s">
        <v>90</v>
      </c>
      <c r="V34" s="1" t="s">
        <v>36</v>
      </c>
      <c r="W34" s="1" t="s">
        <v>103</v>
      </c>
      <c r="Y34" s="1" t="s">
        <v>182</v>
      </c>
      <c r="AE34" s="1" t="s">
        <v>64</v>
      </c>
      <c r="AG34" s="1" t="s">
        <v>186</v>
      </c>
    </row>
    <row r="35" ht="15.95" customHeight="1">
      <c r="A35" s="1" t="s">
        <v>187</v>
      </c>
      <c r="C35" s="4" t="s">
        <v>188</v>
      </c>
      <c r="D35" s="1" t="s">
        <v>38</v>
      </c>
      <c r="E35" t="str">
        <f t="shared" ref="E35" si="76">RIGHT(A35,1)</f>
        <v>8</v>
      </c>
      <c r="F35" t="str">
        <f t="shared" ref="F35" si="77">G35 &amp; IF(H35&lt;&gt;"", "_" &amp; H35, "_") &amp; IF(I35&lt;&gt;"", "_" &amp; I35, "_") &amp; IF(B35&lt;&gt;"", "_" &amp; B35, "")</f>
        <v>Heiss_etal_2004</v>
      </c>
      <c r="G35" t="str">
        <f t="shared" ref="G35" si="78">SUBSTITUTE(SUBSTITUTE(_xlfn.TEXTBEFORE(A35,","), "-", ""), " ", "")</f>
        <v>Heiss</v>
      </c>
      <c r="H35" t="str">
        <f t="shared" ref="H35" si="79">IF(ISNUMBER(FIND("&amp;", A35)),
    IF(LEN(A35)-LEN(SUBSTITUTE(A35, ",", ""))&gt;=6, "etal", MID(A35, SEARCH("&amp; ", A35)+2, SEARCH(",", A35, SEARCH("&amp; ", A35)+2) - SEARCH("&amp; ", A35)-2)),
    ""
)</f>
        <v>etal</v>
      </c>
      <c r="I35" t="str">
        <f t="shared" ref="I35" si="80">_xlfn.TEXTBEFORE(_xlfn.TEXTAFTER(A35, "("), ")")</f>
        <v>2004</v>
      </c>
      <c r="J35" t="str">
        <f t="shared" si="26"/>
        <v>WOS:000225086000011</v>
      </c>
      <c r="K35" t="str">
        <f t="shared" ref="K35" si="81">TRIM(_xlfn.TEXTJOIN("_",FALSE,F35,(SUBSTITUTE(SUBSTITUTE(D35," ",""), "_", ""))))</f>
        <v>Heiss_etal_2004_TABLE1</v>
      </c>
      <c r="L35" t="str">
        <f t="shared" ref="L35" si="82">IF(ISBLANK(C35),TRIM(SUBSTITUTE(SUBSTITUTE(SUBSTITUTE(_xlfn.TEXTJOIN("_", FALSE, J35, SUBSTITUTE(D35,"_", "")), "/", "%2F"), ":", "%3A"), " ", "")),TRIM(SUBSTITUTE(SUBSTITUTE(SUBSTITUTE(_xlfn.TEXTJOIN("_", FALSE, C35, SUBSTITUTE(D35,"_", "")), "/", "%2F"), ":", "%3A"), " ", "")))</f>
        <v>WOS%3A000225086000011_TABLE1</v>
      </c>
      <c r="M35" t="str">
        <f t="array" ref="M35">IFERROR(INDEX(FileList!$A$1:$A$100, MATCH(L35, _xlfn.TEXTBEFORE(FileList!$A$1:$A$100, ".tsv"), 0)), "notfound")</f>
        <v>notfound</v>
      </c>
      <c r="N35" s="2" t="s">
        <v>189</v>
      </c>
      <c r="P35" s="1"/>
      <c r="Q35" s="1"/>
      <c r="R35" s="7"/>
      <c r="T35" s="1"/>
      <c r="U35" s="1"/>
      <c r="V35" s="1"/>
      <c r="W35" s="2"/>
      <c r="Y35" s="1" t="s">
        <v>190</v>
      </c>
      <c r="AE35" s="1"/>
      <c r="AG35" s="2"/>
    </row>
    <row r="36" ht="15.95" customHeight="1">
      <c r="A36" s="1" t="s">
        <v>191</v>
      </c>
      <c r="D36" s="1" t="s">
        <v>132</v>
      </c>
      <c r="E36" t="str">
        <f t="shared" si="31"/>
        <v>8</v>
      </c>
      <c r="F36" t="str">
        <f t="shared" si="32"/>
        <v>Heldstab_etal_2016</v>
      </c>
      <c r="G36" t="str">
        <f t="shared" si="33"/>
        <v>Heldstab</v>
      </c>
      <c r="H36" t="str">
        <f t="shared" si="34"/>
        <v>etal</v>
      </c>
      <c r="I36" t="str">
        <f t="shared" si="35"/>
        <v>2016</v>
      </c>
      <c r="J36" t="str">
        <f t="shared" si="26"/>
        <v>10.1038/srep24528</v>
      </c>
      <c r="K36" t="str">
        <f t="shared" si="51"/>
        <v>Heldstab_etal_2016_TableS1</v>
      </c>
      <c r="L36" t="str">
        <f t="shared" si="52"/>
        <v>10.1038%2Fsrep24528_TableS1</v>
      </c>
      <c r="M36" t="str">
        <f t="array" ref="M36">IFERROR(INDEX(FileList!$A$1:$A$100, MATCH(L36, _xlfn.TEXTBEFORE(FileList!$A$1:$A$100, ".tsv"), 0)), "notfound")</f>
        <v>notfound</v>
      </c>
      <c r="P36" s="1" t="s">
        <v>165</v>
      </c>
      <c r="Q36" s="1" t="s">
        <v>99</v>
      </c>
      <c r="R36" s="7"/>
      <c r="T36" s="1" t="str">
        <f>IF(S36="N", R36, "write file name")</f>
        <v>write file name</v>
      </c>
      <c r="U36" s="1" t="s">
        <v>90</v>
      </c>
      <c r="V36" s="1" t="s">
        <v>36</v>
      </c>
      <c r="Y36" s="1" t="s">
        <v>192</v>
      </c>
      <c r="AE36" s="1" t="s">
        <v>85</v>
      </c>
    </row>
    <row r="37" ht="15.95" customHeight="1">
      <c r="A37" s="1" t="s">
        <v>193</v>
      </c>
      <c r="D37" s="1" t="s">
        <v>45</v>
      </c>
      <c r="E37" t="str">
        <f t="shared" si="31"/>
        <v>3</v>
      </c>
      <c r="F37" t="str">
        <f t="shared" si="32"/>
        <v>HerculanoHouzel__2015</v>
      </c>
      <c r="G37" t="str">
        <f t="shared" si="33"/>
        <v>HerculanoHouzel</v>
      </c>
      <c r="H37" t="str">
        <f t="shared" si="34"/>
      </c>
      <c r="I37" t="str">
        <f t="shared" si="35"/>
        <v>2015</v>
      </c>
      <c r="J37" t="str">
        <f t="shared" ref="J37" si="83">IF(C37&lt;&gt;"", C37, IF(C37="", _xlfn.TEXTAFTER(A37,"https://doi.org/"), C37))</f>
        <v>10.1098/rspb.2015.1853</v>
      </c>
      <c r="K37" t="str">
        <f t="shared" ref="K37" si="84">TRIM(_xlfn.TEXTJOIN("_",FALSE,F37,(SUBSTITUTE(SUBSTITUTE(D37," ",""), "_", ""))))</f>
        <v>HerculanoHouzel__2015_Table1</v>
      </c>
      <c r="L37" t="str">
        <f t="shared" ref="L37" si="85">IF(ISBLANK(C37),TRIM(SUBSTITUTE(SUBSTITUTE(SUBSTITUTE(_xlfn.TEXTJOIN("_", FALSE, J37, SUBSTITUTE(D37,"_", "")), "/", "%2F"), ":", "%3A"), " ", "")),TRIM(SUBSTITUTE(SUBSTITUTE(SUBSTITUTE(_xlfn.TEXTJOIN("_", FALSE, C37, SUBSTITUTE(D37,"_", "")), "/", "%2F"), ":", "%3A"), " ", "")))</f>
        <v>10.1098%2Frspb.2015.1853_Table1</v>
      </c>
      <c r="M37" t="str">
        <f t="array" ref="M37">IFERROR(INDEX(FileList!$A$1:$A$100, MATCH(L37, _xlfn.TEXTBEFORE(FileList!$A$1:$A$100, ".tsv"), 0)), "notfound")</f>
        <v>10.1098%2Frspb.2015.1853_Table1.tsv</v>
      </c>
      <c r="N37" s="1"/>
      <c r="R37" s="7"/>
      <c r="U37" s="2" t="s">
        <v>90</v>
      </c>
      <c r="V37" s="2" t="s">
        <v>36</v>
      </c>
      <c r="Y37" s="2"/>
      <c r="Z37" s="2"/>
    </row>
    <row r="38" ht="15.95" customHeight="1">
      <c r="A38" s="1" t="s">
        <v>193</v>
      </c>
      <c r="D38" s="1" t="s">
        <v>194</v>
      </c>
      <c r="E38" t="str">
        <f t="shared" ref="E38" si="86">RIGHT(A38,1)</f>
        <v>3</v>
      </c>
      <c r="F38" t="str">
        <f t="shared" ref="F38" si="87">G38 &amp; IF(H38&lt;&gt;"", "_" &amp; H38, "_") &amp; IF(I38&lt;&gt;"", "_" &amp; I38, "_") &amp; IF(B38&lt;&gt;"", "_" &amp; B38, "")</f>
        <v>HerculanoHouzel__2015</v>
      </c>
      <c r="G38" t="str">
        <f t="shared" ref="G38" si="88">SUBSTITUTE(SUBSTITUTE(_xlfn.TEXTBEFORE(A38,","), "-", ""), " ", "")</f>
        <v>HerculanoHouzel</v>
      </c>
      <c r="H38" t="str">
        <f t="shared" ref="H38" si="89">IF(ISNUMBER(FIND("&amp;", A38)),
    IF(LEN(A38)-LEN(SUBSTITUTE(A38, ",", ""))&gt;=6, "etal", MID(A38, SEARCH("&amp; ", A38)+2, SEARCH(",", A38, SEARCH("&amp; ", A38)+2) - SEARCH("&amp; ", A38)-2)),
    ""
)</f>
      </c>
      <c r="I38" t="str">
        <f t="shared" ref="I38" si="90">_xlfn.TEXTBEFORE(_xlfn.TEXTAFTER(A38, "("), ")")</f>
        <v>2015</v>
      </c>
      <c r="J38" t="str">
        <f t="shared" si="26"/>
        <v>10.1098/rspb.2015.1853</v>
      </c>
      <c r="K38" t="str">
        <f t="shared" si="51"/>
        <v>HerculanoHouzel__2015_Table2</v>
      </c>
      <c r="L38" t="str">
        <f t="shared" si="52"/>
        <v>10.1098%2Frspb.2015.1853_Table2</v>
      </c>
      <c r="M38" t="str">
        <f t="array" ref="M38">IFERROR(INDEX(FileList!$A$1:$A$100, MATCH(L38, _xlfn.TEXTBEFORE(FileList!$A$1:$A$100, ".tsv"), 0)), "notfound")</f>
        <v>notfound</v>
      </c>
      <c r="N38" s="1" t="s">
        <v>195</v>
      </c>
      <c r="R38" s="7"/>
      <c r="U38" s="2" t="s">
        <v>90</v>
      </c>
      <c r="V38" s="2" t="s">
        <v>36</v>
      </c>
      <c r="Y38" s="2" t="s">
        <v>196</v>
      </c>
      <c r="Z38" s="2" t="s">
        <v>62</v>
      </c>
    </row>
    <row r="39" ht="15.95" customHeight="1">
      <c r="A39" s="1" t="s">
        <v>197</v>
      </c>
      <c r="D39" s="1" t="s">
        <v>198</v>
      </c>
      <c r="E39" t="str">
        <f t="shared" si="31"/>
        <v>5</v>
      </c>
      <c r="F39" t="str">
        <f t="shared" si="32"/>
        <v>HerculanoHouzel_etal_2013</v>
      </c>
      <c r="G39" t="str">
        <f t="shared" si="33"/>
        <v>HerculanoHouzel</v>
      </c>
      <c r="H39" t="str">
        <f t="shared" si="34"/>
        <v>etal</v>
      </c>
      <c r="I39" t="str">
        <f t="shared" si="35"/>
        <v>2013</v>
      </c>
      <c r="J39" t="str">
        <f t="shared" si="26"/>
        <v>10.3389/fnana.2013.00035</v>
      </c>
      <c r="K39" t="str">
        <f t="shared" si="51"/>
        <v>HerculanoHouzel_etal_2013_Figure2TopLeft</v>
      </c>
      <c r="L39" t="str">
        <f t="shared" si="52"/>
        <v>10.3389%2Ffnana.2013.00035_Figure2TopLeft</v>
      </c>
      <c r="M39" t="str">
        <f t="array" ref="M39">IFERROR(INDEX(FileList!$A$1:$A$100, MATCH(L39, _xlfn.TEXTBEFORE(FileList!$A$1:$A$100, ".tsv"), 0)), "notfound")</f>
        <v>10.3389%2Ffnana.2013.00035_Figure2TopLeft.tsv</v>
      </c>
      <c r="Q39" s="1" t="s">
        <v>56</v>
      </c>
    </row>
    <row r="40" ht="18.95" customHeight="1">
      <c r="A40" s="1" t="s">
        <v>197</v>
      </c>
      <c r="D40" s="1" t="s">
        <v>199</v>
      </c>
      <c r="E40" t="str">
        <f t="shared" si="31"/>
        <v>5</v>
      </c>
      <c r="F40" t="str">
        <f t="shared" si="32"/>
        <v>HerculanoHouzel_etal_2013</v>
      </c>
      <c r="G40" t="str">
        <f t="shared" si="33"/>
        <v>HerculanoHouzel</v>
      </c>
      <c r="H40" t="str">
        <f t="shared" si="34"/>
        <v>etal</v>
      </c>
      <c r="I40" t="str">
        <f t="shared" si="35"/>
        <v>2013</v>
      </c>
      <c r="J40" t="str">
        <f t="shared" si="26"/>
        <v>10.3389/fnana.2013.00035</v>
      </c>
      <c r="K40" t="str">
        <f t="shared" si="51"/>
        <v>HerculanoHouzel_etal_2013_Table1-a</v>
      </c>
      <c r="L40" t="str">
        <f t="shared" si="52"/>
        <v>10.3389%2Ffnana.2013.00035_Table1-a</v>
      </c>
      <c r="M40" t="str">
        <f t="array" ref="M40">IFERROR(INDEX(FileList!$A$1:$A$100, MATCH(L40, _xlfn.TEXTBEFORE(FileList!$A$1:$A$100, ".tsv"), 0)), "notfound")</f>
        <v>10.3389%2Ffnana.2013.00035_Table1-a.tsv</v>
      </c>
      <c r="Q40" s="1" t="s">
        <v>56</v>
      </c>
    </row>
    <row r="41" ht="17.100000000000001" customHeight="1">
      <c r="A41" s="1" t="s">
        <v>197</v>
      </c>
      <c r="D41" s="1" t="s">
        <v>200</v>
      </c>
      <c r="E41" t="str">
        <f t="shared" si="31"/>
        <v>5</v>
      </c>
      <c r="F41" t="str">
        <f t="shared" si="32"/>
        <v>HerculanoHouzel_etal_2013</v>
      </c>
      <c r="G41" t="str">
        <f t="shared" si="33"/>
        <v>HerculanoHouzel</v>
      </c>
      <c r="H41" t="str">
        <f t="shared" si="34"/>
        <v>etal</v>
      </c>
      <c r="I41" t="str">
        <f t="shared" si="35"/>
        <v>2013</v>
      </c>
      <c r="J41" t="str">
        <f t="shared" si="26"/>
        <v>10.3389/fnana.2013.00035</v>
      </c>
      <c r="K41" t="str">
        <f t="shared" si="51"/>
        <v>HerculanoHouzel_etal_2013_Table1-b</v>
      </c>
      <c r="L41" t="str">
        <f t="shared" si="52"/>
        <v>10.3389%2Ffnana.2013.00035_Table1-b</v>
      </c>
      <c r="M41" t="str">
        <f t="array" ref="M41">IFERROR(INDEX(FileList!$A$1:$A$100, MATCH(L41, _xlfn.TEXTBEFORE(FileList!$A$1:$A$100, ".tsv"), 0)), "notfound")</f>
        <v>10.3389%2Ffnana.2013.00035_Table1-b.tsv</v>
      </c>
      <c r="Q41" s="1" t="s">
        <v>56</v>
      </c>
    </row>
    <row r="42" ht="17.100000000000001" customHeight="1">
      <c r="A42" s="1" t="s">
        <v>201</v>
      </c>
      <c r="D42" s="1" t="s">
        <v>45</v>
      </c>
      <c r="E42" t="str">
        <f t="shared" si="31"/>
        <v>3</v>
      </c>
      <c r="F42" t="str">
        <f t="shared" si="32"/>
        <v>HerculanoHouzel_etal_2015</v>
      </c>
      <c r="G42" t="str">
        <f t="shared" si="33"/>
        <v>HerculanoHouzel</v>
      </c>
      <c r="H42" t="str">
        <f t="shared" si="34"/>
        <v>etal</v>
      </c>
      <c r="I42" t="str">
        <f t="shared" si="35"/>
        <v>2015</v>
      </c>
      <c r="J42" t="str">
        <f t="shared" si="26"/>
        <v>10.1159/000437413</v>
      </c>
      <c r="K42" t="str">
        <f t="shared" si="51"/>
        <v>HerculanoHouzel_etal_2015_Table1</v>
      </c>
      <c r="L42" t="str">
        <f t="shared" si="52"/>
        <v>10.1159%2F000437413_Table1</v>
      </c>
      <c r="M42" t="str">
        <f t="array" ref="M42">IFERROR(INDEX(FileList!$A$1:$A$100, MATCH(L42, _xlfn.TEXTBEFORE(FileList!$A$1:$A$100, ".tsv"), 0)), "notfound")</f>
        <v>10.1159%2F000437413_Table1.tsv</v>
      </c>
      <c r="N42" s="1" t="s">
        <v>202</v>
      </c>
      <c r="P42" s="1" t="s">
        <v>55</v>
      </c>
      <c r="Q42" s="1" t="s">
        <v>74</v>
      </c>
      <c r="R42" s="7" t="s">
        <v>203</v>
      </c>
      <c r="S42" s="1" t="s">
        <v>88</v>
      </c>
      <c r="T42" s="1" t="s">
        <v>204</v>
      </c>
      <c r="U42" s="1" t="s">
        <v>90</v>
      </c>
      <c r="V42" s="1" t="s">
        <v>36</v>
      </c>
      <c r="W42" s="1" t="s">
        <v>91</v>
      </c>
      <c r="X42" s="1" t="s">
        <v>205</v>
      </c>
      <c r="Y42" s="1" t="s">
        <v>139</v>
      </c>
      <c r="AA42" s="1" t="s">
        <v>140</v>
      </c>
      <c r="AB42" s="1" t="s">
        <v>140</v>
      </c>
      <c r="AE42" s="1" t="s">
        <v>206</v>
      </c>
    </row>
    <row r="43" ht="17.100000000000001" customHeight="1">
      <c r="A43" s="1" t="s">
        <v>201</v>
      </c>
      <c r="D43" s="1" t="s">
        <v>194</v>
      </c>
      <c r="E43" t="str">
        <f t="shared" si="31"/>
        <v>3</v>
      </c>
      <c r="F43" t="str">
        <f t="shared" si="32"/>
        <v>HerculanoHouzel_etal_2015</v>
      </c>
      <c r="G43" t="str">
        <f t="shared" si="33"/>
        <v>HerculanoHouzel</v>
      </c>
      <c r="H43" t="str">
        <f t="shared" si="34"/>
        <v>etal</v>
      </c>
      <c r="I43" t="str">
        <f t="shared" si="35"/>
        <v>2015</v>
      </c>
      <c r="J43" t="str">
        <f t="shared" si="26"/>
        <v>10.1159/000437413</v>
      </c>
      <c r="K43" t="str">
        <f t="shared" si="51"/>
        <v>HerculanoHouzel_etal_2015_Table2</v>
      </c>
      <c r="L43" t="str">
        <f t="shared" si="52"/>
        <v>10.1159%2F000437413_Table2</v>
      </c>
      <c r="M43" t="str">
        <f t="array" ref="M43">IFERROR(INDEX(FileList!$A$1:$A$100, MATCH(L43, _xlfn.TEXTBEFORE(FileList!$A$1:$A$100, ".tsv"), 0)), "notfound")</f>
        <v>10.1159%2F000437413_Table2.tsv</v>
      </c>
      <c r="N43" s="1" t="s">
        <v>207</v>
      </c>
      <c r="P43" s="1" t="s">
        <v>55</v>
      </c>
      <c r="Q43" s="1" t="s">
        <v>74</v>
      </c>
      <c r="R43" s="7" t="s">
        <v>208</v>
      </c>
      <c r="S43" s="1" t="s">
        <v>88</v>
      </c>
      <c r="T43" s="1" t="s">
        <v>209</v>
      </c>
      <c r="U43" s="1" t="s">
        <v>90</v>
      </c>
      <c r="V43" s="1" t="s">
        <v>36</v>
      </c>
      <c r="W43" s="1" t="s">
        <v>91</v>
      </c>
      <c r="X43" s="1" t="s">
        <v>205</v>
      </c>
      <c r="Y43" s="1" t="s">
        <v>139</v>
      </c>
      <c r="AA43" s="1" t="s">
        <v>140</v>
      </c>
      <c r="AB43" s="1" t="s">
        <v>140</v>
      </c>
      <c r="AE43" s="1" t="s">
        <v>206</v>
      </c>
    </row>
    <row r="44" ht="17.100000000000001" customHeight="1">
      <c r="A44" s="1" t="s">
        <v>201</v>
      </c>
      <c r="D44" s="1" t="s">
        <v>210</v>
      </c>
      <c r="E44" t="str">
        <f t="shared" si="31"/>
        <v>3</v>
      </c>
      <c r="F44" t="str">
        <f t="shared" si="32"/>
        <v>HerculanoHouzel_etal_2015</v>
      </c>
      <c r="G44" t="str">
        <f t="shared" si="33"/>
        <v>HerculanoHouzel</v>
      </c>
      <c r="H44" t="str">
        <f t="shared" si="34"/>
        <v>etal</v>
      </c>
      <c r="I44" t="str">
        <f t="shared" si="35"/>
        <v>2015</v>
      </c>
      <c r="J44" t="str">
        <f t="shared" si="26"/>
        <v>10.1159/000437413</v>
      </c>
      <c r="K44" t="str">
        <f t="shared" si="51"/>
        <v>HerculanoHouzel_etal_2015_Table3</v>
      </c>
      <c r="L44" t="str">
        <f t="shared" si="52"/>
        <v>10.1159%2F000437413_Table3</v>
      </c>
      <c r="M44" t="str">
        <f t="array" ref="M44">IFERROR(INDEX(FileList!$A$1:$A$100, MATCH(L44, _xlfn.TEXTBEFORE(FileList!$A$1:$A$100, ".tsv"), 0)), "notfound")</f>
        <v>10.1159%2F000437413_Table3.tsv</v>
      </c>
      <c r="N44" s="1" t="s">
        <v>211</v>
      </c>
      <c r="P44" s="1" t="s">
        <v>55</v>
      </c>
      <c r="Q44" s="1" t="s">
        <v>74</v>
      </c>
      <c r="R44" s="7" t="s">
        <v>212</v>
      </c>
      <c r="S44" s="1" t="s">
        <v>88</v>
      </c>
      <c r="T44" s="1" t="s">
        <v>213</v>
      </c>
      <c r="U44" s="1" t="s">
        <v>90</v>
      </c>
      <c r="V44" s="1" t="s">
        <v>36</v>
      </c>
      <c r="W44" s="1" t="s">
        <v>91</v>
      </c>
      <c r="X44" s="1" t="s">
        <v>205</v>
      </c>
      <c r="Y44" s="1" t="s">
        <v>139</v>
      </c>
      <c r="AA44" s="1" t="s">
        <v>140</v>
      </c>
      <c r="AB44" s="1" t="s">
        <v>140</v>
      </c>
      <c r="AE44" s="1" t="s">
        <v>206</v>
      </c>
    </row>
    <row r="45" ht="15.95" customHeight="1">
      <c r="A45" s="1" t="s">
        <v>201</v>
      </c>
      <c r="D45" s="1" t="s">
        <v>35</v>
      </c>
      <c r="E45" t="str">
        <f t="shared" si="31"/>
        <v>3</v>
      </c>
      <c r="F45" t="str">
        <f t="shared" si="32"/>
        <v>HerculanoHouzel_etal_2015</v>
      </c>
      <c r="G45" t="str">
        <f t="shared" si="33"/>
        <v>HerculanoHouzel</v>
      </c>
      <c r="H45" t="str">
        <f t="shared" si="34"/>
        <v>etal</v>
      </c>
      <c r="I45" t="str">
        <f t="shared" si="35"/>
        <v>2015</v>
      </c>
      <c r="J45" t="str">
        <f t="shared" si="26"/>
        <v>10.1159/000437413</v>
      </c>
      <c r="K45" t="str">
        <f t="shared" si="51"/>
        <v>HerculanoHouzel_etal_2015_Table4</v>
      </c>
      <c r="L45" t="str">
        <f t="shared" si="52"/>
        <v>10.1159%2F000437413_Table4</v>
      </c>
      <c r="M45" t="str">
        <f t="array" ref="M45">IFERROR(INDEX(FileList!$A$1:$A$100, MATCH(L45, _xlfn.TEXTBEFORE(FileList!$A$1:$A$100, ".tsv"), 0)), "notfound")</f>
        <v>10.1159%2F000437413_Table4.tsv</v>
      </c>
      <c r="N45" s="1" t="s">
        <v>214</v>
      </c>
      <c r="P45" s="1" t="s">
        <v>55</v>
      </c>
      <c r="Q45" s="1" t="s">
        <v>74</v>
      </c>
      <c r="R45" s="7" t="s">
        <v>215</v>
      </c>
      <c r="S45" s="1" t="s">
        <v>88</v>
      </c>
      <c r="T45" s="1" t="s">
        <v>216</v>
      </c>
      <c r="U45" s="1" t="s">
        <v>90</v>
      </c>
      <c r="V45" s="1" t="s">
        <v>36</v>
      </c>
      <c r="W45" s="1" t="s">
        <v>91</v>
      </c>
      <c r="X45" s="1" t="s">
        <v>205</v>
      </c>
      <c r="Y45" s="1" t="s">
        <v>139</v>
      </c>
      <c r="AA45" s="1" t="s">
        <v>140</v>
      </c>
      <c r="AB45" s="1" t="s">
        <v>140</v>
      </c>
      <c r="AE45" s="1" t="s">
        <v>206</v>
      </c>
    </row>
    <row r="46" ht="15.95" customHeight="1">
      <c r="A46" s="1" t="s">
        <v>201</v>
      </c>
      <c r="D46" s="1" t="s">
        <v>217</v>
      </c>
      <c r="E46" t="str">
        <f t="shared" si="31"/>
        <v>3</v>
      </c>
      <c r="F46" t="str">
        <f t="shared" si="32"/>
        <v>HerculanoHouzel_etal_2015</v>
      </c>
      <c r="G46" t="str">
        <f t="shared" si="33"/>
        <v>HerculanoHouzel</v>
      </c>
      <c r="H46" t="str">
        <f t="shared" si="34"/>
        <v>etal</v>
      </c>
      <c r="I46" t="str">
        <f t="shared" si="35"/>
        <v>2015</v>
      </c>
      <c r="J46" t="str">
        <f t="shared" si="26"/>
        <v>10.1159/000437413</v>
      </c>
      <c r="K46" t="str">
        <f t="shared" si="51"/>
        <v>HerculanoHouzel_etal_2015_Table5</v>
      </c>
      <c r="L46" t="str">
        <f t="shared" si="52"/>
        <v>10.1159%2F000437413_Table5</v>
      </c>
      <c r="M46" t="str">
        <f t="array" ref="M46">IFERROR(INDEX(FileList!$A$1:$A$100, MATCH(L46, _xlfn.TEXTBEFORE(FileList!$A$1:$A$100, ".tsv"), 0)), "notfound")</f>
        <v>10.1159%2F000437413_Table5.tsv</v>
      </c>
      <c r="N46" s="1" t="s">
        <v>218</v>
      </c>
      <c r="P46" s="1" t="s">
        <v>55</v>
      </c>
      <c r="Q46" s="1" t="s">
        <v>74</v>
      </c>
      <c r="R46" s="7" t="s">
        <v>219</v>
      </c>
      <c r="S46" s="1" t="s">
        <v>88</v>
      </c>
      <c r="T46" s="1" t="s">
        <v>220</v>
      </c>
      <c r="U46" s="1" t="s">
        <v>90</v>
      </c>
      <c r="V46" s="1" t="s">
        <v>36</v>
      </c>
      <c r="W46" s="1" t="s">
        <v>91</v>
      </c>
      <c r="X46" s="1" t="s">
        <v>205</v>
      </c>
      <c r="Y46" s="1" t="s">
        <v>139</v>
      </c>
      <c r="AA46" s="1" t="s">
        <v>140</v>
      </c>
      <c r="AB46" s="1" t="s">
        <v>140</v>
      </c>
      <c r="AE46" s="1" t="s">
        <v>206</v>
      </c>
    </row>
    <row r="47" ht="15.95" customHeight="1">
      <c r="A47" s="1" t="s">
        <v>221</v>
      </c>
      <c r="D47" s="1" t="s">
        <v>38</v>
      </c>
      <c r="E47" t="str">
        <f t="shared" si="31"/>
        <v>5</v>
      </c>
      <c r="F47" t="str">
        <f t="shared" si="32"/>
        <v>HerculanoHouzel_etal_2020</v>
      </c>
      <c r="G47" t="str">
        <f t="shared" si="33"/>
        <v>HerculanoHouzel</v>
      </c>
      <c r="H47" t="str">
        <f t="shared" si="34"/>
        <v>etal</v>
      </c>
      <c r="I47" t="str">
        <f t="shared" si="35"/>
        <v>2020</v>
      </c>
      <c r="J47" t="str">
        <f t="shared" si="26"/>
        <v>10.1002/cne.24985</v>
      </c>
      <c r="K47" t="str">
        <f t="shared" si="51"/>
        <v>HerculanoHouzel_etal_2020_TABLE1</v>
      </c>
      <c r="L47" t="str">
        <f t="shared" si="52"/>
        <v>10.1002%2Fcne.24985_TABLE1</v>
      </c>
      <c r="M47" t="str">
        <f t="array" ref="M47">IFERROR(INDEX(FileList!$A$1:$A$100, MATCH(L47, _xlfn.TEXTBEFORE(FileList!$A$1:$A$100, ".tsv"), 0)), "notfound")</f>
        <v>10.1002%2Fcne.24985_TABLE1.tsv</v>
      </c>
      <c r="N47" s="1" t="s">
        <v>222</v>
      </c>
      <c r="P47" s="1" t="s">
        <v>55</v>
      </c>
      <c r="Q47" s="1" t="s">
        <v>74</v>
      </c>
      <c r="R47" s="7" t="s">
        <v>223</v>
      </c>
      <c r="S47" s="1" t="s">
        <v>88</v>
      </c>
      <c r="T47" s="1" t="s">
        <v>224</v>
      </c>
      <c r="U47" s="1" t="s">
        <v>90</v>
      </c>
      <c r="V47" s="1" t="s">
        <v>36</v>
      </c>
      <c r="W47" s="1" t="s">
        <v>103</v>
      </c>
      <c r="Y47" s="1" t="s">
        <v>225</v>
      </c>
      <c r="AA47" s="1" t="s">
        <v>140</v>
      </c>
      <c r="AB47" s="1" t="s">
        <v>140</v>
      </c>
      <c r="AE47" s="1" t="s">
        <v>226</v>
      </c>
    </row>
    <row r="48" ht="15.95" customHeight="1">
      <c r="A48" s="1" t="s">
        <v>221</v>
      </c>
      <c r="D48" s="1" t="s">
        <v>155</v>
      </c>
      <c r="E48" t="str">
        <f t="shared" si="31"/>
        <v>5</v>
      </c>
      <c r="F48" t="str">
        <f t="shared" si="32"/>
        <v>HerculanoHouzel_etal_2020</v>
      </c>
      <c r="G48" t="str">
        <f t="shared" si="33"/>
        <v>HerculanoHouzel</v>
      </c>
      <c r="H48" t="str">
        <f t="shared" si="34"/>
        <v>etal</v>
      </c>
      <c r="I48" t="str">
        <f t="shared" si="35"/>
        <v>2020</v>
      </c>
      <c r="J48" t="str">
        <f t="shared" si="26"/>
        <v>10.1002/cne.24985</v>
      </c>
      <c r="K48" t="str">
        <f t="shared" si="51"/>
        <v>HerculanoHouzel_etal_2020_TABLE2</v>
      </c>
      <c r="L48" t="str">
        <f t="shared" si="52"/>
        <v>10.1002%2Fcne.24985_TABLE2</v>
      </c>
      <c r="M48" t="str">
        <f t="array" ref="M48">IFERROR(INDEX(FileList!$A$1:$A$100, MATCH(L48, _xlfn.TEXTBEFORE(FileList!$A$1:$A$100, ".tsv"), 0)), "notfound")</f>
        <v>10.1002%2Fcne.24985_TABLE2.tsv</v>
      </c>
      <c r="N48" s="1" t="s">
        <v>227</v>
      </c>
      <c r="P48" s="1" t="s">
        <v>55</v>
      </c>
      <c r="Q48" s="1" t="s">
        <v>74</v>
      </c>
      <c r="R48" s="7" t="s">
        <v>228</v>
      </c>
      <c r="S48" s="1" t="s">
        <v>88</v>
      </c>
      <c r="T48" s="1" t="s">
        <v>229</v>
      </c>
      <c r="U48" s="1" t="s">
        <v>90</v>
      </c>
      <c r="V48" s="1" t="s">
        <v>36</v>
      </c>
      <c r="W48" s="1" t="s">
        <v>103</v>
      </c>
      <c r="Y48" s="1" t="s">
        <v>230</v>
      </c>
      <c r="AA48" s="1" t="s">
        <v>140</v>
      </c>
      <c r="AB48" s="1" t="s">
        <v>140</v>
      </c>
      <c r="AE48" s="1" t="s">
        <v>226</v>
      </c>
    </row>
    <row r="49" ht="15.95" customHeight="1">
      <c r="A49" s="1" t="s">
        <v>231</v>
      </c>
      <c r="D49" s="1" t="s">
        <v>194</v>
      </c>
      <c r="E49" t="str">
        <f t="shared" si="31"/>
        <v>4</v>
      </c>
      <c r="F49" t="str">
        <f t="shared" si="32"/>
        <v>Isler_etal_2008</v>
      </c>
      <c r="G49" t="str">
        <f t="shared" si="33"/>
        <v>Isler</v>
      </c>
      <c r="H49" t="str">
        <f t="shared" si="34"/>
        <v>etal</v>
      </c>
      <c r="I49" t="str">
        <f t="shared" si="35"/>
        <v>2008</v>
      </c>
      <c r="J49" t="str">
        <f t="shared" si="26"/>
        <v>10.1016/j.jhevol.2008.08.004</v>
      </c>
      <c r="K49" t="str">
        <f t="shared" si="51"/>
        <v>Isler_etal_2008_Table2</v>
      </c>
      <c r="L49" t="str">
        <f t="shared" si="52"/>
        <v>10.1016%2Fj.jhevol.2008.08.004_Table2</v>
      </c>
      <c r="M49" t="str">
        <f t="array" ref="M49">IFERROR(INDEX(FileList!$A$1:$A$100, MATCH(L49, _xlfn.TEXTBEFORE(FileList!$A$1:$A$100, ".tsv"), 0)), "notfound")</f>
        <v>10.1016%2Fj.jhevol.2008.08.004_Table2.tsv</v>
      </c>
      <c r="Q49" s="1" t="s">
        <v>56</v>
      </c>
    </row>
    <row r="50" ht="15.95" customHeight="1">
      <c r="A50" s="1" t="s">
        <v>231</v>
      </c>
      <c r="D50" s="1" t="s">
        <v>232</v>
      </c>
      <c r="E50" t="str">
        <f t="shared" si="31"/>
        <v>4</v>
      </c>
      <c r="F50" t="str">
        <f t="shared" si="32"/>
        <v>Isler_etal_2008</v>
      </c>
      <c r="G50" t="str">
        <f t="shared" si="33"/>
        <v>Isler</v>
      </c>
      <c r="H50" t="str">
        <f t="shared" si="34"/>
        <v>etal</v>
      </c>
      <c r="I50" t="str">
        <f t="shared" si="35"/>
        <v>2008</v>
      </c>
      <c r="J50" t="str">
        <f t="shared" si="26"/>
        <v>10.1016/j.jhevol.2008.08.004</v>
      </c>
      <c r="K50" t="str">
        <f t="shared" si="51"/>
        <v>Isler_etal_2008_Table7</v>
      </c>
      <c r="L50" t="str">
        <f t="shared" si="52"/>
        <v>10.1016%2Fj.jhevol.2008.08.004_Table7</v>
      </c>
      <c r="M50" t="str">
        <f t="array" ref="M50">IFERROR(INDEX(FileList!$A$1:$A$100, MATCH(L50, _xlfn.TEXTBEFORE(FileList!$A$1:$A$100, ".tsv"), 0)), "notfound")</f>
        <v>10.1016%2Fj.jhevol.2008.08.004_Table7.tsv</v>
      </c>
      <c r="Q50" s="1" t="s">
        <v>56</v>
      </c>
    </row>
    <row r="51" ht="15.95" customHeight="1">
      <c r="A51" s="1" t="s">
        <v>231</v>
      </c>
      <c r="D51" s="1" t="s">
        <v>132</v>
      </c>
      <c r="E51" t="str">
        <f t="shared" ref="E51:E83" si="91">RIGHT(A51,1)</f>
        <v>4</v>
      </c>
      <c r="F51" t="str">
        <f t="shared" ref="F51:F83" si="92">G51 &amp; IF(H51&lt;&gt;"", "_" &amp; H51, "_") &amp; IF(I51&lt;&gt;"", "_" &amp; I51, "_") &amp; IF(B51&lt;&gt;"", "_" &amp; B51, "")</f>
        <v>Isler_etal_2008</v>
      </c>
      <c r="G51" t="str">
        <f t="shared" ref="G51:G83" si="93">SUBSTITUTE(SUBSTITUTE(_xlfn.TEXTBEFORE(A51,","), "-", ""), " ", "")</f>
        <v>Isler</v>
      </c>
      <c r="H51" t="str">
        <f t="shared" ref="H51:H83" si="94">IF(ISNUMBER(FIND("&amp;", A51)),
    IF(LEN(A51)-LEN(SUBSTITUTE(A51, ",", ""))&gt;=6, "etal", MID(A51, SEARCH("&amp; ", A51)+2, SEARCH(",", A51, SEARCH("&amp; ", A51)+2) - SEARCH("&amp; ", A51)-2)),
    ""
)</f>
        <v>etal</v>
      </c>
      <c r="I51" t="str">
        <f t="shared" ref="I51:I83" si="95">_xlfn.TEXTBEFORE(_xlfn.TEXTAFTER(A51, "("), ")")</f>
        <v>2008</v>
      </c>
      <c r="J51" t="str">
        <f t="shared" si="26"/>
        <v>10.1016/j.jhevol.2008.08.004</v>
      </c>
      <c r="K51" t="str">
        <f t="shared" si="51"/>
        <v>Isler_etal_2008_TableS1</v>
      </c>
      <c r="L51" t="str">
        <f t="shared" si="52"/>
        <v>10.1016%2Fj.jhevol.2008.08.004_TableS1</v>
      </c>
      <c r="M51" t="str">
        <f t="array" ref="M51">IFERROR(INDEX(FileList!$A$1:$A$100, MATCH(L51, _xlfn.TEXTBEFORE(FileList!$A$1:$A$100, ".tsv"), 0)), "notfound")</f>
        <v>10.1016%2Fj.jhevol.2008.08.004_TableS1.tsv</v>
      </c>
      <c r="Q51" s="1" t="s">
        <v>56</v>
      </c>
    </row>
    <row r="52" ht="15.95" customHeight="1">
      <c r="A52" s="1" t="s">
        <v>231</v>
      </c>
      <c r="D52" s="1" t="s">
        <v>170</v>
      </c>
      <c r="E52" t="str">
        <f t="shared" si="91"/>
        <v>4</v>
      </c>
      <c r="F52" t="str">
        <f t="shared" si="92"/>
        <v>Isler_etal_2008</v>
      </c>
      <c r="G52" t="str">
        <f t="shared" si="93"/>
        <v>Isler</v>
      </c>
      <c r="H52" t="str">
        <f t="shared" si="94"/>
        <v>etal</v>
      </c>
      <c r="I52" t="str">
        <f t="shared" si="95"/>
        <v>2008</v>
      </c>
      <c r="J52" t="str">
        <f t="shared" si="26"/>
        <v>10.1016/j.jhevol.2008.08.004</v>
      </c>
      <c r="K52" t="str">
        <f t="shared" si="51"/>
        <v>Isler_etal_2008_TableS2</v>
      </c>
      <c r="L52" t="str">
        <f t="shared" si="52"/>
        <v>10.1016%2Fj.jhevol.2008.08.004_TableS2</v>
      </c>
      <c r="M52" t="str">
        <f t="array" ref="M52">IFERROR(INDEX(FileList!$A$1:$A$100, MATCH(L52, _xlfn.TEXTBEFORE(FileList!$A$1:$A$100, ".tsv"), 0)), "notfound")</f>
        <v>10.1016%2Fj.jhevol.2008.08.004_TableS2.tsv</v>
      </c>
      <c r="Q52" s="1" t="s">
        <v>56</v>
      </c>
    </row>
    <row r="53" ht="15.95" customHeight="1">
      <c r="A53" s="1" t="s">
        <v>231</v>
      </c>
      <c r="D53" s="1" t="s">
        <v>233</v>
      </c>
      <c r="E53" t="str">
        <f t="shared" si="91"/>
        <v>4</v>
      </c>
      <c r="F53" t="str">
        <f t="shared" si="92"/>
        <v>Isler_etal_2008</v>
      </c>
      <c r="G53" t="str">
        <f t="shared" si="93"/>
        <v>Isler</v>
      </c>
      <c r="H53" t="str">
        <f t="shared" si="94"/>
        <v>etal</v>
      </c>
      <c r="I53" t="str">
        <f t="shared" si="95"/>
        <v>2008</v>
      </c>
      <c r="J53" t="str">
        <f t="shared" si="26"/>
        <v>10.1016/j.jhevol.2008.08.004</v>
      </c>
      <c r="K53" t="str">
        <f t="shared" si="51"/>
        <v>Isler_etal_2008_TableS3</v>
      </c>
      <c r="L53" t="str">
        <f t="shared" si="52"/>
        <v>10.1016%2Fj.jhevol.2008.08.004_TableS3</v>
      </c>
      <c r="M53" t="str">
        <f t="array" ref="M53">IFERROR(INDEX(FileList!$A$1:$A$100, MATCH(L53, _xlfn.TEXTBEFORE(FileList!$A$1:$A$100, ".tsv"), 0)), "notfound")</f>
        <v>10.1016%2Fj.jhevol.2008.08.004_TableS3.tsv</v>
      </c>
      <c r="Q53" s="1" t="s">
        <v>56</v>
      </c>
    </row>
    <row r="54" ht="15.95" customHeight="1">
      <c r="A54" s="1" t="s">
        <v>231</v>
      </c>
      <c r="D54" s="1" t="s">
        <v>234</v>
      </c>
      <c r="E54" t="str">
        <f t="shared" si="91"/>
        <v>4</v>
      </c>
      <c r="F54" t="str">
        <f t="shared" si="92"/>
        <v>Isler_etal_2008</v>
      </c>
      <c r="G54" t="str">
        <f t="shared" si="93"/>
        <v>Isler</v>
      </c>
      <c r="H54" t="str">
        <f t="shared" si="94"/>
        <v>etal</v>
      </c>
      <c r="I54" t="str">
        <f t="shared" si="95"/>
        <v>2008</v>
      </c>
      <c r="J54" t="str">
        <f t="shared" si="26"/>
        <v>10.1016/j.jhevol.2008.08.004</v>
      </c>
      <c r="K54" t="str">
        <f t="shared" ref="K54:K83" si="96">TRIM(_xlfn.TEXTJOIN("_",FALSE,F54,(SUBSTITUTE(SUBSTITUTE(D54," ",""), "_", ""))))</f>
        <v>Isler_etal_2008_Tree.nex</v>
      </c>
      <c r="L54" t="str">
        <f t="shared" ref="L54:L83" si="97">IF(ISBLANK(C54),TRIM(SUBSTITUTE(SUBSTITUTE(SUBSTITUTE(_xlfn.TEXTJOIN("_", FALSE, J54, SUBSTITUTE(D54,"_", "")), "/", "%2F"), ":", "%3A"), " ", "")),TRIM(SUBSTITUTE(SUBSTITUTE(SUBSTITUTE(_xlfn.TEXTJOIN("_", FALSE, C54, SUBSTITUTE(D54,"_", "")), "/", "%2F"), ":", "%3A"), " ", "")))</f>
        <v>10.1016%2Fj.jhevol.2008.08.004_Tree.nex</v>
      </c>
      <c r="M54" t="str">
        <f t="array" ref="M54">IFERROR(INDEX(FileList!$A$1:$A$100, MATCH(L54, _xlfn.TEXTBEFORE(FileList!$A$1:$A$100, ".tsv"), 0)), "notfound")</f>
        <v>notfound</v>
      </c>
      <c r="Q54" s="1" t="s">
        <v>56</v>
      </c>
    </row>
    <row r="55" ht="15.95" customHeight="1">
      <c r="A55" s="1" t="s">
        <v>235</v>
      </c>
      <c r="D55" s="1" t="s">
        <v>236</v>
      </c>
      <c r="E55" t="str">
        <f t="shared" si="91"/>
        <v>x</v>
      </c>
      <c r="F55" t="str">
        <f t="shared" si="92"/>
        <v>Iwaniuk_etal_1999</v>
      </c>
      <c r="G55" t="str">
        <f t="shared" si="93"/>
        <v>Iwaniuk</v>
      </c>
      <c r="H55" t="str">
        <f t="shared" si="94"/>
        <v>etal</v>
      </c>
      <c r="I55" t="str">
        <f t="shared" si="95"/>
        <v>1999</v>
      </c>
      <c r="J55" t="str">
        <f t="shared" si="26"/>
        <v>10.1016/s0166-4328(98)00151-x</v>
      </c>
      <c r="K55" t="str">
        <f t="shared" si="96"/>
        <v>Iwaniuk_etal_1999_References</v>
      </c>
      <c r="L55" t="str">
        <f t="shared" si="97"/>
        <v>10.1016%2Fs0166-4328(98)00151-x_References</v>
      </c>
      <c r="M55" t="str">
        <f t="array" ref="M55">IFERROR(INDEX(FileList!$A$1:$A$100, MATCH(L55, _xlfn.TEXTBEFORE(FileList!$A$1:$A$100, ".tsv"), 0)), "notfound")</f>
        <v>notfound</v>
      </c>
      <c r="N55" s="1" t="s">
        <v>236</v>
      </c>
      <c r="P55" s="1" t="s">
        <v>165</v>
      </c>
      <c r="V55" s="1" t="s">
        <v>237</v>
      </c>
      <c r="W55" s="1" t="s">
        <v>103</v>
      </c>
    </row>
    <row r="56" ht="15.95" customHeight="1">
      <c r="A56" s="1" t="s">
        <v>235</v>
      </c>
      <c r="D56" s="1" t="s">
        <v>45</v>
      </c>
      <c r="E56" t="str">
        <f t="shared" si="91"/>
        <v>x</v>
      </c>
      <c r="F56" t="str">
        <f t="shared" si="92"/>
        <v>Iwaniuk_etal_1999</v>
      </c>
      <c r="G56" t="str">
        <f t="shared" si="93"/>
        <v>Iwaniuk</v>
      </c>
      <c r="H56" t="str">
        <f t="shared" si="94"/>
        <v>etal</v>
      </c>
      <c r="I56" t="str">
        <f t="shared" si="95"/>
        <v>1999</v>
      </c>
      <c r="J56" t="str">
        <f t="shared" si="26"/>
        <v>10.1016/s0166-4328(98)00151-x</v>
      </c>
      <c r="K56" t="str">
        <f t="shared" si="96"/>
        <v>Iwaniuk_etal_1999_Table1</v>
      </c>
      <c r="L56" t="str">
        <f t="shared" si="97"/>
        <v>10.1016%2Fs0166-4328(98)00151-x_Table1</v>
      </c>
      <c r="M56" t="str">
        <f t="array" ref="M56">IFERROR(INDEX(FileList!$A$1:$A$100, MATCH(L56, _xlfn.TEXTBEFORE(FileList!$A$1:$A$100, ".tsv"), 0)), "notfound")</f>
        <v>10.1016%2Fs0166-4328(98)00151-x_Table1.tsv</v>
      </c>
      <c r="N56" s="1" t="s">
        <v>238</v>
      </c>
      <c r="P56" s="1" t="s">
        <v>165</v>
      </c>
      <c r="V56" s="1" t="s">
        <v>36</v>
      </c>
      <c r="W56" s="1" t="s">
        <v>103</v>
      </c>
    </row>
    <row r="57" ht="15.95" customHeight="1">
      <c r="A57" s="1" t="s">
        <v>239</v>
      </c>
      <c r="D57" s="1" t="s">
        <v>45</v>
      </c>
      <c r="E57" t="str">
        <f t="shared" si="91"/>
        <v>9</v>
      </c>
      <c r="F57" t="str">
        <f t="shared" si="92"/>
        <v>Iwaniuk_etal_2001</v>
      </c>
      <c r="G57" t="str">
        <f t="shared" si="93"/>
        <v>Iwaniuk</v>
      </c>
      <c r="H57" t="str">
        <f t="shared" si="94"/>
        <v>etal</v>
      </c>
      <c r="I57" t="str">
        <f t="shared" si="95"/>
        <v>2001</v>
      </c>
      <c r="J57" t="str">
        <f t="shared" si="26"/>
        <v>10.1037/0735-7036.115.1.29</v>
      </c>
      <c r="K57" t="str">
        <f t="shared" si="96"/>
        <v>Iwaniuk_etal_2001_Table1</v>
      </c>
      <c r="L57" t="str">
        <f t="shared" si="97"/>
        <v>10.1037%2F0735-7036.115.1.29_Table1</v>
      </c>
      <c r="M57" t="str">
        <f t="array" ref="M57">IFERROR(INDEX(FileList!$A$1:$A$100, MATCH(L57, _xlfn.TEXTBEFORE(FileList!$A$1:$A$100, ".tsv"), 0)), "notfound")</f>
        <v>10.1037%2F0735-7036.115.1.29_Table1.tsv</v>
      </c>
      <c r="N57" s="1" t="s">
        <v>240</v>
      </c>
      <c r="P57" s="1" t="s">
        <v>241</v>
      </c>
      <c r="Q57" s="1" t="s">
        <v>99</v>
      </c>
      <c r="R57" s="7"/>
      <c r="T57" s="1" t="str">
        <f>IF(S57="N", R57, "write file name")</f>
        <v>write file name</v>
      </c>
      <c r="U57" s="1" t="s">
        <v>90</v>
      </c>
      <c r="V57" s="1" t="s">
        <v>36</v>
      </c>
      <c r="Y57" s="1" t="s">
        <v>242</v>
      </c>
      <c r="AE57" s="1" t="s">
        <v>243</v>
      </c>
    </row>
    <row r="58" ht="15.95" customHeight="1">
      <c r="A58" s="1" t="s">
        <v>239</v>
      </c>
      <c r="D58" s="1" t="s">
        <v>194</v>
      </c>
      <c r="E58" t="str">
        <f t="shared" si="91"/>
        <v>9</v>
      </c>
      <c r="F58" t="str">
        <f t="shared" si="92"/>
        <v>Iwaniuk_etal_2001</v>
      </c>
      <c r="G58" t="str">
        <f t="shared" si="93"/>
        <v>Iwaniuk</v>
      </c>
      <c r="H58" t="str">
        <f t="shared" si="94"/>
        <v>etal</v>
      </c>
      <c r="I58" t="str">
        <f t="shared" si="95"/>
        <v>2001</v>
      </c>
      <c r="J58" t="str">
        <f t="shared" si="26"/>
        <v>10.1037/0735-7036.115.1.29</v>
      </c>
      <c r="K58" t="str">
        <f t="shared" si="96"/>
        <v>Iwaniuk_etal_2001_Table2</v>
      </c>
      <c r="L58" t="str">
        <f t="shared" si="97"/>
        <v>10.1037%2F0735-7036.115.1.29_Table2</v>
      </c>
      <c r="M58" t="str">
        <f t="array" ref="M58">IFERROR(INDEX(FileList!$A$1:$A$100, MATCH(L58, _xlfn.TEXTBEFORE(FileList!$A$1:$A$100, ".tsv"), 0)), "notfound")</f>
        <v>10.1037%2F0735-7036.115.1.29_Table2.tsv</v>
      </c>
      <c r="N58" s="1" t="s">
        <v>244</v>
      </c>
      <c r="P58" s="1" t="s">
        <v>241</v>
      </c>
      <c r="Q58" s="1" t="s">
        <v>99</v>
      </c>
      <c r="R58" s="7"/>
      <c r="T58" s="1" t="str">
        <f>IF(S58="N", R58, "write file name")</f>
        <v>write file name</v>
      </c>
      <c r="U58" s="1" t="s">
        <v>90</v>
      </c>
      <c r="V58" s="1" t="s">
        <v>36</v>
      </c>
      <c r="Y58" s="1" t="s">
        <v>242</v>
      </c>
      <c r="AE58" s="1" t="s">
        <v>243</v>
      </c>
    </row>
    <row r="59" ht="15.95" customHeight="1">
      <c r="A59" s="1" t="s">
        <v>239</v>
      </c>
      <c r="D59" s="1" t="s">
        <v>210</v>
      </c>
      <c r="E59" t="str">
        <f t="shared" si="91"/>
        <v>9</v>
      </c>
      <c r="F59" t="str">
        <f t="shared" si="92"/>
        <v>Iwaniuk_etal_2001</v>
      </c>
      <c r="G59" t="str">
        <f t="shared" si="93"/>
        <v>Iwaniuk</v>
      </c>
      <c r="H59" t="str">
        <f t="shared" si="94"/>
        <v>etal</v>
      </c>
      <c r="I59" t="str">
        <f t="shared" si="95"/>
        <v>2001</v>
      </c>
      <c r="J59" t="str">
        <f t="shared" si="26"/>
        <v>10.1037/0735-7036.115.1.29</v>
      </c>
      <c r="K59" t="str">
        <f t="shared" si="96"/>
        <v>Iwaniuk_etal_2001_Table3</v>
      </c>
      <c r="L59" t="str">
        <f t="shared" si="97"/>
        <v>10.1037%2F0735-7036.115.1.29_Table3</v>
      </c>
      <c r="M59" t="str">
        <f t="array" ref="M59">IFERROR(INDEX(FileList!$A$1:$A$100, MATCH(L59, _xlfn.TEXTBEFORE(FileList!$A$1:$A$100, ".tsv"), 0)), "notfound")</f>
        <v>10.1037%2F0735-7036.115.1.29_Table3.tsv</v>
      </c>
      <c r="N59" s="1" t="s">
        <v>245</v>
      </c>
      <c r="P59" s="1" t="s">
        <v>241</v>
      </c>
      <c r="Q59" s="1" t="s">
        <v>99</v>
      </c>
      <c r="R59" s="7"/>
      <c r="T59" s="1" t="str">
        <f>IF(S59="N", R59, "write file name")</f>
        <v>write file name</v>
      </c>
      <c r="U59" s="1" t="s">
        <v>90</v>
      </c>
      <c r="V59" s="1" t="s">
        <v>36</v>
      </c>
      <c r="Y59" s="1" t="s">
        <v>242</v>
      </c>
      <c r="AE59" s="1" t="s">
        <v>243</v>
      </c>
    </row>
    <row r="60" ht="15.95" customHeight="1">
      <c r="A60" s="1" t="s">
        <v>239</v>
      </c>
      <c r="D60" s="1" t="s">
        <v>35</v>
      </c>
      <c r="E60" t="str">
        <f t="shared" si="91"/>
        <v>9</v>
      </c>
      <c r="F60" t="str">
        <f t="shared" si="92"/>
        <v>Iwaniuk_etal_2001</v>
      </c>
      <c r="G60" t="str">
        <f t="shared" si="93"/>
        <v>Iwaniuk</v>
      </c>
      <c r="H60" t="str">
        <f t="shared" si="94"/>
        <v>etal</v>
      </c>
      <c r="I60" t="str">
        <f t="shared" si="95"/>
        <v>2001</v>
      </c>
      <c r="J60" t="str">
        <f t="shared" si="26"/>
        <v>10.1037/0735-7036.115.1.29</v>
      </c>
      <c r="K60" t="str">
        <f t="shared" si="96"/>
        <v>Iwaniuk_etal_2001_Table4</v>
      </c>
      <c r="L60" t="str">
        <f t="shared" si="97"/>
        <v>10.1037%2F0735-7036.115.1.29_Table4</v>
      </c>
      <c r="M60" t="str">
        <f t="array" ref="M60">IFERROR(INDEX(FileList!$A$1:$A$100, MATCH(L60, _xlfn.TEXTBEFORE(FileList!$A$1:$A$100, ".tsv"), 0)), "notfound")</f>
        <v>10.1037%2F0735-7036.115.1.29_Table4.tsv</v>
      </c>
      <c r="N60" s="1" t="s">
        <v>246</v>
      </c>
      <c r="P60" s="1" t="s">
        <v>241</v>
      </c>
      <c r="Q60" s="1" t="s">
        <v>99</v>
      </c>
      <c r="R60" s="7"/>
      <c r="T60" s="1" t="str">
        <f>IF(S60="N", R60, "write file name")</f>
        <v>write file name</v>
      </c>
      <c r="U60" s="1" t="s">
        <v>90</v>
      </c>
      <c r="V60" s="1" t="s">
        <v>36</v>
      </c>
      <c r="Y60" s="1" t="s">
        <v>242</v>
      </c>
      <c r="AE60" s="1" t="s">
        <v>243</v>
      </c>
    </row>
    <row r="61" ht="15.95" customHeight="1">
      <c r="A61" s="1" t="s">
        <v>247</v>
      </c>
      <c r="D61" s="1" t="s">
        <v>45</v>
      </c>
      <c r="E61" t="str">
        <f t="shared" si="91"/>
        <v>8</v>
      </c>
      <c r="F61" t="str">
        <f t="shared" si="92"/>
        <v>JardimMesseder_etal_2017</v>
      </c>
      <c r="G61" t="str">
        <f t="shared" si="93"/>
        <v>JardimMesseder</v>
      </c>
      <c r="H61" t="str">
        <f t="shared" si="94"/>
        <v>etal</v>
      </c>
      <c r="I61" t="str">
        <f t="shared" si="95"/>
        <v>2017</v>
      </c>
      <c r="J61" t="str">
        <f t="shared" si="26"/>
        <v>10.3389/fnana.2017.00118</v>
      </c>
      <c r="K61" t="str">
        <f t="shared" si="96"/>
        <v>JardimMesseder_etal_2017_Table1</v>
      </c>
      <c r="L61" t="str">
        <f t="shared" si="97"/>
        <v>10.3389%2Ffnana.2017.00118_Table1</v>
      </c>
      <c r="M61" t="str">
        <f t="array" ref="M61">IFERROR(INDEX(FileList!$A$1:$A$100, MATCH(L61, _xlfn.TEXTBEFORE(FileList!$A$1:$A$100, ".tsv"), 0)), "notfound")</f>
        <v>10.3389%2Ffnana.2017.00118_Table1.tsv</v>
      </c>
      <c r="N61" s="1" t="s">
        <v>248</v>
      </c>
      <c r="P61" s="1" t="s">
        <v>55</v>
      </c>
      <c r="Q61" s="1" t="s">
        <v>74</v>
      </c>
      <c r="R61" s="7" t="s">
        <v>249</v>
      </c>
      <c r="S61" s="1" t="s">
        <v>88</v>
      </c>
      <c r="T61" s="1" t="s">
        <v>250</v>
      </c>
      <c r="U61" s="1" t="s">
        <v>90</v>
      </c>
      <c r="V61" s="1" t="s">
        <v>36</v>
      </c>
      <c r="W61" s="1" t="s">
        <v>91</v>
      </c>
      <c r="X61" s="1" t="s">
        <v>251</v>
      </c>
      <c r="Y61" s="1" t="s">
        <v>139</v>
      </c>
      <c r="Z61" s="1" t="s">
        <v>40</v>
      </c>
      <c r="AA61" s="1" t="s">
        <v>140</v>
      </c>
      <c r="AB61" s="1" t="s">
        <v>140</v>
      </c>
      <c r="AE61" s="1" t="s">
        <v>252</v>
      </c>
    </row>
    <row r="62" ht="15.95" customHeight="1">
      <c r="A62" s="1" t="s">
        <v>253</v>
      </c>
      <c r="D62" s="1" t="s">
        <v>194</v>
      </c>
      <c r="E62" t="str">
        <f t="shared" ref="E62" si="98">RIGHT(A62,1)</f>
        <v>4</v>
      </c>
      <c r="F62" t="str">
        <f t="shared" ref="F62" si="99">G62 &amp; IF(H62&lt;&gt;"", "_" &amp; H62, "_") &amp; IF(I62&lt;&gt;"", "_" &amp; I62, "_") &amp; IF(B62&lt;&gt;"", "_" &amp; B62, "")</f>
        <v>Johansen_etal_2024</v>
      </c>
      <c r="G62" t="str">
        <f t="shared" ref="G62" si="100">SUBSTITUTE(SUBSTITUTE(_xlfn.TEXTBEFORE(A62,","), "-", ""), " ", "")</f>
        <v>Johansen</v>
      </c>
      <c r="H62" t="str">
        <f t="shared" ref="H62" si="101">IF(ISNUMBER(FIND("&amp;", A62)),
    IF(LEN(A62)-LEN(SUBSTITUTE(A62, ",", ""))&gt;=6, "etal", MID(A62, SEARCH("&amp; ", A62)+2, SEARCH(",", A62, SEARCH("&amp; ", A62)+2) - SEARCH("&amp; ", A62)-2)),
    ""
)</f>
        <v>etal</v>
      </c>
      <c r="I62" t="str">
        <f t="shared" ref="I62" si="102">_xlfn.TEXTBEFORE(_xlfn.TEXTAFTER(A62, "("), ")")</f>
        <v>2024</v>
      </c>
      <c r="J62" t="str">
        <f t="shared" ref="J62" si="103">IF(C62&lt;&gt;"", C62, IF(C62="", _xlfn.TEXTAFTER(A62,"https://doi.org/"), C62))</f>
        <v>10.1523/JNEUROSCI.1750-23.2024</v>
      </c>
      <c r="K62" t="str">
        <f t="shared" ref="K62" si="104">TRIM(_xlfn.TEXTJOIN("_",FALSE,F62,(SUBSTITUTE(SUBSTITUTE(D62," ",""), "_", ""))))</f>
        <v>Johansen_etal_2024_Table2</v>
      </c>
      <c r="L62" t="str">
        <f t="shared" ref="L62" si="105">IF(ISBLANK(C62),TRIM(SUBSTITUTE(SUBSTITUTE(SUBSTITUTE(_xlfn.TEXTJOIN("_", FALSE, J62, SUBSTITUTE(D62,"_", "")), "/", "%2F"), ":", "%3A"), " ", "")),TRIM(SUBSTITUTE(SUBSTITUTE(SUBSTITUTE(_xlfn.TEXTJOIN("_", FALSE, C62, SUBSTITUTE(D62,"_", "")), "/", "%2F"), ":", "%3A"), " ", "")))</f>
        <v>10.1523%2FJNEUROSCI.1750-23.2024_Table2</v>
      </c>
      <c r="M62" t="str">
        <f t="array" ref="M62">IFERROR(INDEX(FileList!$A$1:$A$100, MATCH(L62, _xlfn.TEXTBEFORE(FileList!$A$1:$A$100, ".tsv"), 0)), "notfound")</f>
        <v>notfound</v>
      </c>
      <c r="N62" s="1" t="s">
        <v>254</v>
      </c>
      <c r="P62" s="2"/>
      <c r="Q62" s="2"/>
      <c r="R62" s="7"/>
      <c r="S62" s="2"/>
      <c r="T62" s="2"/>
      <c r="U62" s="1"/>
      <c r="V62" s="1"/>
      <c r="W62" s="1"/>
      <c r="X62" s="2"/>
      <c r="Y62" s="1" t="s">
        <v>255</v>
      </c>
      <c r="Z62" s="1"/>
      <c r="AA62" s="2"/>
      <c r="AB62" s="2"/>
      <c r="AE62" s="2"/>
    </row>
    <row r="63" ht="15.95" customHeight="1">
      <c r="A63" s="1" t="s">
        <v>256</v>
      </c>
      <c r="D63" s="1" t="s">
        <v>38</v>
      </c>
      <c r="E63" t="str">
        <f t="shared" si="91"/>
        <v>9</v>
      </c>
      <c r="F63" t="str">
        <f t="shared" si="92"/>
        <v>Karl_etal_2024</v>
      </c>
      <c r="G63" t="str">
        <f t="shared" si="93"/>
        <v>Karl</v>
      </c>
      <c r="H63" t="str">
        <f t="shared" si="94"/>
        <v>etal</v>
      </c>
      <c r="I63" t="str">
        <f t="shared" si="95"/>
        <v>2024</v>
      </c>
      <c r="J63" t="str">
        <f t="shared" si="26"/>
        <v>10.1002/cne.25669</v>
      </c>
      <c r="K63" t="str">
        <f t="shared" si="96"/>
        <v>Karl_etal_2024_TABLE1</v>
      </c>
      <c r="L63" t="str">
        <f t="shared" si="97"/>
        <v>10.1002%2Fcne.25669_TABLE1</v>
      </c>
      <c r="M63" t="str">
        <f t="array" ref="M63">IFERROR(INDEX(FileList!$A$1:$A$100, MATCH(L63, _xlfn.TEXTBEFORE(FileList!$A$1:$A$100, ".tsv"), 0)), "notfound")</f>
        <v>10.1002%2Fcne.25669_TABLE1.tsv</v>
      </c>
      <c r="N63" s="1" t="s">
        <v>257</v>
      </c>
      <c r="R63" s="7"/>
      <c r="U63" s="1" t="s">
        <v>90</v>
      </c>
      <c r="V63" s="1" t="s">
        <v>36</v>
      </c>
      <c r="W63" s="1" t="s">
        <v>103</v>
      </c>
      <c r="Y63" s="1" t="s">
        <v>258</v>
      </c>
      <c r="Z63" s="1" t="s">
        <v>40</v>
      </c>
    </row>
    <row r="64" ht="15.95" customHeight="1">
      <c r="A64" s="1" t="s">
        <v>259</v>
      </c>
      <c r="D64" s="1" t="s">
        <v>45</v>
      </c>
      <c r="E64" t="str">
        <f t="shared" si="91"/>
        <v>8</v>
      </c>
      <c r="F64" t="str">
        <f t="shared" si="92"/>
        <v>Kverkova_etal_2018</v>
      </c>
      <c r="G64" t="str">
        <f t="shared" si="93"/>
        <v>Kverkova</v>
      </c>
      <c r="H64" t="str">
        <f t="shared" si="94"/>
        <v>etal</v>
      </c>
      <c r="I64" t="str">
        <f t="shared" si="95"/>
        <v>2018</v>
      </c>
      <c r="J64" t="str">
        <f t="shared" si="26"/>
        <v>10.1038/s41598-018-26062-8</v>
      </c>
      <c r="K64" t="str">
        <f t="shared" si="96"/>
        <v>Kverkova_etal_2018_Table1</v>
      </c>
      <c r="L64" t="str">
        <f t="shared" si="97"/>
        <v>10.1038%2Fs41598-018-26062-8_Table1</v>
      </c>
      <c r="M64" t="str">
        <f t="array" ref="M64">IFERROR(INDEX(FileList!$A$1:$A$100, MATCH(L64, _xlfn.TEXTBEFORE(FileList!$A$1:$A$100, ".tsv"), 0)), "notfound")</f>
        <v>10.1038%2Fs41598-018-26062-8_Table1.tsv</v>
      </c>
      <c r="N64" s="1" t="s">
        <v>260</v>
      </c>
      <c r="P64" s="1" t="s">
        <v>55</v>
      </c>
      <c r="Q64" s="1" t="s">
        <v>74</v>
      </c>
      <c r="R64" s="7" t="s">
        <v>261</v>
      </c>
      <c r="S64" s="1" t="s">
        <v>88</v>
      </c>
      <c r="T64" s="1" t="s">
        <v>262</v>
      </c>
      <c r="U64" s="1" t="s">
        <v>263</v>
      </c>
      <c r="V64" s="1" t="s">
        <v>36</v>
      </c>
      <c r="Y64" s="1" t="s">
        <v>264</v>
      </c>
      <c r="Z64" s="1" t="s">
        <v>40</v>
      </c>
      <c r="AB64" s="1" t="s">
        <v>140</v>
      </c>
      <c r="AE64" s="1" t="s">
        <v>265</v>
      </c>
    </row>
    <row r="65" ht="15.95" customHeight="1">
      <c r="A65" s="1" t="s">
        <v>259</v>
      </c>
      <c r="D65" s="1" t="s">
        <v>132</v>
      </c>
      <c r="E65" t="str">
        <f t="shared" si="91"/>
        <v>8</v>
      </c>
      <c r="F65" t="str">
        <f t="shared" si="92"/>
        <v>Kverkova_etal_2018</v>
      </c>
      <c r="G65" t="str">
        <f t="shared" si="93"/>
        <v>Kverkova</v>
      </c>
      <c r="H65" t="str">
        <f t="shared" si="94"/>
        <v>etal</v>
      </c>
      <c r="I65" t="str">
        <f t="shared" si="95"/>
        <v>2018</v>
      </c>
      <c r="J65" t="str">
        <f t="shared" si="26"/>
        <v>10.1038/s41598-018-26062-8</v>
      </c>
      <c r="K65" t="str">
        <f t="shared" si="96"/>
        <v>Kverkova_etal_2018_TableS1</v>
      </c>
      <c r="L65" t="str">
        <f t="shared" si="97"/>
        <v>10.1038%2Fs41598-018-26062-8_TableS1</v>
      </c>
      <c r="M65" t="str">
        <f t="array" ref="M65">IFERROR(INDEX(FileList!$A$1:$A$100, MATCH(L65, _xlfn.TEXTBEFORE(FileList!$A$1:$A$100, ".tsv"), 0)), "notfound")</f>
        <v>10.1038%2Fs41598-018-26062-8_TableS1.tsv</v>
      </c>
      <c r="N65" s="1" t="s">
        <v>266</v>
      </c>
      <c r="P65" s="1" t="s">
        <v>55</v>
      </c>
      <c r="Q65" s="1" t="s">
        <v>74</v>
      </c>
      <c r="R65" s="7" t="s">
        <v>267</v>
      </c>
      <c r="S65" s="1" t="s">
        <v>88</v>
      </c>
      <c r="T65" s="1" t="s">
        <v>262</v>
      </c>
      <c r="U65" s="1" t="s">
        <v>263</v>
      </c>
      <c r="V65" s="1" t="s">
        <v>36</v>
      </c>
      <c r="W65" s="1" t="s">
        <v>91</v>
      </c>
      <c r="X65" s="1" t="s">
        <v>268</v>
      </c>
      <c r="Y65" s="1" t="s">
        <v>225</v>
      </c>
      <c r="Z65" s="1" t="s">
        <v>269</v>
      </c>
      <c r="AB65" s="1" t="s">
        <v>140</v>
      </c>
      <c r="AE65" s="1" t="s">
        <v>265</v>
      </c>
    </row>
    <row r="66" ht="15.95" customHeight="1">
      <c r="A66" s="1" t="s">
        <v>259</v>
      </c>
      <c r="D66" s="1" t="s">
        <v>270</v>
      </c>
      <c r="E66" t="str">
        <f t="shared" si="91"/>
        <v>8</v>
      </c>
      <c r="F66" t="str">
        <f t="shared" si="92"/>
        <v>Kverkova_etal_2018</v>
      </c>
      <c r="G66" t="str">
        <f t="shared" si="93"/>
        <v>Kverkova</v>
      </c>
      <c r="H66" t="str">
        <f t="shared" si="94"/>
        <v>etal</v>
      </c>
      <c r="I66" t="str">
        <f t="shared" si="95"/>
        <v>2018</v>
      </c>
      <c r="J66" t="str">
        <f t="shared" si="26"/>
        <v>10.1038/s41598-018-26062-8</v>
      </c>
      <c r="K66" t="str">
        <f t="shared" si="96"/>
        <v>Kverkova_etal_2018_TableS5</v>
      </c>
      <c r="L66" t="str">
        <f t="shared" si="97"/>
        <v>10.1038%2Fs41598-018-26062-8_TableS5</v>
      </c>
      <c r="M66" t="str">
        <f t="array" ref="M66">IFERROR(INDEX(FileList!$A$1:$A$100, MATCH(L66, _xlfn.TEXTBEFORE(FileList!$A$1:$A$100, ".tsv"), 0)), "notfound")</f>
        <v>10.1038%2Fs41598-018-26062-8_TableS5.tsv</v>
      </c>
      <c r="N66" s="1" t="s">
        <v>271</v>
      </c>
      <c r="P66" s="1" t="s">
        <v>55</v>
      </c>
      <c r="Q66" s="1" t="s">
        <v>74</v>
      </c>
      <c r="R66" s="7" t="s">
        <v>272</v>
      </c>
      <c r="S66" s="1" t="s">
        <v>88</v>
      </c>
      <c r="T66" s="1" t="s">
        <v>273</v>
      </c>
      <c r="U66" s="1" t="s">
        <v>274</v>
      </c>
      <c r="V66" s="1" t="s">
        <v>36</v>
      </c>
      <c r="W66" s="1" t="s">
        <v>91</v>
      </c>
      <c r="X66" s="1" t="s">
        <v>268</v>
      </c>
      <c r="Y66" s="1" t="s">
        <v>230</v>
      </c>
      <c r="Z66" s="1" t="s">
        <v>40</v>
      </c>
      <c r="AB66" s="1" t="s">
        <v>140</v>
      </c>
      <c r="AE66" s="1" t="s">
        <v>265</v>
      </c>
    </row>
    <row r="67" ht="15.95" customHeight="1">
      <c r="A67" s="1" t="s">
        <v>275</v>
      </c>
      <c r="D67" s="1" t="s">
        <v>276</v>
      </c>
      <c r="E67" t="str">
        <f t="shared" si="91"/>
        <v>4</v>
      </c>
      <c r="F67" t="str">
        <f t="shared" si="92"/>
        <v>Lewitus_etal_2013</v>
      </c>
      <c r="G67" t="str">
        <f t="shared" si="93"/>
        <v>Lewitus</v>
      </c>
      <c r="H67" t="str">
        <f t="shared" si="94"/>
        <v>etal</v>
      </c>
      <c r="I67" t="str">
        <f t="shared" si="95"/>
        <v>2013</v>
      </c>
      <c r="J67" t="str">
        <f t="shared" si="26"/>
        <v>10.3389/fnhum.2013.00424</v>
      </c>
      <c r="K67" t="str">
        <f t="shared" si="96"/>
        <v>Lewitus_etal_2013_TableS2partial</v>
      </c>
      <c r="L67" t="str">
        <f t="shared" si="97"/>
        <v>10.3389%2Ffnhum.2013.00424_TableS2partial</v>
      </c>
      <c r="M67" t="str">
        <f t="array" ref="M67">IFERROR(INDEX(FileList!$A$1:$A$100, MATCH(L67, _xlfn.TEXTBEFORE(FileList!$A$1:$A$100, ".tsv"), 0)), "notfound")</f>
        <v>10.3389%2Ffnhum.2013.00424_TableS2partial.tsv</v>
      </c>
      <c r="Q67" s="1" t="s">
        <v>56</v>
      </c>
      <c r="AA67" s="1" t="s">
        <v>277</v>
      </c>
    </row>
    <row r="68" ht="15.95" customHeight="1">
      <c r="A68" s="1" t="s">
        <v>278</v>
      </c>
      <c r="D68" s="1" t="s">
        <v>132</v>
      </c>
      <c r="E68" t="str">
        <f t="shared" si="91"/>
        <v>0</v>
      </c>
      <c r="F68" t="str">
        <f t="shared" si="92"/>
        <v>Lewitus_etal_2014</v>
      </c>
      <c r="G68" t="str">
        <f t="shared" si="93"/>
        <v>Lewitus</v>
      </c>
      <c r="H68" t="str">
        <f t="shared" si="94"/>
        <v>etal</v>
      </c>
      <c r="I68" t="str">
        <f t="shared" si="95"/>
        <v>2014</v>
      </c>
      <c r="J68" t="str">
        <f t="shared" si="26"/>
        <v>10.1371/journal.pbio.1002000</v>
      </c>
      <c r="K68" t="str">
        <f t="shared" si="96"/>
        <v>Lewitus_etal_2014_TableS1</v>
      </c>
      <c r="L68" t="str">
        <f t="shared" si="97"/>
        <v>10.1371%2Fjournal.pbio.1002000_TableS1</v>
      </c>
      <c r="M68" t="str">
        <f t="array" ref="M68">IFERROR(INDEX(FileList!$A$1:$A$100, MATCH(L68, _xlfn.TEXTBEFORE(FileList!$A$1:$A$100, ".tsv"), 0)), "notfound")</f>
        <v>10.1371%2Fjournal.pbio.1002000_TableS1.tsv</v>
      </c>
      <c r="N68" s="1" t="s">
        <v>279</v>
      </c>
      <c r="Q68" s="1" t="s">
        <v>56</v>
      </c>
      <c r="AA68" s="1" t="s">
        <v>277</v>
      </c>
    </row>
    <row r="69" ht="15.95" customHeight="1">
      <c r="A69" s="1" t="s">
        <v>278</v>
      </c>
      <c r="D69" s="1" t="s">
        <v>280</v>
      </c>
      <c r="E69" t="str">
        <f t="shared" si="91"/>
        <v>0</v>
      </c>
      <c r="F69" t="str">
        <f t="shared" si="92"/>
        <v>Lewitus_etal_2014</v>
      </c>
      <c r="G69" t="str">
        <f t="shared" si="93"/>
        <v>Lewitus</v>
      </c>
      <c r="H69" t="str">
        <f t="shared" si="94"/>
        <v>etal</v>
      </c>
      <c r="I69" t="str">
        <f t="shared" si="95"/>
        <v>2014</v>
      </c>
      <c r="J69" t="str">
        <f t="shared" si="26"/>
        <v>10.1371/journal.pbio.1002000</v>
      </c>
      <c r="K69" t="str">
        <f t="shared" si="96"/>
        <v>Lewitus_etal_2014_TableS8</v>
      </c>
      <c r="L69" t="str">
        <f t="shared" si="97"/>
        <v>10.1371%2Fjournal.pbio.1002000_TableS8</v>
      </c>
      <c r="M69" t="str">
        <f t="array" ref="M69">IFERROR(INDEX(FileList!$A$1:$A$100, MATCH(L69, _xlfn.TEXTBEFORE(FileList!$A$1:$A$100, ".tsv"), 0)), "notfound")</f>
        <v>10.1371%2Fjournal.pbio.1002000_TableS8.tsv</v>
      </c>
      <c r="N69" s="1" t="s">
        <v>281</v>
      </c>
      <c r="Q69" s="1" t="s">
        <v>56</v>
      </c>
      <c r="AA69" s="1" t="s">
        <v>277</v>
      </c>
    </row>
    <row r="70" ht="15.75" customHeight="1">
      <c r="A70" s="1" t="s">
        <v>282</v>
      </c>
      <c r="D70" s="1" t="s">
        <v>45</v>
      </c>
      <c r="E70" t="str">
        <f t="shared" si="91"/>
        <v>5</v>
      </c>
      <c r="F70" t="str">
        <f t="shared" si="92"/>
        <v>MacLarnon__1996</v>
      </c>
      <c r="G70" t="str">
        <f t="shared" si="93"/>
        <v>MacLarnon</v>
      </c>
      <c r="H70" t="str">
        <f t="shared" si="94"/>
      </c>
      <c r="I70" t="str">
        <f t="shared" si="95"/>
        <v>1996</v>
      </c>
      <c r="J70" t="str">
        <f t="shared" si="26"/>
        <v>10.1006/jhev.1996.0005</v>
      </c>
      <c r="K70" t="str">
        <f t="shared" si="96"/>
        <v>MacLarnon__1996_Table1</v>
      </c>
      <c r="L70" t="str">
        <f t="shared" si="97"/>
        <v>10.1006%2Fjhev.1996.0005_Table1</v>
      </c>
      <c r="M70" t="str">
        <f t="array" ref="M70">IFERROR(INDEX(FileList!$A$1:$A$100, MATCH(L70, _xlfn.TEXTBEFORE(FileList!$A$1:$A$100, ".tsv"), 0)), "notfound")</f>
        <v>10.1006%2Fjhev.1996.0005_Table1.tsv</v>
      </c>
      <c r="N70" s="1" t="s">
        <v>283</v>
      </c>
      <c r="P70" s="1" t="s">
        <v>165</v>
      </c>
    </row>
    <row r="71" ht="15.75" customHeight="1">
      <c r="A71" s="1" t="s">
        <v>284</v>
      </c>
      <c r="D71" s="1" t="s">
        <v>285</v>
      </c>
      <c r="E71" t="str">
        <f t="shared" si="91"/>
        <v>2</v>
      </c>
      <c r="F71" t="str">
        <f t="shared" si="92"/>
        <v>ManyPrimates__2022</v>
      </c>
      <c r="G71" t="str">
        <f t="shared" si="93"/>
        <v>ManyPrimates</v>
      </c>
      <c r="H71" t="str">
        <f t="shared" si="94"/>
      </c>
      <c r="I71" t="str">
        <f t="shared" si="95"/>
        <v>2022</v>
      </c>
      <c r="J71" t="str">
        <f t="shared" si="26"/>
        <v>10.26451/abc.09.04.06.2022</v>
      </c>
      <c r="K71" t="str">
        <f t="shared" si="96"/>
        <v>ManyPrimates__2022_data/speciespredictors.xlsx</v>
      </c>
      <c r="L71" t="str">
        <f t="shared" si="97"/>
        <v>10.26451%2Fabc.09.04.06.2022_data%2Fspeciespredictors.xlsx</v>
      </c>
      <c r="M71" t="str">
        <f t="array" ref="M71">IFERROR(INDEX(FileList!$A$1:$A$100, MATCH(L71, _xlfn.TEXTBEFORE(FileList!$A$1:$A$100, ".tsv"), 0)), "notfound")</f>
        <v>notfound</v>
      </c>
      <c r="P71" s="1" t="s">
        <v>286</v>
      </c>
      <c r="Q71" s="1" t="s">
        <v>99</v>
      </c>
      <c r="R71" s="7"/>
      <c r="T71" s="1" t="str">
        <f>IF(S71="N", R71, "write file name")</f>
        <v>write file name</v>
      </c>
      <c r="U71" s="1" t="s">
        <v>81</v>
      </c>
      <c r="V71" s="1" t="s">
        <v>36</v>
      </c>
      <c r="W71" s="1" t="s">
        <v>82</v>
      </c>
      <c r="X71" s="1" t="s">
        <v>287</v>
      </c>
      <c r="Y71" s="1" t="s">
        <v>288</v>
      </c>
      <c r="Z71" s="1" t="s">
        <v>62</v>
      </c>
      <c r="AC71" s="1" t="s">
        <v>289</v>
      </c>
      <c r="AE71" s="1" t="s">
        <v>85</v>
      </c>
    </row>
    <row r="72" ht="15.75" customHeight="1">
      <c r="A72" s="1" t="s">
        <v>290</v>
      </c>
      <c r="D72" s="1" t="s">
        <v>132</v>
      </c>
      <c r="E72" t="str">
        <f t="shared" si="91"/>
        <v>1</v>
      </c>
      <c r="F72" t="str">
        <f t="shared" si="92"/>
        <v>Mota_etal_2015</v>
      </c>
      <c r="G72" t="str">
        <f t="shared" si="93"/>
        <v>Mota</v>
      </c>
      <c r="H72" t="str">
        <f t="shared" si="94"/>
        <v>etal</v>
      </c>
      <c r="I72" t="str">
        <f t="shared" si="95"/>
        <v>2015</v>
      </c>
      <c r="J72" t="str">
        <f t="shared" ref="J72:J83" si="106">IF(C72&lt;&gt;"", C72, IF(C72="", _xlfn.TEXTAFTER(A72,"https://doi.org/"), C72))</f>
        <v>10.1126/science.aaa9101</v>
      </c>
      <c r="K72" t="str">
        <f t="shared" si="96"/>
        <v>Mota_etal_2015_TableS1</v>
      </c>
      <c r="L72" t="str">
        <f t="shared" si="97"/>
        <v>10.1126%2Fscience.aaa9101_TableS1</v>
      </c>
      <c r="M72" t="str">
        <f t="array" ref="M72">IFERROR(INDEX(FileList!$A$1:$A$100, MATCH(L72, _xlfn.TEXTBEFORE(FileList!$A$1:$A$100, ".tsv"), 0)), "notfound")</f>
        <v>10.1126%2Fscience.aaa9101_TableS1.tsv</v>
      </c>
      <c r="Q72" s="1" t="s">
        <v>56</v>
      </c>
    </row>
    <row r="73" ht="15.75" customHeight="1">
      <c r="A73" s="1" t="s">
        <v>291</v>
      </c>
      <c r="D73" s="1" t="s">
        <v>292</v>
      </c>
      <c r="E73" t="str">
        <f t="shared" si="91"/>
        <v>6</v>
      </c>
      <c r="F73" t="str">
        <f t="shared" si="92"/>
        <v>Mota_etal_2019</v>
      </c>
      <c r="G73" t="str">
        <f t="shared" si="93"/>
        <v>Mota</v>
      </c>
      <c r="H73" t="str">
        <f t="shared" si="94"/>
        <v>etal</v>
      </c>
      <c r="I73" t="str">
        <f t="shared" si="95"/>
        <v>2019</v>
      </c>
      <c r="J73" t="str">
        <f t="shared" si="106"/>
        <v>10.1073/pnas.1716956116</v>
      </c>
      <c r="K73" t="str">
        <f t="shared" si="96"/>
        <v>Mota_etal_2019_SupplementaryTableS1</v>
      </c>
      <c r="L73" t="str">
        <f t="shared" si="97"/>
        <v>10.1073%2Fpnas.1716956116_SupplementaryTableS1</v>
      </c>
      <c r="M73" t="str">
        <f t="array" ref="M73">IFERROR(INDEX(FileList!$A$1:$A$100, MATCH(L73, _xlfn.TEXTBEFORE(FileList!$A$1:$A$100, ".tsv"), 0)), "notfound")</f>
        <v>notfound</v>
      </c>
      <c r="N73" s="1" t="s">
        <v>293</v>
      </c>
      <c r="P73" s="1" t="s">
        <v>165</v>
      </c>
      <c r="AC73" s="1" t="s">
        <v>294</v>
      </c>
    </row>
    <row r="74" ht="15.75" customHeight="1">
      <c r="A74" s="1" t="s">
        <v>295</v>
      </c>
      <c r="C74" s="1" t="s">
        <v>296</v>
      </c>
      <c r="D74" s="1" t="s">
        <v>297</v>
      </c>
      <c r="E74" t="str">
        <f t="shared" si="91"/>
        <v>5</v>
      </c>
      <c r="F74" t="str">
        <f t="shared" si="92"/>
        <v>Powell_etal_2017</v>
      </c>
      <c r="G74" t="str">
        <f t="shared" si="93"/>
        <v>Powell</v>
      </c>
      <c r="H74" t="str">
        <f t="shared" si="94"/>
        <v>etal</v>
      </c>
      <c r="I74" t="str">
        <f t="shared" si="95"/>
        <v>2017</v>
      </c>
      <c r="J74" t="str">
        <f t="shared" si="106"/>
        <v>10.6084/m9.figshare.c.3899422.v1</v>
      </c>
      <c r="K74" t="str">
        <f t="shared" si="96"/>
        <v>Powell_etal_2017_Dataset1</v>
      </c>
      <c r="L74" t="str">
        <f t="shared" si="97"/>
        <v>10.6084%2Fm9.figshare.c.3899422.v1_Dataset1</v>
      </c>
      <c r="M74" t="str">
        <f t="array" ref="M74">IFERROR(INDEX(FileList!$A$1:$A$100, MATCH(L74, _xlfn.TEXTBEFORE(FileList!$A$1:$A$100, ".tsv"), 0)), "notfound")</f>
        <v>10.6084%2Fm9.figshare.c.3899422.v1_Dataset1.tsv</v>
      </c>
      <c r="P74" s="1" t="s">
        <v>165</v>
      </c>
      <c r="Q74" s="1" t="s">
        <v>99</v>
      </c>
      <c r="R74" s="7"/>
      <c r="T74" s="1" t="str">
        <f>IF(S74="N", R74, "write file name")</f>
        <v>write file name</v>
      </c>
      <c r="U74" s="1" t="s">
        <v>81</v>
      </c>
      <c r="V74" s="1" t="s">
        <v>36</v>
      </c>
      <c r="W74" s="1" t="s">
        <v>82</v>
      </c>
      <c r="X74" s="1" t="s">
        <v>298</v>
      </c>
      <c r="Y74" s="1" t="s">
        <v>299</v>
      </c>
      <c r="Z74" s="1" t="s">
        <v>62</v>
      </c>
      <c r="AC74" s="1" t="s">
        <v>61</v>
      </c>
      <c r="AE74" s="1" t="s">
        <v>85</v>
      </c>
    </row>
    <row r="75" ht="15.75" customHeight="1">
      <c r="A75" s="1" t="s">
        <v>300</v>
      </c>
      <c r="B75" s="1" t="s">
        <v>301</v>
      </c>
      <c r="D75" s="1" t="s">
        <v>35</v>
      </c>
      <c r="E75" t="str">
        <f t="shared" si="91"/>
        <v>2</v>
      </c>
      <c r="F75" t="str">
        <f t="shared" si="92"/>
        <v>Sherwood_etal_2004_I</v>
      </c>
      <c r="G75" t="str">
        <f t="shared" si="93"/>
        <v>Sherwood</v>
      </c>
      <c r="H75" t="str">
        <f t="shared" si="94"/>
        <v>etal</v>
      </c>
      <c r="I75" t="str">
        <f t="shared" si="95"/>
        <v>2004</v>
      </c>
      <c r="J75" t="str">
        <f t="shared" si="106"/>
        <v>10.1159/000075672</v>
      </c>
      <c r="K75" t="str">
        <f t="shared" si="96"/>
        <v>Sherwood_etal_2004_I_Table4</v>
      </c>
      <c r="L75" t="str">
        <f t="shared" si="97"/>
        <v>10.1159%2F000075672_Table4</v>
      </c>
      <c r="M75" t="str">
        <f t="array" ref="M75">IFERROR(INDEX(FileList!$A$1:$A$100, MATCH(L75, _xlfn.TEXTBEFORE(FileList!$A$1:$A$100, ".tsv"), 0)), "notfound")</f>
        <v>notfound</v>
      </c>
      <c r="N75" s="1" t="s">
        <v>302</v>
      </c>
      <c r="P75" s="1" t="s">
        <v>286</v>
      </c>
      <c r="Q75" s="1" t="s">
        <v>99</v>
      </c>
      <c r="R75" s="7"/>
      <c r="T75" s="1" t="str">
        <f>IF(S75="N", R75, "write file name")</f>
        <v>write file name</v>
      </c>
      <c r="U75" s="1" t="s">
        <v>90</v>
      </c>
      <c r="V75" s="1" t="s">
        <v>303</v>
      </c>
      <c r="Y75" s="1" t="s">
        <v>304</v>
      </c>
      <c r="Z75" s="1" t="s">
        <v>40</v>
      </c>
      <c r="AE75" s="1" t="s">
        <v>85</v>
      </c>
    </row>
    <row r="76" ht="15.75" customHeight="1">
      <c r="A76" s="1" t="s">
        <v>300</v>
      </c>
      <c r="B76" s="1" t="s">
        <v>301</v>
      </c>
      <c r="D76" s="1" t="s">
        <v>217</v>
      </c>
      <c r="E76" t="str">
        <f t="shared" si="91"/>
        <v>2</v>
      </c>
      <c r="F76" t="str">
        <f t="shared" si="92"/>
        <v>Sherwood_etal_2004_I</v>
      </c>
      <c r="G76" t="str">
        <f t="shared" si="93"/>
        <v>Sherwood</v>
      </c>
      <c r="H76" t="str">
        <f t="shared" si="94"/>
        <v>etal</v>
      </c>
      <c r="I76" t="str">
        <f t="shared" si="95"/>
        <v>2004</v>
      </c>
      <c r="J76" t="str">
        <f t="shared" si="106"/>
        <v>10.1159/000075672</v>
      </c>
      <c r="K76" t="str">
        <f t="shared" si="96"/>
        <v>Sherwood_etal_2004_I_Table5</v>
      </c>
      <c r="L76" t="str">
        <f t="shared" si="97"/>
        <v>10.1159%2F000075672_Table5</v>
      </c>
      <c r="M76" t="str">
        <f t="array" ref="M76">IFERROR(INDEX(FileList!$A$1:$A$100, MATCH(L76, _xlfn.TEXTBEFORE(FileList!$A$1:$A$100, ".tsv"), 0)), "notfound")</f>
        <v>notfound</v>
      </c>
      <c r="N76" s="1" t="s">
        <v>305</v>
      </c>
      <c r="P76" s="1" t="s">
        <v>286</v>
      </c>
      <c r="Q76" s="1" t="s">
        <v>99</v>
      </c>
      <c r="R76" s="7"/>
      <c r="T76" s="1" t="str">
        <f>IF(S76="N", R76, "write file name")</f>
        <v>write file name</v>
      </c>
      <c r="U76" s="1" t="s">
        <v>90</v>
      </c>
      <c r="V76" s="1" t="s">
        <v>303</v>
      </c>
      <c r="Y76" s="1" t="s">
        <v>304</v>
      </c>
      <c r="Z76" s="1" t="s">
        <v>40</v>
      </c>
      <c r="AE76" s="1" t="s">
        <v>85</v>
      </c>
    </row>
    <row r="77" ht="15.75" customHeight="1">
      <c r="A77" s="1" t="s">
        <v>306</v>
      </c>
      <c r="D77" s="1" t="s">
        <v>307</v>
      </c>
      <c r="E77" t="str">
        <f t="shared" si="91"/>
        <v>1</v>
      </c>
      <c r="F77" t="str">
        <f t="shared" si="92"/>
        <v>Smaers_etal_2011</v>
      </c>
      <c r="G77" t="str">
        <f t="shared" si="93"/>
        <v>Smaers</v>
      </c>
      <c r="H77" t="str">
        <f t="shared" si="94"/>
        <v>etal</v>
      </c>
      <c r="I77" t="str">
        <f t="shared" si="95"/>
        <v>2011</v>
      </c>
      <c r="J77" t="str">
        <f t="shared" si="106"/>
        <v>10.1159/000323671</v>
      </c>
      <c r="K77" t="str">
        <f t="shared" si="96"/>
        <v>Smaers_etal_2011_SupplementaryTable1</v>
      </c>
      <c r="L77" t="str">
        <f t="shared" si="97"/>
        <v>10.1159%2F000323671_SupplementaryTable1</v>
      </c>
      <c r="M77" t="str">
        <f t="array" ref="M77">IFERROR(INDEX(FileList!$A$1:$A$100, MATCH(L77, _xlfn.TEXTBEFORE(FileList!$A$1:$A$100, ".tsv"), 0)), "notfound")</f>
        <v>10.1159%2F000323671_SupplementaryTable1.tsv</v>
      </c>
      <c r="Q77" s="1" t="s">
        <v>56</v>
      </c>
    </row>
    <row r="78" ht="15.75" customHeight="1">
      <c r="A78" s="1" t="s">
        <v>306</v>
      </c>
      <c r="D78" s="1" t="s">
        <v>308</v>
      </c>
      <c r="E78" t="str">
        <f t="shared" si="91"/>
        <v>1</v>
      </c>
      <c r="F78" t="str">
        <f t="shared" si="92"/>
        <v>Smaers_etal_2011</v>
      </c>
      <c r="G78" t="str">
        <f t="shared" si="93"/>
        <v>Smaers</v>
      </c>
      <c r="H78" t="str">
        <f t="shared" si="94"/>
        <v>etal</v>
      </c>
      <c r="I78" t="str">
        <f t="shared" si="95"/>
        <v>2011</v>
      </c>
      <c r="J78" t="str">
        <f t="shared" si="106"/>
        <v>10.1159/000323671</v>
      </c>
      <c r="K78" t="str">
        <f t="shared" si="96"/>
        <v>Smaers_etal_2011_SupplementaryTable2</v>
      </c>
      <c r="L78" t="str">
        <f t="shared" si="97"/>
        <v>10.1159%2F000323671_SupplementaryTable2</v>
      </c>
      <c r="M78" t="str">
        <f t="array" ref="M78">IFERROR(INDEX(FileList!$A$1:$A$100, MATCH(L78, _xlfn.TEXTBEFORE(FileList!$A$1:$A$100, ".tsv"), 0)), "notfound")</f>
        <v>10.1159%2F000323671_SupplementaryTable2.tsv</v>
      </c>
      <c r="Q78" s="1" t="s">
        <v>56</v>
      </c>
    </row>
    <row r="79" ht="15.75" customHeight="1">
      <c r="A79" s="1" t="s">
        <v>309</v>
      </c>
      <c r="D79" s="1" t="s">
        <v>45</v>
      </c>
      <c r="E79" t="str">
        <f t="shared" si="91"/>
        <v>2</v>
      </c>
      <c r="F79" t="str">
        <f t="shared" si="92"/>
        <v>Turner_etal_2016</v>
      </c>
      <c r="G79" t="str">
        <f t="shared" si="93"/>
        <v>Turner</v>
      </c>
      <c r="H79" t="str">
        <f t="shared" si="94"/>
        <v>etal</v>
      </c>
      <c r="I79" t="str">
        <f t="shared" si="95"/>
        <v>2016</v>
      </c>
      <c r="J79" t="str">
        <f t="shared" si="106"/>
        <v>10.1159/000446762</v>
      </c>
      <c r="K79" t="str">
        <f t="shared" si="96"/>
        <v>Turner_etal_2016_Table1</v>
      </c>
      <c r="L79" t="str">
        <f t="shared" si="97"/>
        <v>10.1159%2F000446762_Table1</v>
      </c>
      <c r="M79" t="str">
        <f t="array" ref="M79">IFERROR(INDEX(FileList!$A$1:$A$100, MATCH(L79, _xlfn.TEXTBEFORE(FileList!$A$1:$A$100, ".tsv"), 0)), "notfound")</f>
        <v>notfound</v>
      </c>
      <c r="N79" s="1" t="s">
        <v>310</v>
      </c>
      <c r="Y79" s="1" t="s">
        <v>311</v>
      </c>
    </row>
    <row r="80" ht="15.75" customHeight="1">
      <c r="A80" s="1" t="s">
        <v>312</v>
      </c>
      <c r="D80" s="1" t="s">
        <v>313</v>
      </c>
      <c r="E80" t="str">
        <f t="shared" si="91"/>
        <v>1</v>
      </c>
      <c r="F80" t="str">
        <f t="shared" si="92"/>
        <v>Wilman_etal_2014</v>
      </c>
      <c r="G80" t="str">
        <f t="shared" si="93"/>
        <v>Wilman</v>
      </c>
      <c r="H80" t="str">
        <f t="shared" si="94"/>
        <v>etal</v>
      </c>
      <c r="I80" t="str">
        <f t="shared" si="95"/>
        <v>2014</v>
      </c>
      <c r="J80" t="str">
        <f t="shared" si="106"/>
        <v>10.1890/13-1917.1</v>
      </c>
      <c r="K80" t="str">
        <f t="shared" si="96"/>
        <v>Wilman_etal_2014_MamFuncDat.txt</v>
      </c>
      <c r="L80" t="str">
        <f t="shared" si="97"/>
        <v>10.1890%2F13-1917.1_MamFuncDat.txt</v>
      </c>
      <c r="M80" t="str">
        <f t="array" ref="M80">IFERROR(INDEX(FileList!$A$1:$A$100, MATCH(L80, _xlfn.TEXTBEFORE(FileList!$A$1:$A$100, ".tsv"), 0)), "notfound")</f>
        <v>notfound</v>
      </c>
    </row>
    <row r="81" ht="15.75" customHeight="1">
      <c r="A81" s="1" t="s">
        <v>314</v>
      </c>
      <c r="D81" s="1" t="s">
        <v>315</v>
      </c>
      <c r="E81" t="str">
        <f t="shared" si="91"/>
        <v>7</v>
      </c>
      <c r="F81" t="str">
        <f t="shared" si="92"/>
        <v>Wimberly_etal_2021</v>
      </c>
      <c r="G81" t="str">
        <f t="shared" si="93"/>
        <v>Wimberly</v>
      </c>
      <c r="H81" t="str">
        <f t="shared" si="94"/>
        <v>etal</v>
      </c>
      <c r="I81" t="str">
        <f t="shared" si="95"/>
        <v>2021</v>
      </c>
      <c r="J81" t="str">
        <f t="shared" si="106"/>
        <v>10.1098/rspb.2021.0937</v>
      </c>
      <c r="K81" t="str">
        <f t="shared" si="96"/>
        <v>Wimberly_etal_2021_mammalgait.txt</v>
      </c>
      <c r="L81" t="str">
        <f t="shared" si="97"/>
        <v>10.1098%2Frspb.2021.0937_mammalgait.txt</v>
      </c>
      <c r="M81" t="str">
        <f t="array" ref="M81">IFERROR(INDEX(FileList!$A$1:$A$100, MATCH(L81, _xlfn.TEXTBEFORE(FileList!$A$1:$A$100, ".tsv"), 0)), "notfound")</f>
        <v>notfound</v>
      </c>
      <c r="P81" s="1" t="s">
        <v>165</v>
      </c>
    </row>
    <row r="82">
      <c r="A82" s="1" t="s">
        <v>316</v>
      </c>
      <c r="D82" s="1" t="s">
        <v>317</v>
      </c>
      <c r="E82" t="str">
        <f t="shared" si="91"/>
        <v>5</v>
      </c>
      <c r="F82" t="str">
        <f t="shared" si="92"/>
        <v>Winkler_Bryant_2021</v>
      </c>
      <c r="G82" t="str">
        <f t="shared" si="93"/>
        <v>Winkler</v>
      </c>
      <c r="H82" t="str">
        <f t="shared" si="94"/>
        <v>Bryant</v>
      </c>
      <c r="I82" t="str">
        <f t="shared" si="95"/>
        <v>2021</v>
      </c>
      <c r="J82" t="str">
        <f t="shared" si="106"/>
        <v>10.1080/09524622.2021.1905065</v>
      </c>
      <c r="K82" t="str">
        <f t="shared" si="96"/>
        <v>Winkler_Bryant_2021_Figure1</v>
      </c>
      <c r="L82" t="str">
        <f t="shared" si="97"/>
        <v>10.1080%2F09524622.2021.1905065_Figure1</v>
      </c>
      <c r="M82" t="str">
        <f t="array" ref="M82">IFERROR(INDEX(FileList!$A$1:$A$100, MATCH(L82, _xlfn.TEXTBEFORE(FileList!$A$1:$A$100, ".tsv"), 0)), "notfound")</f>
        <v>notfound</v>
      </c>
      <c r="P82" s="1" t="s">
        <v>165</v>
      </c>
      <c r="Q82" s="1" t="s">
        <v>99</v>
      </c>
      <c r="R82" s="7"/>
      <c r="T82" s="1" t="str">
        <f>IF(S82="N", R82, "write file name")</f>
        <v>write file name</v>
      </c>
      <c r="U82" s="1" t="s">
        <v>90</v>
      </c>
      <c r="V82" s="1" t="s">
        <v>318</v>
      </c>
      <c r="Y82" s="1" t="s">
        <v>319</v>
      </c>
      <c r="AE82" s="1" t="s">
        <v>64</v>
      </c>
    </row>
    <row r="83">
      <c r="A83" s="1" t="s">
        <v>320</v>
      </c>
      <c r="D83" s="1" t="s">
        <v>45</v>
      </c>
      <c r="E83" t="str">
        <f t="shared" si="91"/>
        <v>0</v>
      </c>
      <c r="F83" t="str">
        <f t="shared" si="92"/>
        <v>Young_etal_2013</v>
      </c>
      <c r="G83" t="str">
        <f t="shared" si="93"/>
        <v>Young</v>
      </c>
      <c r="H83" t="str">
        <f t="shared" si="94"/>
        <v>etal</v>
      </c>
      <c r="I83" t="str">
        <f t="shared" si="95"/>
        <v>2013</v>
      </c>
      <c r="J83" t="str">
        <f t="shared" si="106"/>
        <v>10.3389/fncir.2013.00030</v>
      </c>
      <c r="K83" t="str">
        <f t="shared" si="96"/>
        <v>Young_etal_2013_Table1</v>
      </c>
      <c r="L83" t="str">
        <f t="shared" si="97"/>
        <v>10.3389%2Ffncir.2013.00030_Table1</v>
      </c>
      <c r="M83" t="str">
        <f t="array" ref="M83">IFERROR(INDEX(FileList!$A$1:$A$100, MATCH(L83, _xlfn.TEXTBEFORE(FileList!$A$1:$A$100, ".tsv"), 0)), "notfound")</f>
        <v>notfound</v>
      </c>
      <c r="P83" s="1" t="s">
        <v>286</v>
      </c>
      <c r="Q83" s="1" t="s">
        <v>99</v>
      </c>
      <c r="R83" s="7"/>
      <c r="T83" s="1" t="str">
        <f>IF(S83="N", R83, "write file name")</f>
        <v>write file name</v>
      </c>
      <c r="U83" s="1" t="s">
        <v>90</v>
      </c>
      <c r="V83" s="1" t="s">
        <v>36</v>
      </c>
      <c r="Y83" s="1" t="s">
        <v>321</v>
      </c>
      <c r="Z83" s="1" t="s">
        <v>40</v>
      </c>
      <c r="AE83" s="1" t="s">
        <v>85</v>
      </c>
    </row>
  </sheetData>
  <hyperlinks>
    <hyperlink ref="X12" r:id="rId1h" display="https://elifesciences.org/download/aHR0cHM6Ly9jZG4uZWxpZmVzY2llbmNlcy5vcmcvYXJ0aWNsZXMvNzc4NzUvZWxpZmUtNzc4NzUtdjEucGRmP2Nhbm9uaWNhbFVyaT1odHRwczovL2VsaWZlc2NpZW5jZXMub3JnL2FydGljbGVzLzc3ODc1/elife-77875-v1.pdf?_hash=NStjcL9fTlmy3AQDwSiM0YgMVB3UYjO8nDg0UbwN5gM%3D"/>
    <hyperlink ref="X11" r:id="rId2h"/>
    <hyperlink ref="X14" r:id="rId3h"/>
    <hyperlink ref="X20" r:id="rId4h"/>
    <hyperlink ref="X26" r:id="rId5h"/>
    <hyperlink ref="X71" r:id="rId6h"/>
    <hyperlink ref="X74" r:id="rId7h"/>
    <hyperlink ref="X42" r:id="rId8h"/>
    <hyperlink ref="X31:X36" r:id="rId9h" display="https://karger.com/bbe/article-pdf/86/3-4/145/2264694/000437413.pdf"/>
    <hyperlink ref="X66" r:id="rId10h"/>
    <hyperlink ref="X65" r:id="rId11h"/>
    <hyperlink ref="X61" r:id="rId12h"/>
    <hyperlink ref="X28" r:id="rId13h"/>
    <hyperlink ref="X29" r:id="rId14h"/>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B8" sqref="B8"/>
    </sheetView>
  </sheetViews>
  <sheetFormatPr defaultRowHeight="15.0" baseColWidth="10"/>
  <cols>
    <col min="1" max="1" width="26.125" hidden="0" customWidth="1"/>
  </cols>
  <sheetData>
    <row r="1">
      <c r="A1" t="s">
        <v>322</v>
      </c>
    </row>
    <row r="2">
      <c r="A2" t="s">
        <v>323</v>
      </c>
    </row>
    <row r="3">
      <c r="A3" s="10" t="s">
        <v>324</v>
      </c>
      <c r="B3" t="s">
        <v>325</v>
      </c>
    </row>
    <row r="4">
      <c r="A4" s="10" t="s">
        <v>326</v>
      </c>
      <c r="B4" t="s">
        <v>327</v>
      </c>
    </row>
    <row r="5">
      <c r="A5" s="10" t="s">
        <v>328</v>
      </c>
      <c r="B5" t="s">
        <v>329</v>
      </c>
    </row>
    <row r="6">
      <c r="A6" s="10" t="s">
        <v>330</v>
      </c>
      <c r="B6" t="s">
        <v>331</v>
      </c>
    </row>
    <row r="7">
      <c r="A7" s="10" t="s">
        <v>332</v>
      </c>
      <c r="B7" t="s">
        <v>333</v>
      </c>
    </row>
    <row r="8">
      <c r="A8" s="10" t="s">
        <v>334</v>
      </c>
      <c r="B8" t="s">
        <v>335</v>
      </c>
    </row>
    <row r="9">
      <c r="A9" s="10" t="s">
        <v>336</v>
      </c>
      <c r="B9" t="s">
        <v>337</v>
      </c>
    </row>
    <row r="10">
      <c r="A10" s="10" t="s">
        <v>338</v>
      </c>
      <c r="B10" t="s">
        <v>339</v>
      </c>
    </row>
    <row r="11">
      <c r="A11" s="10" t="s">
        <v>340</v>
      </c>
      <c r="B11" t="s">
        <v>341</v>
      </c>
    </row>
    <row r="12" ht="17.100000000000001" customHeight="1">
      <c r="A12" s="12" t="s">
        <v>342</v>
      </c>
      <c r="B12" t="s">
        <v>343</v>
      </c>
    </row>
    <row r="13">
      <c r="A13" s="11" t="s">
        <v>344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election activeCell="G35" sqref="G35"/>
    </sheetView>
  </sheetViews>
  <sheetFormatPr defaultRowHeight="15.0" baseColWidth="10"/>
  <cols>
    <col min="1" max="1" width="1.875" hidden="0" customWidth="1"/>
    <col min="2" max="2" width="126" hidden="0" customWidth="1"/>
  </cols>
  <sheetData>
    <row r="1">
      <c r="A1" t="s">
        <v>345</v>
      </c>
    </row>
    <row r="2">
      <c r="C2" t="s">
        <v>346</v>
      </c>
    </row>
    <row r="3">
      <c r="A3" t="n">
        <v>1</v>
      </c>
      <c r="B3" t="s">
        <v>347</v>
      </c>
      <c r="C3" t="s">
        <v>348</v>
      </c>
    </row>
    <row r="4">
      <c r="A4" t="n">
        <v>2</v>
      </c>
      <c r="B4" t="s">
        <v>349</v>
      </c>
      <c r="C4" t="s">
        <v>350</v>
      </c>
    </row>
    <row r="5">
      <c r="A5" t="n">
        <v>3</v>
      </c>
      <c r="B5" t="s">
        <v>351</v>
      </c>
      <c r="C5" t="s">
        <v>352</v>
      </c>
    </row>
    <row r="6">
      <c r="A6" t="n">
        <v>4</v>
      </c>
      <c r="B6" t="s">
        <v>353</v>
      </c>
      <c r="C6" t="s">
        <v>354</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416</v>
      </c>
    </row>
    <row r="2">
      <c r="A2" t="s">
        <v>417</v>
      </c>
    </row>
    <row r="3">
      <c r="A3" t="s">
        <v>418</v>
      </c>
    </row>
    <row r="4">
      <c r="A4" t="s">
        <v>419</v>
      </c>
    </row>
    <row r="5">
      <c r="A5" t="s">
        <v>420</v>
      </c>
    </row>
    <row r="6">
      <c r="A6" t="s">
        <v>421</v>
      </c>
    </row>
    <row r="7">
      <c r="A7" t="s">
        <v>422</v>
      </c>
    </row>
    <row r="8">
      <c r="A8" t="s">
        <v>423</v>
      </c>
    </row>
    <row r="9">
      <c r="A9" t="s">
        <v>424</v>
      </c>
    </row>
    <row r="10">
      <c r="A10" t="s">
        <v>425</v>
      </c>
    </row>
    <row r="11">
      <c r="A11" t="s">
        <v>426</v>
      </c>
    </row>
    <row r="12">
      <c r="A12" t="s">
        <v>427</v>
      </c>
    </row>
    <row r="13">
      <c r="A13" t="s">
        <v>428</v>
      </c>
    </row>
    <row r="14">
      <c r="A14" t="s">
        <v>429</v>
      </c>
    </row>
    <row r="15">
      <c r="A15" t="s">
        <v>430</v>
      </c>
    </row>
    <row r="16">
      <c r="A16" t="s">
        <v>431</v>
      </c>
    </row>
    <row r="17">
      <c r="A17" t="s">
        <v>432</v>
      </c>
    </row>
    <row r="18">
      <c r="A18" t="s">
        <v>433</v>
      </c>
    </row>
    <row r="19">
      <c r="A19" t="s">
        <v>434</v>
      </c>
    </row>
    <row r="20">
      <c r="A20" t="s">
        <v>435</v>
      </c>
    </row>
    <row r="21">
      <c r="A21" t="s">
        <v>436</v>
      </c>
    </row>
    <row r="22">
      <c r="A22" t="s">
        <v>437</v>
      </c>
    </row>
    <row r="23">
      <c r="A23" t="s">
        <v>438</v>
      </c>
    </row>
    <row r="24">
      <c r="A24" t="s">
        <v>439</v>
      </c>
    </row>
    <row r="25">
      <c r="A25" t="s">
        <v>440</v>
      </c>
    </row>
    <row r="26">
      <c r="A26" t="s">
        <v>441</v>
      </c>
    </row>
    <row r="27">
      <c r="A27" t="s">
        <v>442</v>
      </c>
    </row>
    <row r="28">
      <c r="A28" t="s">
        <v>443</v>
      </c>
    </row>
    <row r="29">
      <c r="A29" t="s">
        <v>444</v>
      </c>
    </row>
    <row r="30">
      <c r="A30" t="s">
        <v>445</v>
      </c>
    </row>
    <row r="31">
      <c r="A31" t="s">
        <v>446</v>
      </c>
    </row>
    <row r="32">
      <c r="A32" t="s">
        <v>447</v>
      </c>
    </row>
    <row r="33">
      <c r="A33" t="s">
        <v>448</v>
      </c>
    </row>
    <row r="34">
      <c r="A34" t="s">
        <v>449</v>
      </c>
    </row>
    <row r="35">
      <c r="A35" t="s">
        <v>450</v>
      </c>
    </row>
    <row r="36">
      <c r="A36" t="s">
        <v>451</v>
      </c>
    </row>
    <row r="37">
      <c r="A37" t="s">
        <v>452</v>
      </c>
    </row>
    <row r="38">
      <c r="A38" t="s">
        <v>453</v>
      </c>
    </row>
    <row r="39">
      <c r="A39" t="s">
        <v>454</v>
      </c>
    </row>
    <row r="40">
      <c r="A40" t="s">
        <v>455</v>
      </c>
    </row>
    <row r="41">
      <c r="A41" t="s">
        <v>456</v>
      </c>
    </row>
    <row r="42">
      <c r="A42" t="s">
        <v>457</v>
      </c>
    </row>
    <row r="43">
      <c r="A43" t="s">
        <v>458</v>
      </c>
    </row>
    <row r="44">
      <c r="A44" t="s">
        <v>459</v>
      </c>
    </row>
    <row r="45">
      <c r="A45" t="s">
        <v>460</v>
      </c>
    </row>
    <row r="46">
      <c r="A46" t="s">
        <v>461</v>
      </c>
    </row>
    <row r="47">
      <c r="A47" t="s">
        <v>462</v>
      </c>
    </row>
    <row r="48">
      <c r="A48" t="s">
        <v>463</v>
      </c>
    </row>
    <row r="49">
      <c r="A49" t="s">
        <v>464</v>
      </c>
    </row>
    <row r="50">
      <c r="A50" t="s">
        <v>465</v>
      </c>
    </row>
    <row r="51">
      <c r="A51" t="s">
        <v>466</v>
      </c>
    </row>
    <row r="52">
      <c r="A52" t="s">
        <v>467</v>
      </c>
    </row>
    <row r="53">
      <c r="A53" t="s">
        <v>468</v>
      </c>
    </row>
    <row r="54">
      <c r="A54" t="s">
        <v>469</v>
      </c>
    </row>
    <row r="55">
      <c r="A55" t="s">
        <v>470</v>
      </c>
    </row>
    <row r="56">
      <c r="A56" t="s">
        <v>471</v>
      </c>
    </row>
    <row r="57">
      <c r="A57" t="s">
        <v>472</v>
      </c>
    </row>
    <row r="58">
      <c r="A58" t="s">
        <v>473</v>
      </c>
    </row>
    <row r="59">
      <c r="A59" t="s">
        <v>474</v>
      </c>
    </row>
    <row r="60">
      <c r="A60" t="s">
        <v>475</v>
      </c>
    </row>
    <row r="61">
      <c r="A61" t="s">
        <v>476</v>
      </c>
    </row>
    <row r="62">
      <c r="A62" t="s">
        <v>477</v>
      </c>
    </row>
    <row r="63">
      <c r="A63" t="s">
        <v>478</v>
      </c>
    </row>
  </sheetData>
  <pageMargins left="0.7" right="0.7" top="0.75" bottom="0.75" header="0.3" footer="0.3"/>
  <pageSetup paperSize="9" orientation="portrait" horizontalDpi="300" verticalDpi="3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852AD2E3-A740-405C-B830-41841649E2BF}"/>
</file>

<file path=customXml/itemProps2.xml><?xml version="1.0" encoding="utf-8"?>
<ds:datastoreItem xmlns:ds="http://schemas.openxmlformats.org/officeDocument/2006/customXml" ds:itemID="{4C392C64-A0FD-42C9-846B-692179BFC536}"/>
</file>

<file path=customXml/itemProps3.xml><?xml version="1.0" encoding="utf-8"?>
<ds:datastoreItem xmlns:ds="http://schemas.openxmlformats.org/officeDocument/2006/customXml" ds:itemID="{4CFA786A-F7D5-4D6E-8551-CD51EFC34D24}"/>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de Sousa</dc:creator>
  <cp:keywords/>
  <dc:description/>
  <cp:lastModifiedBy>Alexandra de Sousa</cp:lastModifiedBy>
  <cp:revision/>
  <dcterms:created xsi:type="dcterms:W3CDTF">2023-10-04T18:06:19Z</dcterms:created>
  <dcterms:modified xsi:type="dcterms:W3CDTF">2026-05-27T23:21:44Z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