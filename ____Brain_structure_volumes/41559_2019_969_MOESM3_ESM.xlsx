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18"/>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____Brain_structure_volumes/"/>
    </mc:Choice>
  </mc:AlternateContent>
  <xr:revisionPtr revIDLastSave="3" documentId="11_9E7AEA465CE2A27D30FE570E661FECA6346F9334" xr6:coauthVersionLast="47" xr6:coauthVersionMax="47" xr10:uidLastSave="{AA202BD4-9AC7-44B6-AD35-0CD67B8D1431}"/>
  <bookViews>
    <workbookView xWindow="36120" yWindow="-7080" windowWidth="36840" windowHeight="21100" xr2:uid="{00000000-000D-0000-FFFF-FFFF00000000}"/>
  </bookViews>
  <sheets>
    <sheet name="Brain Region Data (mm3)" sheetId="1" r:id="rId1"/>
    <sheet name="Brain Region Data Notes" sheetId="2" r:id="rId2"/>
    <sheet name="Activity Period Data" sheetId="3" r:id="rId3"/>
    <sheet name="Diet Data" sheetId="4" r:id="rId4"/>
    <sheet name="DQI data" sheetId="5" r:id="rId5"/>
    <sheet name="Social System Data" sheetId="6" r:id="rId6"/>
    <sheet name="Group Size Data (aggregated)" sheetId="7" r:id="rId7"/>
    <sheet name="Group Size Data (from 38)" sheetId="8" r:id="rId8"/>
    <sheet name="Source Refs (from 38)" sheetId="10" r:id="rId9"/>
  </sheets>
  <definedNames>
    <definedName name="_xlnm._FilterDatabase" localSheetId="2" hidden="1">'Activity Period Data'!$A$1:$D$73</definedName>
    <definedName name="_xlnm._FilterDatabase" localSheetId="0" hidden="1">'Brain Region Data (mm3)'!$A$1:$AL$400</definedName>
    <definedName name="_xlnm._FilterDatabase" localSheetId="3" hidden="1">'Diet Data'!$A$1:$E$73</definedName>
    <definedName name="_xlnm._FilterDatabase" localSheetId="4" hidden="1">'DQI data'!$A$1:$G$73</definedName>
    <definedName name="_xlnm._FilterDatabase" localSheetId="6" hidden="1">'Group Size Data (aggregated)'!$A$1:$C$73</definedName>
    <definedName name="_xlnm._FilterDatabase" localSheetId="7" hidden="1">'Group Size Data (from 38)'!$A$1:$G$937</definedName>
    <definedName name="_xlnm._FilterDatabase" localSheetId="5" hidden="1">'Social System Data'!$A$1:$E$73</definedName>
    <definedName name="_xlnm.Extract" localSheetId="7">'Group Size Data (from 38)'!#REF!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7" i="8" l="1"/>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A123" i="8" l="1"/>
  <c r="A180" i="8"/>
  <c r="A67" i="8"/>
  <c r="A131" i="8"/>
  <c r="A28" i="8"/>
  <c r="A70" i="8"/>
  <c r="A39" i="8"/>
  <c r="A95" i="8"/>
  <c r="A159" i="8"/>
  <c r="A14" i="8"/>
  <c r="A102" i="8"/>
  <c r="A64" i="8"/>
  <c r="A20" i="8"/>
  <c r="A92" i="8"/>
  <c r="A126" i="8"/>
  <c r="A17" i="8"/>
  <c r="A105" i="8"/>
  <c r="A369" i="8"/>
  <c r="A860" i="8"/>
  <c r="A852" i="8"/>
  <c r="A844" i="8"/>
  <c r="A836" i="8"/>
  <c r="A828" i="8"/>
  <c r="A820" i="8"/>
  <c r="A812" i="8"/>
  <c r="A804" i="8"/>
  <c r="A796" i="8"/>
  <c r="A788" i="8"/>
  <c r="A780" i="8"/>
  <c r="A772" i="8"/>
  <c r="A764" i="8"/>
  <c r="A756" i="8"/>
  <c r="A748" i="8"/>
  <c r="A740" i="8"/>
  <c r="A732" i="8"/>
  <c r="A724" i="8"/>
  <c r="A716" i="8"/>
  <c r="A708" i="8"/>
  <c r="A700" i="8"/>
  <c r="A692" i="8"/>
  <c r="A684" i="8"/>
  <c r="A676" i="8"/>
  <c r="A668" i="8"/>
  <c r="A660" i="8"/>
  <c r="A652" i="8"/>
  <c r="A644" i="8"/>
  <c r="A636" i="8"/>
  <c r="A628" i="8"/>
  <c r="A620" i="8"/>
  <c r="A612" i="8"/>
  <c r="A604" i="8"/>
  <c r="A596" i="8"/>
  <c r="A588" i="8"/>
  <c r="A580" i="8"/>
  <c r="A572" i="8"/>
  <c r="A564" i="8"/>
  <c r="A556" i="8"/>
  <c r="A548" i="8"/>
  <c r="A540" i="8"/>
  <c r="A532" i="8"/>
  <c r="A524" i="8"/>
  <c r="A516" i="8"/>
  <c r="A508" i="8"/>
  <c r="A500" i="8"/>
  <c r="A492" i="8"/>
  <c r="A484" i="8"/>
  <c r="A476" i="8"/>
  <c r="A468" i="8"/>
  <c r="A460" i="8"/>
  <c r="A452" i="8"/>
  <c r="A933" i="8"/>
  <c r="A925" i="8"/>
  <c r="A917" i="8"/>
  <c r="A909" i="8"/>
  <c r="A901" i="8"/>
  <c r="A893" i="8"/>
  <c r="A885" i="8"/>
  <c r="A877" i="8"/>
  <c r="A869" i="8"/>
  <c r="A861" i="8"/>
  <c r="A853" i="8"/>
  <c r="A845" i="8"/>
  <c r="A837" i="8"/>
  <c r="A829" i="8"/>
  <c r="A821" i="8"/>
  <c r="A813" i="8"/>
  <c r="A805" i="8"/>
  <c r="A797" i="8"/>
  <c r="A789" i="8"/>
  <c r="A781" i="8"/>
  <c r="A773" i="8"/>
  <c r="A765" i="8"/>
  <c r="A757" i="8"/>
  <c r="A749" i="8"/>
  <c r="A741" i="8"/>
  <c r="A733" i="8"/>
  <c r="A725" i="8"/>
  <c r="A717" i="8"/>
  <c r="A709" i="8"/>
  <c r="A701" i="8"/>
  <c r="A693" i="8"/>
  <c r="A685" i="8"/>
  <c r="A677" i="8"/>
  <c r="A669" i="8"/>
  <c r="A661" i="8"/>
  <c r="A653" i="8"/>
  <c r="A645" i="8"/>
  <c r="A637" i="8"/>
  <c r="A629" i="8"/>
  <c r="A621" i="8"/>
  <c r="A613" i="8"/>
  <c r="A605" i="8"/>
  <c r="A597" i="8"/>
  <c r="A589" i="8"/>
  <c r="A581" i="8"/>
  <c r="A573" i="8"/>
  <c r="A565" i="8"/>
  <c r="A557" i="8"/>
  <c r="A549" i="8"/>
  <c r="A541" i="8"/>
  <c r="A533" i="8"/>
  <c r="A525" i="8"/>
  <c r="A517" i="8"/>
  <c r="A509" i="8"/>
  <c r="A501" i="8"/>
  <c r="A934" i="8"/>
  <c r="A453" i="8"/>
  <c r="A444" i="8"/>
  <c r="A412" i="8"/>
  <c r="A380" i="8"/>
  <c r="A348" i="8"/>
  <c r="A316" i="8"/>
  <c r="A284" i="8"/>
  <c r="A937" i="8"/>
  <c r="A921" i="8"/>
  <c r="A905" i="8"/>
  <c r="A889" i="8"/>
  <c r="A873" i="8"/>
  <c r="A857" i="8"/>
  <c r="A841" i="8"/>
  <c r="A825" i="8"/>
  <c r="A809" i="8"/>
  <c r="A793" i="8"/>
  <c r="A777" i="8"/>
  <c r="A761" i="8"/>
  <c r="A745" i="8"/>
  <c r="A729" i="8"/>
  <c r="A713" i="8"/>
  <c r="A930" i="8"/>
  <c r="A914" i="8"/>
  <c r="A898" i="8"/>
  <c r="A882" i="8"/>
  <c r="A866" i="8"/>
  <c r="A850" i="8"/>
  <c r="A834" i="8"/>
  <c r="A818" i="8"/>
  <c r="A802" i="8"/>
  <c r="A786" i="8"/>
  <c r="A770" i="8"/>
  <c r="A754" i="8"/>
  <c r="A738" i="8"/>
  <c r="A722" i="8"/>
  <c r="A706" i="8"/>
  <c r="A690" i="8"/>
  <c r="A674" i="8"/>
  <c r="A658" i="8"/>
  <c r="A642" i="8"/>
  <c r="A626" i="8"/>
  <c r="A610" i="8"/>
  <c r="A594" i="8"/>
  <c r="A578" i="8"/>
  <c r="A562" i="8"/>
  <c r="A546" i="8"/>
  <c r="A530" i="8"/>
  <c r="A514" i="8"/>
  <c r="A498" i="8"/>
  <c r="A489" i="8"/>
  <c r="A923" i="8"/>
  <c r="A891" i="8"/>
  <c r="A859" i="8"/>
  <c r="A827" i="8"/>
  <c r="A795" i="8"/>
  <c r="A763" i="8"/>
  <c r="A731" i="8"/>
  <c r="A699" i="8"/>
  <c r="A682" i="8"/>
  <c r="A665" i="8"/>
  <c r="A609" i="8"/>
  <c r="A569" i="8"/>
  <c r="A555" i="8"/>
  <c r="A545" i="8"/>
  <c r="A505" i="8"/>
  <c r="A485" i="8"/>
  <c r="A473" i="8"/>
  <c r="A457" i="8"/>
  <c r="A437" i="8"/>
  <c r="A404" i="8"/>
  <c r="A371" i="8"/>
  <c r="A365" i="8"/>
  <c r="A332" i="8"/>
  <c r="A317" i="8"/>
  <c r="A293" i="8"/>
  <c r="A281" i="8"/>
  <c r="A210" i="8"/>
  <c r="A146" i="8"/>
  <c r="A82" i="8"/>
  <c r="A926" i="8"/>
  <c r="A894" i="8"/>
  <c r="A862" i="8"/>
  <c r="A830" i="8"/>
  <c r="A798" i="8"/>
  <c r="A766" i="8"/>
  <c r="A734" i="8"/>
  <c r="A702" i="8"/>
  <c r="A657" i="8"/>
  <c r="A619" i="8"/>
  <c r="A602" i="8"/>
  <c r="A595" i="8"/>
  <c r="A558" i="8"/>
  <c r="A538" i="8"/>
  <c r="A531" i="8"/>
  <c r="A494" i="8"/>
  <c r="A491" i="8"/>
  <c r="A443" i="8"/>
  <c r="A434" i="8"/>
  <c r="A428" i="8"/>
  <c r="A422" i="8"/>
  <c r="A413" i="8"/>
  <c r="A410" i="8"/>
  <c r="A401" i="8"/>
  <c r="A395" i="8"/>
  <c r="A389" i="8"/>
  <c r="A377" i="8"/>
  <c r="A362" i="8"/>
  <c r="A356" i="8"/>
  <c r="A353" i="8"/>
  <c r="A329" i="8"/>
  <c r="A323" i="8"/>
  <c r="A277" i="8"/>
  <c r="A257" i="8"/>
  <c r="A246" i="8"/>
  <c r="A243" i="8"/>
  <c r="A232" i="8"/>
  <c r="A218" i="8"/>
  <c r="A207" i="8"/>
  <c r="A204" i="8"/>
  <c r="A193" i="8"/>
  <c r="A929" i="8"/>
  <c r="A897" i="8"/>
  <c r="A865" i="8"/>
  <c r="A833" i="8"/>
  <c r="A801" i="8"/>
  <c r="A769" i="8"/>
  <c r="A737" i="8"/>
  <c r="A705" i="8"/>
  <c r="A667" i="8"/>
  <c r="A650" i="8"/>
  <c r="A633" i="8"/>
  <c r="A622" i="8"/>
  <c r="A585" i="8"/>
  <c r="A571" i="8"/>
  <c r="A561" i="8"/>
  <c r="A521" i="8"/>
  <c r="A507" i="8"/>
  <c r="A497" i="8"/>
  <c r="A478" i="8"/>
  <c r="A475" i="8"/>
  <c r="A469" i="8"/>
  <c r="A466" i="8"/>
  <c r="A425" i="8"/>
  <c r="A419" i="8"/>
  <c r="A373" i="8"/>
  <c r="A340" i="8"/>
  <c r="A334" i="8"/>
  <c r="A307" i="8"/>
  <c r="A301" i="8"/>
  <c r="A286" i="8"/>
  <c r="A283" i="8"/>
  <c r="A274" i="8"/>
  <c r="A268" i="8"/>
  <c r="A254" i="8"/>
  <c r="A251" i="8"/>
  <c r="A240" i="8"/>
  <c r="A226" i="8"/>
  <c r="A215" i="8"/>
  <c r="A212" i="8"/>
  <c r="A907" i="8"/>
  <c r="A875" i="8"/>
  <c r="A843" i="8"/>
  <c r="A811" i="8"/>
  <c r="A779" i="8"/>
  <c r="A747" i="8"/>
  <c r="A715" i="8"/>
  <c r="A673" i="8"/>
  <c r="A635" i="8"/>
  <c r="A618" i="8"/>
  <c r="A601" i="8"/>
  <c r="A587" i="8"/>
  <c r="A577" i="8"/>
  <c r="A537" i="8"/>
  <c r="A523" i="8"/>
  <c r="A513" i="8"/>
  <c r="A493" i="8"/>
  <c r="A445" i="8"/>
  <c r="A421" i="8"/>
  <c r="A409" i="8"/>
  <c r="A388" i="8"/>
  <c r="A309" i="8"/>
  <c r="A276" i="8"/>
  <c r="A242" i="8"/>
  <c r="A178" i="8"/>
  <c r="A114" i="8"/>
  <c r="A922" i="8"/>
  <c r="A858" i="8"/>
  <c r="A794" i="8"/>
  <c r="A730" i="8"/>
  <c r="A689" i="8"/>
  <c r="A641" i="8"/>
  <c r="A634" i="8"/>
  <c r="A486" i="8"/>
  <c r="A430" i="8"/>
  <c r="A341" i="8"/>
  <c r="A331" i="8"/>
  <c r="A294" i="8"/>
  <c r="A250" i="8"/>
  <c r="A211" i="8"/>
  <c r="A201" i="8"/>
  <c r="A574" i="8"/>
  <c r="A563" i="8"/>
  <c r="A465" i="8"/>
  <c r="A458" i="8"/>
  <c r="A405" i="8"/>
  <c r="A358" i="8"/>
  <c r="A324" i="8"/>
  <c r="A300" i="8"/>
  <c r="A273" i="8"/>
  <c r="A214" i="8"/>
  <c r="A170" i="8"/>
  <c r="A161" i="8"/>
  <c r="A140" i="8"/>
  <c r="A122" i="8"/>
  <c r="A104" i="8"/>
  <c r="A66" i="8"/>
  <c r="A849" i="8"/>
  <c r="A778" i="8"/>
  <c r="A721" i="8"/>
  <c r="A666" i="8"/>
  <c r="A606" i="8"/>
  <c r="A910" i="8"/>
  <c r="A846" i="8"/>
  <c r="A782" i="8"/>
  <c r="A718" i="8"/>
  <c r="A670" i="8"/>
  <c r="A651" i="8"/>
  <c r="A603" i="8"/>
  <c r="A570" i="8"/>
  <c r="A526" i="8"/>
  <c r="A461" i="8"/>
  <c r="A436" i="8"/>
  <c r="A381" i="8"/>
  <c r="A337" i="8"/>
  <c r="A269" i="8"/>
  <c r="A259" i="8"/>
  <c r="A236" i="8"/>
  <c r="A223" i="8"/>
  <c r="A220" i="8"/>
  <c r="A194" i="8"/>
  <c r="A182" i="8"/>
  <c r="A179" i="8"/>
  <c r="A143" i="8"/>
  <c r="A913" i="8"/>
  <c r="A906" i="8"/>
  <c r="A842" i="8"/>
  <c r="A785" i="8"/>
  <c r="A714" i="8"/>
  <c r="A681" i="8"/>
  <c r="A625" i="8"/>
  <c r="A529" i="8"/>
  <c r="A522" i="8"/>
  <c r="A429" i="8"/>
  <c r="A890" i="8"/>
  <c r="A826" i="8"/>
  <c r="A762" i="8"/>
  <c r="A698" i="8"/>
  <c r="A617" i="8"/>
  <c r="A554" i="8"/>
  <c r="A547" i="8"/>
  <c r="A481" i="8"/>
  <c r="A474" i="8"/>
  <c r="A467" i="8"/>
  <c r="A397" i="8"/>
  <c r="A370" i="8"/>
  <c r="A357" i="8"/>
  <c r="A346" i="8"/>
  <c r="A275" i="8"/>
  <c r="A265" i="8"/>
  <c r="A172" i="8"/>
  <c r="A154" i="8"/>
  <c r="A136" i="8"/>
  <c r="A118" i="8"/>
  <c r="A115" i="8"/>
  <c r="A2" i="8"/>
  <c r="A510" i="8"/>
  <c r="A499" i="8"/>
  <c r="A477" i="8"/>
  <c r="A470" i="8"/>
  <c r="A435" i="8"/>
  <c r="A414" i="8"/>
  <c r="A68" i="8"/>
  <c r="A80" i="8"/>
  <c r="A99" i="8"/>
  <c r="A132" i="8"/>
  <c r="A168" i="8"/>
  <c r="A288" i="8"/>
  <c r="A400" i="8"/>
  <c r="A579" i="8"/>
  <c r="A65" i="8"/>
  <c r="A106" i="8"/>
  <c r="A144" i="8"/>
  <c r="A234" i="8"/>
  <c r="A248" i="8"/>
  <c r="A285" i="8"/>
  <c r="A299" i="8"/>
  <c r="A379" i="8"/>
  <c r="A454" i="8"/>
  <c r="A840" i="8"/>
  <c r="A9" i="8"/>
  <c r="A24" i="8"/>
  <c r="A40" i="8"/>
  <c r="A78" i="8"/>
  <c r="A103" i="8"/>
  <c r="A124" i="8"/>
  <c r="A137" i="8"/>
  <c r="A151" i="8"/>
  <c r="A155" i="8"/>
  <c r="A162" i="8"/>
  <c r="A165" i="8"/>
  <c r="A176" i="8"/>
  <c r="A183" i="8"/>
  <c r="A190" i="8"/>
  <c r="A216" i="8"/>
  <c r="A238" i="8"/>
  <c r="A252" i="8"/>
  <c r="A270" i="8"/>
  <c r="A278" i="8"/>
  <c r="A282" i="8"/>
  <c r="A289" i="8"/>
  <c r="A321" i="8"/>
  <c r="A325" i="8"/>
  <c r="A372" i="8"/>
  <c r="A420" i="8"/>
  <c r="A490" i="8"/>
  <c r="A502" i="8"/>
  <c r="A506" i="8"/>
  <c r="A638" i="8"/>
  <c r="A806" i="8"/>
  <c r="A810" i="8"/>
  <c r="A817" i="8"/>
  <c r="A34" i="8"/>
  <c r="A53" i="8"/>
  <c r="A69" i="8"/>
  <c r="A88" i="8"/>
  <c r="A121" i="8"/>
  <c r="A141" i="8"/>
  <c r="A148" i="8"/>
  <c r="A169" i="8"/>
  <c r="A198" i="8"/>
  <c r="A205" i="8"/>
  <c r="A209" i="8"/>
  <c r="A227" i="8"/>
  <c r="A231" i="8"/>
  <c r="A267" i="8"/>
  <c r="A311" i="8"/>
  <c r="A318" i="8"/>
  <c r="A376" i="8"/>
  <c r="A387" i="8"/>
  <c r="A417" i="8"/>
  <c r="A451" i="8"/>
  <c r="A483" i="8"/>
  <c r="A553" i="8"/>
  <c r="A712" i="8"/>
  <c r="A814" i="8"/>
  <c r="A30" i="8"/>
  <c r="A96" i="8"/>
  <c r="A116" i="8"/>
  <c r="A164" i="8"/>
  <c r="A382" i="8"/>
  <c r="A393" i="8"/>
  <c r="A590" i="8"/>
  <c r="A27" i="8"/>
  <c r="A43" i="8"/>
  <c r="A109" i="8"/>
  <c r="A158" i="8"/>
  <c r="A230" i="8"/>
  <c r="A255" i="8"/>
  <c r="A335" i="8"/>
  <c r="A427" i="8"/>
  <c r="A462" i="8"/>
  <c r="A649" i="8"/>
  <c r="A6" i="8"/>
  <c r="A75" i="8"/>
  <c r="A91" i="8"/>
  <c r="A113" i="8"/>
  <c r="A130" i="8"/>
  <c r="A25" i="8"/>
  <c r="A41" i="8"/>
  <c r="A50" i="8"/>
  <c r="A107" i="8"/>
  <c r="A152" i="8"/>
  <c r="A166" i="8"/>
  <c r="A177" i="8"/>
  <c r="A191" i="8"/>
  <c r="A202" i="8"/>
  <c r="A213" i="8"/>
  <c r="A239" i="8"/>
  <c r="A308" i="8"/>
  <c r="A322" i="8"/>
  <c r="A363" i="8"/>
  <c r="A542" i="8"/>
  <c r="A627" i="8"/>
  <c r="A904" i="8"/>
  <c r="A10" i="8"/>
  <c r="A16" i="8"/>
  <c r="A32" i="8"/>
  <c r="A38" i="8"/>
  <c r="A54" i="8"/>
  <c r="A60" i="8"/>
  <c r="A76" i="8"/>
  <c r="A79" i="8"/>
  <c r="A89" i="8"/>
  <c r="A98" i="8"/>
  <c r="A101" i="8"/>
  <c r="A111" i="8"/>
  <c r="A128" i="8"/>
  <c r="A163" i="8"/>
  <c r="A174" i="8"/>
  <c r="A184" i="8"/>
  <c r="A199" i="8"/>
  <c r="A228" i="8"/>
  <c r="A264" i="8"/>
  <c r="A305" i="8"/>
  <c r="A312" i="8"/>
  <c r="A326" i="8"/>
  <c r="A330" i="8"/>
  <c r="A441" i="8"/>
  <c r="A480" i="8"/>
  <c r="A515" i="8"/>
  <c r="A539" i="8"/>
  <c r="A686" i="8"/>
  <c r="A870" i="8"/>
  <c r="A874" i="8"/>
  <c r="A881" i="8"/>
  <c r="A8" i="8"/>
  <c r="A33" i="8"/>
  <c r="A71" i="8"/>
  <c r="A87" i="8"/>
  <c r="A120" i="8"/>
  <c r="A244" i="8"/>
  <c r="A12" i="8"/>
  <c r="A21" i="8"/>
  <c r="A46" i="8"/>
  <c r="A56" i="8"/>
  <c r="A186" i="8"/>
  <c r="A292" i="8"/>
  <c r="A339" i="8"/>
  <c r="A3" i="8"/>
  <c r="A15" i="8"/>
  <c r="A72" i="8"/>
  <c r="A94" i="8"/>
  <c r="A133" i="8"/>
  <c r="A19" i="8"/>
  <c r="A44" i="8"/>
  <c r="A63" i="8"/>
  <c r="A73" i="8"/>
  <c r="A134" i="8"/>
  <c r="A138" i="8"/>
  <c r="A145" i="8"/>
  <c r="A156" i="8"/>
  <c r="A187" i="8"/>
  <c r="A195" i="8"/>
  <c r="A224" i="8"/>
  <c r="A260" i="8"/>
  <c r="A297" i="8"/>
  <c r="A315" i="8"/>
  <c r="A333" i="8"/>
  <c r="A366" i="8"/>
  <c r="A402" i="8"/>
  <c r="A623" i="8"/>
  <c r="A631" i="8"/>
  <c r="A697" i="8"/>
  <c r="A900" i="8"/>
  <c r="A7" i="8"/>
  <c r="A29" i="8"/>
  <c r="A35" i="8"/>
  <c r="A42" i="8"/>
  <c r="A86" i="8"/>
  <c r="A108" i="8"/>
  <c r="A119" i="8"/>
  <c r="A135" i="8"/>
  <c r="A153" i="8"/>
  <c r="A160" i="8"/>
  <c r="A188" i="8"/>
  <c r="A192" i="8"/>
  <c r="A225" i="8"/>
  <c r="A261" i="8"/>
  <c r="A272" i="8"/>
  <c r="A298" i="8"/>
  <c r="A345" i="8"/>
  <c r="A352" i="8"/>
  <c r="A399" i="8"/>
  <c r="A403" i="8"/>
  <c r="A449" i="8"/>
  <c r="A675" i="8"/>
  <c r="A679" i="8"/>
  <c r="A683" i="8"/>
  <c r="A776" i="8"/>
  <c r="A878" i="8"/>
  <c r="A36" i="8"/>
  <c r="A112" i="8"/>
  <c r="A147" i="8"/>
  <c r="A219" i="8"/>
  <c r="A262" i="8"/>
  <c r="A750" i="8"/>
  <c r="A52" i="8"/>
  <c r="A62" i="8"/>
  <c r="A84" i="8"/>
  <c r="A208" i="8"/>
  <c r="A241" i="8"/>
  <c r="A328" i="8"/>
  <c r="A390" i="8"/>
  <c r="A18" i="8"/>
  <c r="A31" i="8"/>
  <c r="A49" i="8"/>
  <c r="A59" i="8"/>
  <c r="A81" i="8"/>
  <c r="A97" i="8"/>
  <c r="A117" i="8"/>
  <c r="A127" i="8"/>
  <c r="A4" i="8"/>
  <c r="A13" i="8"/>
  <c r="A22" i="8"/>
  <c r="A47" i="8"/>
  <c r="A57" i="8"/>
  <c r="A5" i="8"/>
  <c r="A11" i="8"/>
  <c r="A23" i="8"/>
  <c r="A26" i="8"/>
  <c r="A45" i="8"/>
  <c r="A48" i="8"/>
  <c r="A51" i="8"/>
  <c r="A55" i="8"/>
  <c r="A58" i="8"/>
  <c r="A61" i="8"/>
  <c r="A74" i="8"/>
  <c r="A83" i="8"/>
  <c r="A90" i="8"/>
  <c r="A129" i="8"/>
  <c r="A139" i="8"/>
  <c r="A150" i="8"/>
  <c r="A171" i="8"/>
  <c r="A175" i="8"/>
  <c r="A200" i="8"/>
  <c r="A222" i="8"/>
  <c r="A233" i="8"/>
  <c r="A247" i="8"/>
  <c r="A258" i="8"/>
  <c r="A291" i="8"/>
  <c r="A302" i="8"/>
  <c r="A306" i="8"/>
  <c r="A313" i="8"/>
  <c r="A338" i="8"/>
  <c r="A349" i="8"/>
  <c r="A364" i="8"/>
  <c r="A378" i="8"/>
  <c r="A396" i="8"/>
  <c r="A411" i="8"/>
  <c r="A426" i="8"/>
  <c r="A586" i="8"/>
  <c r="A593" i="8"/>
  <c r="A742" i="8"/>
  <c r="A746" i="8"/>
  <c r="A753" i="8"/>
  <c r="A438" i="8"/>
  <c r="A495" i="8"/>
  <c r="A583" i="8"/>
  <c r="A646" i="8"/>
  <c r="A680" i="8"/>
  <c r="A739" i="8"/>
  <c r="A743" i="8"/>
  <c r="A803" i="8"/>
  <c r="A807" i="8"/>
  <c r="A867" i="8"/>
  <c r="A871" i="8"/>
  <c r="A931" i="8"/>
  <c r="A935" i="8"/>
  <c r="A37" i="8"/>
  <c r="A85" i="8"/>
  <c r="A142" i="8"/>
  <c r="A181" i="8"/>
  <c r="A196" i="8"/>
  <c r="A206" i="8"/>
  <c r="A235" i="8"/>
  <c r="A245" i="8"/>
  <c r="A336" i="8"/>
  <c r="A360" i="8"/>
  <c r="A442" i="8"/>
  <c r="A536" i="8"/>
  <c r="A576" i="8"/>
  <c r="A687" i="8"/>
  <c r="A728" i="8"/>
  <c r="A758" i="8"/>
  <c r="A792" i="8"/>
  <c r="A822" i="8"/>
  <c r="A856" i="8"/>
  <c r="A886" i="8"/>
  <c r="A916" i="8"/>
  <c r="A920" i="8"/>
  <c r="A439" i="8"/>
  <c r="A464" i="8"/>
  <c r="A654" i="8"/>
  <c r="A662" i="8"/>
  <c r="A710" i="8"/>
  <c r="A808" i="8"/>
  <c r="A872" i="8"/>
  <c r="A902" i="8"/>
  <c r="A936" i="8"/>
  <c r="A77" i="8"/>
  <c r="A100" i="8"/>
  <c r="A197" i="8"/>
  <c r="A203" i="8"/>
  <c r="A249" i="8"/>
  <c r="A350" i="8"/>
  <c r="A354" i="8"/>
  <c r="A361" i="8"/>
  <c r="A374" i="8"/>
  <c r="A384" i="8"/>
  <c r="A391" i="8"/>
  <c r="A408" i="8"/>
  <c r="A415" i="8"/>
  <c r="A447" i="8"/>
  <c r="A566" i="8"/>
  <c r="A614" i="8"/>
  <c r="A394" i="8"/>
  <c r="A432" i="8"/>
  <c r="A744" i="8"/>
  <c r="A774" i="8"/>
  <c r="A838" i="8"/>
  <c r="A868" i="8"/>
  <c r="A932" i="8"/>
  <c r="A110" i="8"/>
  <c r="A149" i="8"/>
  <c r="A167" i="8"/>
  <c r="A173" i="8"/>
  <c r="A185" i="8"/>
  <c r="A217" i="8"/>
  <c r="A256" i="8"/>
  <c r="A266" i="8"/>
  <c r="A287" i="8"/>
  <c r="A327" i="8"/>
  <c r="A347" i="8"/>
  <c r="A398" i="8"/>
  <c r="A433" i="8"/>
  <c r="A482" i="8"/>
  <c r="A519" i="8"/>
  <c r="A559" i="8"/>
  <c r="A648" i="8"/>
  <c r="A655" i="8"/>
  <c r="A703" i="8"/>
  <c r="A707" i="8"/>
  <c r="A711" i="8"/>
  <c r="A771" i="8"/>
  <c r="A775" i="8"/>
  <c r="A835" i="8"/>
  <c r="A839" i="8"/>
  <c r="A899" i="8"/>
  <c r="A903" i="8"/>
  <c r="A263" i="8"/>
  <c r="A314" i="8"/>
  <c r="A351" i="8"/>
  <c r="A355" i="8"/>
  <c r="A375" i="8"/>
  <c r="A385" i="8"/>
  <c r="A423" i="8"/>
  <c r="A448" i="8"/>
  <c r="A479" i="8"/>
  <c r="A512" i="8"/>
  <c r="A600" i="8"/>
  <c r="A611" i="8"/>
  <c r="A615" i="8"/>
  <c r="A726" i="8"/>
  <c r="A760" i="8"/>
  <c r="A790" i="8"/>
  <c r="A824" i="8"/>
  <c r="A854" i="8"/>
  <c r="A884" i="8"/>
  <c r="A888" i="8"/>
  <c r="A918" i="8"/>
  <c r="A125" i="8"/>
  <c r="A189" i="8"/>
  <c r="A253" i="8"/>
  <c r="A279" i="8"/>
  <c r="A303" i="8"/>
  <c r="A342" i="8"/>
  <c r="A418" i="8"/>
  <c r="A424" i="8"/>
  <c r="A496" i="8"/>
  <c r="A503" i="8"/>
  <c r="A520" i="8"/>
  <c r="A543" i="8"/>
  <c r="A550" i="8"/>
  <c r="A560" i="8"/>
  <c r="A567" i="8"/>
  <c r="A584" i="8"/>
  <c r="A607" i="8"/>
  <c r="A632" i="8"/>
  <c r="A659" i="8"/>
  <c r="A663" i="8"/>
  <c r="A694" i="8"/>
  <c r="A237" i="8"/>
  <c r="A280" i="8"/>
  <c r="A295" i="8"/>
  <c r="A304" i="8"/>
  <c r="A319" i="8"/>
  <c r="A343" i="8"/>
  <c r="A367" i="8"/>
  <c r="A406" i="8"/>
  <c r="A459" i="8"/>
  <c r="A472" i="8"/>
  <c r="A487" i="8"/>
  <c r="A504" i="8"/>
  <c r="A527" i="8"/>
  <c r="A534" i="8"/>
  <c r="A544" i="8"/>
  <c r="A551" i="8"/>
  <c r="A568" i="8"/>
  <c r="A591" i="8"/>
  <c r="A598" i="8"/>
  <c r="A639" i="8"/>
  <c r="A664" i="8"/>
  <c r="A691" i="8"/>
  <c r="A695" i="8"/>
  <c r="A229" i="8"/>
  <c r="A271" i="8"/>
  <c r="A310" i="8"/>
  <c r="A386" i="8"/>
  <c r="A392" i="8"/>
  <c r="A416" i="8"/>
  <c r="A440" i="8"/>
  <c r="A446" i="8"/>
  <c r="A463" i="8"/>
  <c r="A616" i="8"/>
  <c r="A643" i="8"/>
  <c r="A647" i="8"/>
  <c r="A678" i="8"/>
  <c r="A723" i="8"/>
  <c r="A727" i="8"/>
  <c r="A755" i="8"/>
  <c r="A759" i="8"/>
  <c r="A787" i="8"/>
  <c r="A791" i="8"/>
  <c r="A819" i="8"/>
  <c r="A823" i="8"/>
  <c r="A851" i="8"/>
  <c r="A855" i="8"/>
  <c r="A883" i="8"/>
  <c r="A887" i="8"/>
  <c r="A915" i="8"/>
  <c r="A919" i="8"/>
  <c r="A93" i="8"/>
  <c r="A157" i="8"/>
  <c r="A221" i="8"/>
  <c r="A290" i="8"/>
  <c r="A296" i="8"/>
  <c r="A320" i="8"/>
  <c r="A344" i="8"/>
  <c r="A359" i="8"/>
  <c r="A368" i="8"/>
  <c r="A383" i="8"/>
  <c r="A407" i="8"/>
  <c r="A431" i="8"/>
  <c r="A450" i="8"/>
  <c r="A488" i="8"/>
  <c r="A511" i="8"/>
  <c r="A518" i="8"/>
  <c r="A528" i="8"/>
  <c r="A535" i="8"/>
  <c r="A552" i="8"/>
  <c r="A575" i="8"/>
  <c r="A582" i="8"/>
  <c r="A592" i="8"/>
  <c r="A599" i="8"/>
  <c r="A630" i="8"/>
  <c r="A671" i="8"/>
  <c r="A696" i="8"/>
  <c r="A455" i="8"/>
  <c r="A719" i="8"/>
  <c r="A735" i="8"/>
  <c r="A751" i="8"/>
  <c r="A767" i="8"/>
  <c r="A783" i="8"/>
  <c r="A799" i="8"/>
  <c r="A815" i="8"/>
  <c r="A831" i="8"/>
  <c r="A847" i="8"/>
  <c r="A863" i="8"/>
  <c r="A879" i="8"/>
  <c r="A895" i="8"/>
  <c r="A911" i="8"/>
  <c r="A927" i="8"/>
  <c r="A456" i="8"/>
  <c r="A471" i="8"/>
  <c r="A876" i="8"/>
  <c r="A892" i="8"/>
  <c r="A908" i="8"/>
  <c r="A924" i="8"/>
  <c r="A608" i="8"/>
  <c r="A624" i="8"/>
  <c r="A640" i="8"/>
  <c r="A656" i="8"/>
  <c r="A672" i="8"/>
  <c r="A688" i="8"/>
  <c r="A704" i="8"/>
  <c r="A720" i="8"/>
  <c r="A736" i="8"/>
  <c r="A752" i="8"/>
  <c r="A768" i="8"/>
  <c r="A784" i="8"/>
  <c r="A800" i="8"/>
  <c r="A816" i="8"/>
  <c r="A832" i="8"/>
  <c r="A848" i="8"/>
  <c r="A864" i="8"/>
  <c r="A880" i="8"/>
  <c r="A896" i="8"/>
  <c r="A912" i="8"/>
  <c r="A928" i="8"/>
  <c r="E66" i="5" l="1"/>
  <c r="D45" i="5" l="1"/>
  <c r="E26" i="5" l="1"/>
  <c r="E73" i="5"/>
  <c r="D23" i="5"/>
  <c r="E30" i="5"/>
  <c r="E25" i="5"/>
  <c r="D11" i="5"/>
  <c r="E11" i="5"/>
  <c r="F11" i="5"/>
  <c r="D2" i="5"/>
  <c r="E2" i="5"/>
  <c r="E70" i="5"/>
  <c r="E62" i="5"/>
  <c r="E58" i="5"/>
  <c r="E57" i="5"/>
  <c r="E56" i="5"/>
  <c r="E55" i="5"/>
  <c r="E54" i="5"/>
  <c r="E42" i="5"/>
  <c r="F40" i="5"/>
  <c r="D40" i="5"/>
  <c r="E34" i="5"/>
  <c r="E33" i="5"/>
  <c r="F20" i="5"/>
  <c r="D20" i="5"/>
  <c r="E19" i="5"/>
  <c r="E18" i="5"/>
  <c r="E20" i="5" l="1"/>
  <c r="E40" i="5"/>
  <c r="B1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author>
  </authors>
  <commentList>
    <comment ref="F1" authorId="0" shapeId="0" xr:uid="{00000000-0006-0000-0000-000001000000}">
      <text>
        <r>
          <rPr>
            <b/>
            <sz val="9"/>
            <color rgb="FF000000"/>
            <rFont val="Tahoma"/>
            <family val="2"/>
          </rPr>
          <t>Alex:</t>
        </r>
        <r>
          <rPr>
            <sz val="9"/>
            <color rgb="FF000000"/>
            <rFont val="Tahoma"/>
            <family val="2"/>
          </rPr>
          <t xml:space="preserve">
</t>
        </r>
        <r>
          <rPr>
            <sz val="9"/>
            <color rgb="FF000000"/>
            <rFont val="Tahoma"/>
            <family val="2"/>
          </rPr>
          <t xml:space="preserve">grey = removed
</t>
        </r>
        <r>
          <rPr>
            <sz val="9"/>
            <color rgb="FF000000"/>
            <rFont val="Tahoma"/>
            <family val="2"/>
          </rPr>
          <t>see notes (column A and following tab)</t>
        </r>
      </text>
    </comment>
    <comment ref="G1" authorId="0" shapeId="0" xr:uid="{00000000-0006-0000-0000-000002000000}">
      <text>
        <r>
          <rPr>
            <b/>
            <sz val="9"/>
            <color indexed="81"/>
            <rFont val="Tahoma"/>
            <family val="2"/>
          </rPr>
          <t>Alex:</t>
        </r>
        <r>
          <rPr>
            <sz val="9"/>
            <color indexed="81"/>
            <rFont val="Tahoma"/>
            <family val="2"/>
          </rPr>
          <t xml:space="preserve">
grey = removed
see notes (column A and following tab)</t>
        </r>
      </text>
    </comment>
    <comment ref="H1" authorId="0" shapeId="0" xr:uid="{00000000-0006-0000-0000-000003000000}">
      <text>
        <r>
          <rPr>
            <b/>
            <sz val="9"/>
            <color indexed="81"/>
            <rFont val="Tahoma"/>
            <family val="2"/>
          </rPr>
          <t>Alex:</t>
        </r>
        <r>
          <rPr>
            <sz val="9"/>
            <color indexed="81"/>
            <rFont val="Tahoma"/>
            <family val="2"/>
          </rPr>
          <t xml:space="preserve">
grey = removed
see notes (column A and following tab)</t>
        </r>
      </text>
    </comment>
    <comment ref="I1" authorId="0" shapeId="0" xr:uid="{00000000-0006-0000-0000-000004000000}">
      <text>
        <r>
          <rPr>
            <b/>
            <sz val="9"/>
            <color indexed="81"/>
            <rFont val="Tahoma"/>
            <family val="2"/>
          </rPr>
          <t>Alex:</t>
        </r>
        <r>
          <rPr>
            <sz val="9"/>
            <color indexed="81"/>
            <rFont val="Tahoma"/>
            <family val="2"/>
          </rPr>
          <t xml:space="preserve">
grey = removed
see notes (column A and following tab)</t>
        </r>
      </text>
    </comment>
    <comment ref="J1" authorId="0" shapeId="0" xr:uid="{00000000-0006-0000-0000-000005000000}">
      <text>
        <r>
          <rPr>
            <b/>
            <sz val="9"/>
            <color indexed="81"/>
            <rFont val="Tahoma"/>
            <family val="2"/>
          </rPr>
          <t>Alex:</t>
        </r>
        <r>
          <rPr>
            <sz val="9"/>
            <color indexed="81"/>
            <rFont val="Tahoma"/>
            <family val="2"/>
          </rPr>
          <t xml:space="preserve">
grey = removed
see notes (column A and following tab)</t>
        </r>
      </text>
    </comment>
    <comment ref="K1" authorId="0" shapeId="0" xr:uid="{00000000-0006-0000-0000-000006000000}">
      <text>
        <r>
          <rPr>
            <b/>
            <sz val="9"/>
            <color indexed="81"/>
            <rFont val="Tahoma"/>
            <family val="2"/>
          </rPr>
          <t>Alex:</t>
        </r>
        <r>
          <rPr>
            <sz val="9"/>
            <color indexed="81"/>
            <rFont val="Tahoma"/>
            <family val="2"/>
          </rPr>
          <t xml:space="preserve">
grey = removed
see notes (column A and following tab)</t>
        </r>
      </text>
    </comment>
    <comment ref="L1" authorId="0" shapeId="0" xr:uid="{00000000-0006-0000-0000-000007000000}">
      <text>
        <r>
          <rPr>
            <b/>
            <sz val="9"/>
            <color indexed="81"/>
            <rFont val="Tahoma"/>
            <family val="2"/>
          </rPr>
          <t>Alex:</t>
        </r>
        <r>
          <rPr>
            <sz val="9"/>
            <color indexed="81"/>
            <rFont val="Tahoma"/>
            <family val="2"/>
          </rPr>
          <t xml:space="preserve">
grey = removed
see notes (column A and following tab)</t>
        </r>
      </text>
    </comment>
    <comment ref="M1" authorId="0" shapeId="0" xr:uid="{00000000-0006-0000-0000-000008000000}">
      <text>
        <r>
          <rPr>
            <b/>
            <sz val="9"/>
            <color rgb="FF000000"/>
            <rFont val="Tahoma"/>
            <family val="2"/>
          </rPr>
          <t>Alex:</t>
        </r>
        <r>
          <rPr>
            <sz val="9"/>
            <color rgb="FF000000"/>
            <rFont val="Tahoma"/>
            <family val="2"/>
          </rPr>
          <t xml:space="preserve">
</t>
        </r>
        <r>
          <rPr>
            <sz val="9"/>
            <color rgb="FF000000"/>
            <rFont val="Tahoma"/>
            <family val="2"/>
          </rPr>
          <t xml:space="preserve">grey = removed
</t>
        </r>
        <r>
          <rPr>
            <sz val="9"/>
            <color rgb="FF000000"/>
            <rFont val="Tahoma"/>
            <family val="2"/>
          </rPr>
          <t>see notes (column A and following tab)</t>
        </r>
      </text>
    </comment>
    <comment ref="N1" authorId="0" shapeId="0" xr:uid="{00000000-0006-0000-0000-000009000000}">
      <text>
        <r>
          <rPr>
            <b/>
            <sz val="9"/>
            <color indexed="81"/>
            <rFont val="Tahoma"/>
            <family val="2"/>
          </rPr>
          <t>Alex:</t>
        </r>
        <r>
          <rPr>
            <sz val="9"/>
            <color indexed="81"/>
            <rFont val="Tahoma"/>
            <family val="2"/>
          </rPr>
          <t xml:space="preserve">
grey = removed
see notes (column A and following tab)</t>
        </r>
      </text>
    </comment>
    <comment ref="O1" authorId="0" shapeId="0" xr:uid="{00000000-0006-0000-0000-00000A000000}">
      <text>
        <r>
          <rPr>
            <b/>
            <sz val="9"/>
            <color indexed="81"/>
            <rFont val="Tahoma"/>
            <family val="2"/>
          </rPr>
          <t>Alex:</t>
        </r>
        <r>
          <rPr>
            <sz val="9"/>
            <color indexed="81"/>
            <rFont val="Tahoma"/>
            <family val="2"/>
          </rPr>
          <t xml:space="preserve">
grey = removed
see notes (column A and following tab)</t>
        </r>
      </text>
    </comment>
    <comment ref="P1" authorId="0" shapeId="0" xr:uid="{00000000-0006-0000-0000-00000B000000}">
      <text>
        <r>
          <rPr>
            <b/>
            <sz val="9"/>
            <color indexed="81"/>
            <rFont val="Tahoma"/>
            <family val="2"/>
          </rPr>
          <t>Alex:</t>
        </r>
        <r>
          <rPr>
            <sz val="9"/>
            <color indexed="81"/>
            <rFont val="Tahoma"/>
            <family val="2"/>
          </rPr>
          <t xml:space="preserve">
grey = removed
see notes (column A and following tab)</t>
        </r>
      </text>
    </comment>
    <comment ref="Q1" authorId="0" shapeId="0" xr:uid="{00000000-0006-0000-0000-00000C000000}">
      <text>
        <r>
          <rPr>
            <b/>
            <sz val="9"/>
            <color indexed="81"/>
            <rFont val="Tahoma"/>
            <family val="2"/>
          </rPr>
          <t>Alex:</t>
        </r>
        <r>
          <rPr>
            <sz val="9"/>
            <color indexed="81"/>
            <rFont val="Tahoma"/>
            <family val="2"/>
          </rPr>
          <t xml:space="preserve">
grey = removed
see notes (column A and following tab)</t>
        </r>
      </text>
    </comment>
    <comment ref="R1" authorId="0" shapeId="0" xr:uid="{00000000-0006-0000-0000-00000D000000}">
      <text>
        <r>
          <rPr>
            <b/>
            <sz val="9"/>
            <color indexed="81"/>
            <rFont val="Tahoma"/>
            <family val="2"/>
          </rPr>
          <t>Alex:</t>
        </r>
        <r>
          <rPr>
            <sz val="9"/>
            <color indexed="81"/>
            <rFont val="Tahoma"/>
            <family val="2"/>
          </rPr>
          <t xml:space="preserve">
grey = removed
see notes (column A and following tab)</t>
        </r>
      </text>
    </comment>
    <comment ref="S1" authorId="0" shapeId="0" xr:uid="{00000000-0006-0000-0000-00000E000000}">
      <text>
        <r>
          <rPr>
            <b/>
            <sz val="9"/>
            <color indexed="81"/>
            <rFont val="Tahoma"/>
            <family val="2"/>
          </rPr>
          <t>Alex:</t>
        </r>
        <r>
          <rPr>
            <sz val="9"/>
            <color indexed="81"/>
            <rFont val="Tahoma"/>
            <family val="2"/>
          </rPr>
          <t xml:space="preserve">
grey = removed
see notes (column A and following tab)</t>
        </r>
      </text>
    </comment>
    <comment ref="T1" authorId="0" shapeId="0" xr:uid="{00000000-0006-0000-0000-00000F000000}">
      <text>
        <r>
          <rPr>
            <b/>
            <sz val="9"/>
            <color indexed="81"/>
            <rFont val="Tahoma"/>
            <family val="2"/>
          </rPr>
          <t>Alex:</t>
        </r>
        <r>
          <rPr>
            <sz val="9"/>
            <color indexed="81"/>
            <rFont val="Tahoma"/>
            <family val="2"/>
          </rPr>
          <t xml:space="preserve">
grey = removed
see notes (column A and following tab)</t>
        </r>
      </text>
    </comment>
    <comment ref="U1" authorId="0" shapeId="0" xr:uid="{00000000-0006-0000-0000-000010000000}">
      <text>
        <r>
          <rPr>
            <b/>
            <sz val="9"/>
            <color indexed="81"/>
            <rFont val="Tahoma"/>
            <family val="2"/>
          </rPr>
          <t>Alex:</t>
        </r>
        <r>
          <rPr>
            <sz val="9"/>
            <color indexed="81"/>
            <rFont val="Tahoma"/>
            <family val="2"/>
          </rPr>
          <t xml:space="preserve">
grey = removed
see notes (column A and following tab)</t>
        </r>
      </text>
    </comment>
    <comment ref="V1" authorId="0" shapeId="0" xr:uid="{00000000-0006-0000-0000-000011000000}">
      <text>
        <r>
          <rPr>
            <b/>
            <sz val="9"/>
            <color indexed="81"/>
            <rFont val="Tahoma"/>
            <family val="2"/>
          </rPr>
          <t>Alex:</t>
        </r>
        <r>
          <rPr>
            <sz val="9"/>
            <color indexed="81"/>
            <rFont val="Tahoma"/>
            <family val="2"/>
          </rPr>
          <t xml:space="preserve">
grey = removed
see notes (column A and following tab)</t>
        </r>
      </text>
    </comment>
    <comment ref="W1" authorId="0" shapeId="0" xr:uid="{00000000-0006-0000-0000-000012000000}">
      <text>
        <r>
          <rPr>
            <b/>
            <sz val="9"/>
            <color indexed="81"/>
            <rFont val="Tahoma"/>
            <family val="2"/>
          </rPr>
          <t>Alex:</t>
        </r>
        <r>
          <rPr>
            <sz val="9"/>
            <color indexed="81"/>
            <rFont val="Tahoma"/>
            <family val="2"/>
          </rPr>
          <t xml:space="preserve">
grey = removed
see notes (column A and following tab)</t>
        </r>
      </text>
    </comment>
    <comment ref="X1" authorId="0" shapeId="0" xr:uid="{00000000-0006-0000-0000-000013000000}">
      <text>
        <r>
          <rPr>
            <b/>
            <sz val="9"/>
            <color indexed="81"/>
            <rFont val="Tahoma"/>
            <family val="2"/>
          </rPr>
          <t>Alex:</t>
        </r>
        <r>
          <rPr>
            <sz val="9"/>
            <color indexed="81"/>
            <rFont val="Tahoma"/>
            <family val="2"/>
          </rPr>
          <t xml:space="preserve">
grey = removed
see notes (column A and following tab)</t>
        </r>
      </text>
    </comment>
    <comment ref="Y1" authorId="0" shapeId="0" xr:uid="{00000000-0006-0000-0000-000014000000}">
      <text>
        <r>
          <rPr>
            <b/>
            <sz val="9"/>
            <color indexed="81"/>
            <rFont val="Tahoma"/>
            <family val="2"/>
          </rPr>
          <t>Alex:</t>
        </r>
        <r>
          <rPr>
            <sz val="9"/>
            <color indexed="81"/>
            <rFont val="Tahoma"/>
            <family val="2"/>
          </rPr>
          <t xml:space="preserve">
grey = removed
see notes (column A and following tab)</t>
        </r>
      </text>
    </comment>
    <comment ref="Z1" authorId="0" shapeId="0" xr:uid="{00000000-0006-0000-0000-000015000000}">
      <text>
        <r>
          <rPr>
            <b/>
            <sz val="9"/>
            <color indexed="81"/>
            <rFont val="Tahoma"/>
            <family val="2"/>
          </rPr>
          <t>Alex:</t>
        </r>
        <r>
          <rPr>
            <sz val="9"/>
            <color indexed="81"/>
            <rFont val="Tahoma"/>
            <family val="2"/>
          </rPr>
          <t xml:space="preserve">
grey = removed
see notes (column A and following tab)</t>
        </r>
      </text>
    </comment>
    <comment ref="AA1" authorId="0" shapeId="0" xr:uid="{00000000-0006-0000-0000-000016000000}">
      <text>
        <r>
          <rPr>
            <b/>
            <sz val="9"/>
            <color indexed="81"/>
            <rFont val="Tahoma"/>
            <family val="2"/>
          </rPr>
          <t>Alex:</t>
        </r>
        <r>
          <rPr>
            <sz val="9"/>
            <color indexed="81"/>
            <rFont val="Tahoma"/>
            <family val="2"/>
          </rPr>
          <t xml:space="preserve">
grey = removed
see notes (column A and following tab)</t>
        </r>
      </text>
    </comment>
    <comment ref="AB1" authorId="0" shapeId="0" xr:uid="{00000000-0006-0000-0000-000017000000}">
      <text>
        <r>
          <rPr>
            <b/>
            <sz val="9"/>
            <color indexed="81"/>
            <rFont val="Tahoma"/>
            <family val="2"/>
          </rPr>
          <t>Alex:</t>
        </r>
        <r>
          <rPr>
            <sz val="9"/>
            <color indexed="81"/>
            <rFont val="Tahoma"/>
            <family val="2"/>
          </rPr>
          <t xml:space="preserve">
grey = removed
see notes (column A and following tab)</t>
        </r>
      </text>
    </comment>
    <comment ref="AC1" authorId="0" shapeId="0" xr:uid="{00000000-0006-0000-0000-000018000000}">
      <text>
        <r>
          <rPr>
            <b/>
            <sz val="9"/>
            <color indexed="81"/>
            <rFont val="Tahoma"/>
            <family val="2"/>
          </rPr>
          <t>Alex:</t>
        </r>
        <r>
          <rPr>
            <sz val="9"/>
            <color indexed="81"/>
            <rFont val="Tahoma"/>
            <family val="2"/>
          </rPr>
          <t xml:space="preserve">
grey = removed
see notes (column A and following tab)</t>
        </r>
      </text>
    </comment>
    <comment ref="AD1" authorId="0" shapeId="0" xr:uid="{00000000-0006-0000-0000-000019000000}">
      <text>
        <r>
          <rPr>
            <b/>
            <sz val="9"/>
            <color indexed="81"/>
            <rFont val="Tahoma"/>
            <family val="2"/>
          </rPr>
          <t>Alex:</t>
        </r>
        <r>
          <rPr>
            <sz val="9"/>
            <color indexed="81"/>
            <rFont val="Tahoma"/>
            <family val="2"/>
          </rPr>
          <t xml:space="preserve">
grey = removed
see notes (column A and following tab)</t>
        </r>
      </text>
    </comment>
    <comment ref="AE1" authorId="0" shapeId="0" xr:uid="{00000000-0006-0000-0000-00001A000000}">
      <text>
        <r>
          <rPr>
            <b/>
            <sz val="9"/>
            <color indexed="81"/>
            <rFont val="Tahoma"/>
            <family val="2"/>
          </rPr>
          <t>Alex:</t>
        </r>
        <r>
          <rPr>
            <sz val="9"/>
            <color indexed="81"/>
            <rFont val="Tahoma"/>
            <family val="2"/>
          </rPr>
          <t xml:space="preserve">
grey = removed
see notes (column A and following tab)</t>
        </r>
      </text>
    </comment>
    <comment ref="AF1" authorId="0" shapeId="0" xr:uid="{00000000-0006-0000-0000-00001B000000}">
      <text>
        <r>
          <rPr>
            <b/>
            <sz val="9"/>
            <color indexed="81"/>
            <rFont val="Tahoma"/>
            <family val="2"/>
          </rPr>
          <t>Alex:</t>
        </r>
        <r>
          <rPr>
            <sz val="9"/>
            <color indexed="81"/>
            <rFont val="Tahoma"/>
            <family val="2"/>
          </rPr>
          <t xml:space="preserve">
grey = removed
see notes (column A and following tab)</t>
        </r>
      </text>
    </comment>
    <comment ref="AG1" authorId="0" shapeId="0" xr:uid="{00000000-0006-0000-0000-00001C000000}">
      <text>
        <r>
          <rPr>
            <b/>
            <sz val="9"/>
            <color indexed="81"/>
            <rFont val="Tahoma"/>
            <family val="2"/>
          </rPr>
          <t>Alex:</t>
        </r>
        <r>
          <rPr>
            <sz val="9"/>
            <color indexed="81"/>
            <rFont val="Tahoma"/>
            <family val="2"/>
          </rPr>
          <t xml:space="preserve">
grey = removed
see notes (column A and following tab)</t>
        </r>
      </text>
    </comment>
    <comment ref="AH1" authorId="0" shapeId="0" xr:uid="{00000000-0006-0000-0000-00001D000000}">
      <text>
        <r>
          <rPr>
            <b/>
            <sz val="9"/>
            <color indexed="81"/>
            <rFont val="Tahoma"/>
            <family val="2"/>
          </rPr>
          <t>Alex:</t>
        </r>
        <r>
          <rPr>
            <sz val="9"/>
            <color indexed="81"/>
            <rFont val="Tahoma"/>
            <family val="2"/>
          </rPr>
          <t xml:space="preserve">
grey = removed
see notes (column A and following tab)</t>
        </r>
      </text>
    </comment>
    <comment ref="AI1" authorId="0" shapeId="0" xr:uid="{00000000-0006-0000-0000-00001E000000}">
      <text>
        <r>
          <rPr>
            <b/>
            <sz val="9"/>
            <color indexed="81"/>
            <rFont val="Tahoma"/>
            <family val="2"/>
          </rPr>
          <t>Alex:</t>
        </r>
        <r>
          <rPr>
            <sz val="9"/>
            <color indexed="81"/>
            <rFont val="Tahoma"/>
            <family val="2"/>
          </rPr>
          <t xml:space="preserve">
grey = removed
see notes (column A and following tab)</t>
        </r>
      </text>
    </comment>
    <comment ref="AJ1" authorId="0" shapeId="0" xr:uid="{00000000-0006-0000-0000-00001F000000}">
      <text>
        <r>
          <rPr>
            <b/>
            <sz val="9"/>
            <color indexed="81"/>
            <rFont val="Tahoma"/>
            <family val="2"/>
          </rPr>
          <t>Alex:</t>
        </r>
        <r>
          <rPr>
            <sz val="9"/>
            <color indexed="81"/>
            <rFont val="Tahoma"/>
            <family val="2"/>
          </rPr>
          <t xml:space="preserve">
grey = removed
see notes (column A and following tab)</t>
        </r>
      </text>
    </comment>
    <comment ref="AK1" authorId="0" shapeId="0" xr:uid="{00000000-0006-0000-0000-000020000000}">
      <text>
        <r>
          <rPr>
            <b/>
            <sz val="9"/>
            <color indexed="81"/>
            <rFont val="Tahoma"/>
            <family val="2"/>
          </rPr>
          <t>Alex:</t>
        </r>
        <r>
          <rPr>
            <sz val="9"/>
            <color indexed="81"/>
            <rFont val="Tahoma"/>
            <family val="2"/>
          </rPr>
          <t xml:space="preserve">
grey = removed
see notes (column A and following tab)</t>
        </r>
      </text>
    </comment>
    <comment ref="AL1" authorId="0" shapeId="0" xr:uid="{00000000-0006-0000-0000-000021000000}">
      <text>
        <r>
          <rPr>
            <b/>
            <sz val="9"/>
            <color indexed="81"/>
            <rFont val="Tahoma"/>
            <family val="2"/>
          </rPr>
          <t>Alex:</t>
        </r>
        <r>
          <rPr>
            <sz val="9"/>
            <color indexed="81"/>
            <rFont val="Tahoma"/>
            <family val="2"/>
          </rPr>
          <t xml:space="preserve">
grey = removed
see notes (column A and following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author>
    <author>Alex DeCasien</author>
  </authors>
  <commentList>
    <comment ref="B1" authorId="0" shapeId="0" xr:uid="{00000000-0006-0000-0700-000001000000}">
      <text>
        <r>
          <rPr>
            <b/>
            <sz val="9"/>
            <color indexed="81"/>
            <rFont val="Tahoma"/>
            <family val="2"/>
          </rPr>
          <t>Alex:</t>
        </r>
        <r>
          <rPr>
            <sz val="9"/>
            <color indexed="81"/>
            <rFont val="Tahoma"/>
            <family val="2"/>
          </rPr>
          <t xml:space="preserve">
duplicates highlighted in red</t>
        </r>
      </text>
    </comment>
    <comment ref="F1" authorId="1" shapeId="0" xr:uid="{00000000-0006-0000-0700-000002000000}">
      <text>
        <r>
          <rPr>
            <b/>
            <sz val="9"/>
            <color indexed="81"/>
            <rFont val="Tahoma"/>
            <family val="2"/>
          </rPr>
          <t>Authors:</t>
        </r>
        <r>
          <rPr>
            <sz val="9"/>
            <color indexed="81"/>
            <rFont val="Tahoma"/>
            <family val="2"/>
          </rPr>
          <t xml:space="preserve">
Column G lists the primary literature source provided by reference (listed in column F). This information was extracted when easily accessible (e.g. table format in scientific journal) and was not for others (e.g. long edited volumes with sources listed at the end)</t>
        </r>
      </text>
    </comment>
    <comment ref="G1" authorId="1" shapeId="0" xr:uid="{00000000-0006-0000-0700-000003000000}">
      <text>
        <r>
          <rPr>
            <b/>
            <sz val="9"/>
            <color indexed="81"/>
            <rFont val="Tahoma"/>
            <family val="2"/>
          </rPr>
          <t>Authors:</t>
        </r>
        <r>
          <rPr>
            <sz val="9"/>
            <color indexed="81"/>
            <rFont val="Tahoma"/>
            <family val="2"/>
          </rPr>
          <t xml:space="preserve">
For notes beginning "(53) suppl…" this indicates that: 1) I obtained these data points from reference 53 2) which gathered data from the papers mentioned in column H 3) which listed papers in column G as their primary sources</t>
        </r>
      </text>
    </comment>
  </commentList>
</comments>
</file>

<file path=xl/sharedStrings.xml><?xml version="1.0" encoding="utf-8"?>
<sst xmlns="http://schemas.openxmlformats.org/spreadsheetml/2006/main" count="4115" uniqueCount="590">
  <si>
    <t>Notes (re: gray cells; see next tab)</t>
  </si>
  <si>
    <t>Taxon</t>
  </si>
  <si>
    <t>References</t>
  </si>
  <si>
    <t>N</t>
  </si>
  <si>
    <t>BV</t>
  </si>
  <si>
    <t>Medulla</t>
  </si>
  <si>
    <t>Cerebellum</t>
  </si>
  <si>
    <t>Mesencephalon</t>
  </si>
  <si>
    <t>Diencephalon</t>
  </si>
  <si>
    <t>Telencephalon</t>
  </si>
  <si>
    <t>MOB</t>
  </si>
  <si>
    <t>AOB</t>
  </si>
  <si>
    <t>Piriform Lobe</t>
  </si>
  <si>
    <t>Septum</t>
  </si>
  <si>
    <t>Striatum</t>
  </si>
  <si>
    <t>Striatum (incl. NAcc)</t>
  </si>
  <si>
    <t>Schizocortex</t>
  </si>
  <si>
    <t>Hippocampus</t>
  </si>
  <si>
    <t>Neocortex (GM+WM)</t>
  </si>
  <si>
    <t>Neocortex (GM)</t>
  </si>
  <si>
    <t>Epithalamus</t>
  </si>
  <si>
    <t>Thalamus</t>
  </si>
  <si>
    <t>Hypothalamus</t>
  </si>
  <si>
    <t>Subthalamus</t>
  </si>
  <si>
    <t>Pallidum</t>
  </si>
  <si>
    <t>Subthalamic Nucleus</t>
  </si>
  <si>
    <t>Optic Tract</t>
  </si>
  <si>
    <t>V1 (GM)</t>
  </si>
  <si>
    <t>LGN</t>
  </si>
  <si>
    <t>Paleocortex</t>
  </si>
  <si>
    <t>Amygdala</t>
  </si>
  <si>
    <t>Vmo</t>
  </si>
  <si>
    <t>VII</t>
  </si>
  <si>
    <t>XII</t>
  </si>
  <si>
    <t>Granular Insula</t>
  </si>
  <si>
    <t>Dysgranular Insula</t>
  </si>
  <si>
    <t>Agranular Insula</t>
  </si>
  <si>
    <t>Insula (GM)</t>
  </si>
  <si>
    <t>Alouatta_caraya</t>
  </si>
  <si>
    <t>Alouatta_palliata</t>
  </si>
  <si>
    <t>54-55</t>
  </si>
  <si>
    <t>Alouatta_seniculus</t>
  </si>
  <si>
    <t>B</t>
  </si>
  <si>
    <t>24,51-52</t>
  </si>
  <si>
    <t>Aotus_trivirgatus</t>
  </si>
  <si>
    <t>Ateles_geoffroyi</t>
  </si>
  <si>
    <t>Ateles_paniscus</t>
  </si>
  <si>
    <t>Avahi_laniger</t>
  </si>
  <si>
    <t>Avahi_occidentalis</t>
  </si>
  <si>
    <t>Callicebus_moloch</t>
  </si>
  <si>
    <t>Callimico_goeldii</t>
  </si>
  <si>
    <t>Callithrix_jacchus</t>
  </si>
  <si>
    <t>Callithrix_pygmaea</t>
  </si>
  <si>
    <t>Cebus_albifrons</t>
  </si>
  <si>
    <t>Cebus_apella</t>
  </si>
  <si>
    <t>62-63</t>
  </si>
  <si>
    <t>Cercocebus_agilis</t>
  </si>
  <si>
    <t>Cercocebus_torquatus_atys</t>
  </si>
  <si>
    <t>Cercopithecus_ascanius</t>
  </si>
  <si>
    <t>Cercopithecus_mitis</t>
  </si>
  <si>
    <t>Cercopithecus_nictitans</t>
  </si>
  <si>
    <t>Cheirogaleus_major</t>
  </si>
  <si>
    <t>Cheirogaleus_medius</t>
  </si>
  <si>
    <t>Colobus_angolensis</t>
  </si>
  <si>
    <t>Daubentonia_madagascariensis</t>
  </si>
  <si>
    <t>Erythrocebus_patas</t>
  </si>
  <si>
    <t>Eulemur_fulvus_fulvus</t>
  </si>
  <si>
    <t>Eulemur_mongoz</t>
  </si>
  <si>
    <t>Galago_senegalensis</t>
  </si>
  <si>
    <t>Galagoides_demidoff</t>
  </si>
  <si>
    <t>F</t>
  </si>
  <si>
    <t>Gorilla_beringei</t>
  </si>
  <si>
    <t>E</t>
  </si>
  <si>
    <t>Gorilla_gorilla_gorilla</t>
  </si>
  <si>
    <t>A,B,C,D</t>
  </si>
  <si>
    <t>56-57</t>
  </si>
  <si>
    <t>Gorilla_gorilla_graueri</t>
  </si>
  <si>
    <t>Hylobates_lar</t>
  </si>
  <si>
    <t xml:space="preserve">A,B </t>
  </si>
  <si>
    <t>Hylobates_muelleri</t>
  </si>
  <si>
    <t>Indri_indri</t>
  </si>
  <si>
    <t>Lagothrix_lagotricha</t>
  </si>
  <si>
    <t>Lemur_catta</t>
  </si>
  <si>
    <t>Leontopithecus_rosalia</t>
  </si>
  <si>
    <t>Lepilemur_ruficaudatus</t>
  </si>
  <si>
    <t>Lophocebus_albigena</t>
  </si>
  <si>
    <t>Loris_tardigradus</t>
  </si>
  <si>
    <t>Macaca_fascicularis</t>
  </si>
  <si>
    <t>Macaca_maura</t>
  </si>
  <si>
    <t>Macaca_mulatta</t>
  </si>
  <si>
    <t>Mandrillus_sphinx</t>
  </si>
  <si>
    <t>Microcebus_murinus</t>
  </si>
  <si>
    <t>Miopithecus_talapoin</t>
  </si>
  <si>
    <t>Nasalis_larvatus</t>
  </si>
  <si>
    <t>Nomascus_concolor</t>
  </si>
  <si>
    <t>Nycticebus_coucang</t>
  </si>
  <si>
    <t>Otolemur_crassicaudatus</t>
  </si>
  <si>
    <t>Pan_paniscus</t>
  </si>
  <si>
    <t>Pan_troglodytes_troglodytes</t>
  </si>
  <si>
    <t>Papio_anubis</t>
  </si>
  <si>
    <t>Papio_cynocephalus</t>
  </si>
  <si>
    <t>Papio_hamadryas</t>
  </si>
  <si>
    <t>Perodicticus_potto</t>
  </si>
  <si>
    <t>Piliocolobus_badius</t>
  </si>
  <si>
    <t>Pithecia_monachus</t>
  </si>
  <si>
    <t>Pithecia_pithecia</t>
  </si>
  <si>
    <t>Pongo_abelii</t>
  </si>
  <si>
    <t>Pongo_pygmaeus</t>
  </si>
  <si>
    <t>Propithecus_verreauxi</t>
  </si>
  <si>
    <t>Pygathrix_nemaeus</t>
  </si>
  <si>
    <t>Saguinus_geoffroyi</t>
  </si>
  <si>
    <t>Saguinus_midas</t>
  </si>
  <si>
    <t>Saguinus_oedipus</t>
  </si>
  <si>
    <t>Saimiri_sciureus</t>
  </si>
  <si>
    <t>Semnopithecus_entellus</t>
  </si>
  <si>
    <t>Symphalangus_syndactylus</t>
  </si>
  <si>
    <t>Tarsius_syrichta</t>
  </si>
  <si>
    <t>Trachypithecus_francoisi</t>
  </si>
  <si>
    <t>Varecia_variegata_variegata</t>
  </si>
  <si>
    <t>A</t>
  </si>
  <si>
    <t>Removed cerebellum, replaced with measurement from [61]</t>
  </si>
  <si>
    <t>Removed medulla, replaced with measurement from [53]</t>
  </si>
  <si>
    <t>C</t>
  </si>
  <si>
    <t>Removed neocortex, replaced with measurement from [60]</t>
  </si>
  <si>
    <t>D</t>
  </si>
  <si>
    <t>Removed LGN, replaced with measurement from [60]</t>
  </si>
  <si>
    <t>Did not use V1 measurement, replaced with measurement from [60]</t>
  </si>
  <si>
    <t>Did not use cerebellum, neocortex, striatum, or hippocampus measurements, replaced with measurements from [65]</t>
  </si>
  <si>
    <t>Activity Period</t>
  </si>
  <si>
    <t>Notes</t>
  </si>
  <si>
    <t>Diurnal</t>
  </si>
  <si>
    <t>Nocturnal/Cathemeral</t>
  </si>
  <si>
    <t>69; 72</t>
  </si>
  <si>
    <t>origin/classification of these specimens is uncertain; A. a. azarai is cathemeral [71]</t>
  </si>
  <si>
    <t>Nocturnal</t>
  </si>
  <si>
    <t>Cathemeral</t>
  </si>
  <si>
    <t>Genus-level</t>
  </si>
  <si>
    <t>Diet</t>
  </si>
  <si>
    <t>Reference from 38 (see last tab)</t>
  </si>
  <si>
    <t>Folivore</t>
  </si>
  <si>
    <t>Plavcan &amp; van Schaik 1997</t>
  </si>
  <si>
    <t>Frugivore</t>
  </si>
  <si>
    <t>Kappeler &amp; Heymann 1996</t>
  </si>
  <si>
    <t>Omnivore</t>
  </si>
  <si>
    <t>Frugivore in [38]; Updated here following [68]</t>
  </si>
  <si>
    <t>Shah 2003</t>
  </si>
  <si>
    <t>Frugivore/folivore in [38]</t>
  </si>
  <si>
    <t>Rothman et al. 2007</t>
  </si>
  <si>
    <t>Fox et al. 2004</t>
  </si>
  <si>
    <t>DQI</t>
  </si>
  <si>
    <t>% plant structural parts</t>
  </si>
  <si>
    <t>% plant reproductive parts</t>
  </si>
  <si>
    <t>% animal prey in the diet</t>
  </si>
  <si>
    <t>NA</t>
  </si>
  <si>
    <t>% breakdown not provided in [74]</t>
  </si>
  <si>
    <t>6% missing from total - added to gum (classified as gumnivore in [77])</t>
  </si>
  <si>
    <t>Esimated from Figure 2 in [82]</t>
  </si>
  <si>
    <t>Authors noted difficulties observing insect-eating behaviors [83]</t>
  </si>
  <si>
    <t>Averaged across seasons in [92]; canker % assigned to structural parts</t>
  </si>
  <si>
    <t>G. moholi</t>
  </si>
  <si>
    <t>90-91</t>
  </si>
  <si>
    <t>Calculated using % fruit in [90] and assigning the remaining % to animal prey following [91]</t>
  </si>
  <si>
    <t>% breakdown not provided in [76]</t>
  </si>
  <si>
    <t>Averaged across seasons in [89]</t>
  </si>
  <si>
    <t>10% missing from total - added to fruit (classified as frugivore in [77])</t>
  </si>
  <si>
    <t>16% missing - added to fruit (classified as frugivore in [77])</t>
  </si>
  <si>
    <t>T. bancanus</t>
  </si>
  <si>
    <t>V. v. rubra</t>
  </si>
  <si>
    <t>Ref [94]</t>
  </si>
  <si>
    <t>Ref [38]</t>
  </si>
  <si>
    <t>Social System</t>
  </si>
  <si>
    <t>System Notes</t>
  </si>
  <si>
    <t>UM, MMMF</t>
  </si>
  <si>
    <t>Polygynandry</t>
  </si>
  <si>
    <t>Group</t>
  </si>
  <si>
    <t>PL</t>
  </si>
  <si>
    <t>Pair</t>
  </si>
  <si>
    <t>MMMF</t>
  </si>
  <si>
    <t>PL, UM, MMMF</t>
  </si>
  <si>
    <t>Polymorphic; use designation in [38]: 2/3 sources = monogamous/polyandrous</t>
  </si>
  <si>
    <t>Polymorphic; use designation in [38]: 3/3 sources = monogamous/polyandrous</t>
  </si>
  <si>
    <t>Polymorphic; use designation in [38]: 5/5 sources = monogamous/polyandrous</t>
  </si>
  <si>
    <t>Polygyny</t>
  </si>
  <si>
    <t>UM</t>
  </si>
  <si>
    <t xml:space="preserve">S </t>
  </si>
  <si>
    <t>Solitary</t>
  </si>
  <si>
    <t>S, PL</t>
  </si>
  <si>
    <t>Males and females sleep together; dispersed monogamy [96]</t>
  </si>
  <si>
    <t>Polymorphic; use designation in [38]: 3/3 sources = polygynous/polygynandrous</t>
  </si>
  <si>
    <t>S</t>
  </si>
  <si>
    <t>PL, MMMF</t>
  </si>
  <si>
    <t>Polymorphic; use designation in [38]: 2/4 sources = monogamous</t>
  </si>
  <si>
    <t>S, UM</t>
  </si>
  <si>
    <t>Females sleep together; males sometimes join groups of females; dispersed multimale [96]</t>
  </si>
  <si>
    <t>S, PL, UM</t>
  </si>
  <si>
    <t>21% of time is spent in pairs [97]</t>
  </si>
  <si>
    <t>Polymorphic; use designation in [38]: 1/1 sources = monogamous</t>
  </si>
  <si>
    <t>Sleeping associations comprised of female with offspring and 1 male [98]</t>
  </si>
  <si>
    <t>S, MMMF</t>
  </si>
  <si>
    <t>Adult pairs sleep together [96]</t>
  </si>
  <si>
    <t>Occur primarily in two-adult groups throughout their range [99]</t>
  </si>
  <si>
    <t>Solitary/Group</t>
  </si>
  <si>
    <t>Analyses repeated</t>
  </si>
  <si>
    <t>Polymorphic; use designation in [38]: 6/6 sources = polygynous/polygynandrous</t>
  </si>
  <si>
    <t>Group-living with fission-fusion dynamics [100]; follow designation in [94]</t>
  </si>
  <si>
    <t>Mean Group Size</t>
  </si>
  <si>
    <t>First or Duplicate Entry?</t>
  </si>
  <si>
    <t>KEY (species name &amp; group size) _duplicates in red</t>
  </si>
  <si>
    <t>Group Size</t>
  </si>
  <si>
    <t>Source(s) in reference from 38</t>
  </si>
  <si>
    <t>Allenopithecus_nigroviridis</t>
  </si>
  <si>
    <t>Rowe 1996</t>
  </si>
  <si>
    <t>Smuts et al. 1987</t>
  </si>
  <si>
    <t>Clutton-Brock &amp; Harvey 1997</t>
  </si>
  <si>
    <t>Kudo &amp; Dunbar 2001</t>
  </si>
  <si>
    <t>Jones 1983; Neville 1983</t>
  </si>
  <si>
    <t>Wrangham et al. 1993</t>
  </si>
  <si>
    <t>Crockett &amp; Eisenberg 1986</t>
  </si>
  <si>
    <t>Dunbar 1991</t>
  </si>
  <si>
    <t>Richard 1970</t>
  </si>
  <si>
    <t>Patterson et al. 2014</t>
  </si>
  <si>
    <t>Stoner 1996</t>
  </si>
  <si>
    <t>Patterson et al. supplementary material; from Majolo et al. 2008</t>
  </si>
  <si>
    <t>Chivers 1969</t>
  </si>
  <si>
    <t>Heltne et al. 1976</t>
  </si>
  <si>
    <t>Patterson et al. supplementary material; from van Schaik &amp; Hörstermann 1994</t>
  </si>
  <si>
    <t>Patterson et al. supplementary material; from Janson &amp; Goldsmith 1995</t>
  </si>
  <si>
    <t>Crockett &amp; Eisenberg 1987</t>
  </si>
  <si>
    <t>Patterson et al. supplementary material; from Chapman &amp; Chapman 2000</t>
  </si>
  <si>
    <t>Fedigan et al. 1985</t>
  </si>
  <si>
    <t>Smith 1977</t>
  </si>
  <si>
    <t>Ford 2010</t>
  </si>
  <si>
    <t>Clarke et al. 1986</t>
  </si>
  <si>
    <t>Lippold 1988</t>
  </si>
  <si>
    <t>Chivers 1969; Eisenberg &amp; Thorington 1973; Jolly 1972</t>
  </si>
  <si>
    <t>Patterson et al. supplementary material; from Clutton-Brock &amp; Harvey 1977b</t>
  </si>
  <si>
    <t xml:space="preserve">Milton 1980 </t>
  </si>
  <si>
    <t>Carpenter 1934</t>
  </si>
  <si>
    <t>Carpenter 1962</t>
  </si>
  <si>
    <t>Patterson et al. supplementary material; from Beauchamp &amp; Cabana 1990</t>
  </si>
  <si>
    <t>Baldwin et al. 1977</t>
  </si>
  <si>
    <t>Milton 1982</t>
  </si>
  <si>
    <t>Clarke et al. 2002</t>
  </si>
  <si>
    <t>Wang &amp; Milton 2003</t>
  </si>
  <si>
    <t>Milton &amp; Mittermeier 1977</t>
  </si>
  <si>
    <t xml:space="preserve">Chapman 1990b </t>
  </si>
  <si>
    <t>Assensio et al. 2007</t>
  </si>
  <si>
    <t>Asensio &amp; Gomez-Marin 2002</t>
  </si>
  <si>
    <t>Collias &amp; Southwick 1952</t>
  </si>
  <si>
    <t>Dunn et al. 2009</t>
  </si>
  <si>
    <t>Freese 1976</t>
  </si>
  <si>
    <t>Estrada 1982</t>
  </si>
  <si>
    <t>Alouatta_pigra</t>
  </si>
  <si>
    <t>Gaulin &amp; Gaulin 1982</t>
  </si>
  <si>
    <t>Aotus_azarai</t>
  </si>
  <si>
    <t xml:space="preserve">Aotus nigriceps (red necked group) </t>
  </si>
  <si>
    <t>Aotus_lemurinus</t>
  </si>
  <si>
    <t>Moynihan 1964; Jolly 1972</t>
  </si>
  <si>
    <t>Wright 1978</t>
  </si>
  <si>
    <t>Fernandez-Duque et al. 2001</t>
  </si>
  <si>
    <t>Fernandez-Duque et al.. 2001</t>
  </si>
  <si>
    <t>Fernandez-Duque et al. 2008</t>
  </si>
  <si>
    <t>Arctocebus_calabarensis</t>
  </si>
  <si>
    <t>Ateles_belzebuth</t>
  </si>
  <si>
    <t>Robinson &amp; Janson 1986</t>
  </si>
  <si>
    <t>Klein &amp; Klein 1977</t>
  </si>
  <si>
    <t>Ateles_fusciceps</t>
  </si>
  <si>
    <t>Eisenberg 1976</t>
  </si>
  <si>
    <t>Eisenberg &amp; Kuhn 1966; Jolly 1972</t>
  </si>
  <si>
    <t>Campbell 2000</t>
  </si>
  <si>
    <t>Asensio et al. 2008</t>
  </si>
  <si>
    <t>Chaves et al. 2011</t>
  </si>
  <si>
    <t>Chapman, pers. comm.</t>
  </si>
  <si>
    <t xml:space="preserve">Chapman 1990a; Chapman 1990b </t>
  </si>
  <si>
    <t>Eisenberg &amp; Kuehn 1966; Ahumada 1992;
H. Kudo. unpublished data</t>
  </si>
  <si>
    <t>Symington 1988</t>
  </si>
  <si>
    <t>Maclean et al. 2009</t>
  </si>
  <si>
    <t>Kappeler and Heymann 1996, Kappeler 1997, Atsalis 2000, Fietz et al. 2000, Sterling and McCreless 2006, Eberle and Kappeler 2006, Lahann 2007a, and Rasoloharijaona et al. 2008</t>
  </si>
  <si>
    <t>C. Harcourt</t>
  </si>
  <si>
    <t>Brachyteles_arachnoides</t>
  </si>
  <si>
    <t>Strier 1987</t>
  </si>
  <si>
    <t>Milton 1984</t>
  </si>
  <si>
    <t>Bunopithecus_hoolock</t>
  </si>
  <si>
    <t>Cacajao_calvus</t>
  </si>
  <si>
    <t>Robinson et al. 1986</t>
  </si>
  <si>
    <t>Wright 1984</t>
  </si>
  <si>
    <t>Mason 1968</t>
  </si>
  <si>
    <t>Bossuyt unpublished data</t>
  </si>
  <si>
    <t>Izawa 1976/1978</t>
  </si>
  <si>
    <t>Robinson et al. 1987</t>
  </si>
  <si>
    <t xml:space="preserve">Robinson 1979 </t>
  </si>
  <si>
    <t>Callicebus_personatus</t>
  </si>
  <si>
    <t>Callicebus_torquatus</t>
  </si>
  <si>
    <t>Terborgh 1983, Kinzey &amp; Wright 1982</t>
  </si>
  <si>
    <t>Callithrix_argentata</t>
  </si>
  <si>
    <t>Eisenberg &amp; Redford 1992</t>
  </si>
  <si>
    <t>Callithrix_geoffroyi</t>
  </si>
  <si>
    <t>Callithrix_humeralifera</t>
  </si>
  <si>
    <t>Digby and Barreto 1993</t>
  </si>
  <si>
    <t>Hubrecht 1985</t>
  </si>
  <si>
    <t>Lazaro-Perea et al. 2000</t>
  </si>
  <si>
    <t>Hubrecht 1984</t>
  </si>
  <si>
    <t>Callithrix_penicillata</t>
  </si>
  <si>
    <t>Soini 1982</t>
  </si>
  <si>
    <t>Youlatos 1999</t>
  </si>
  <si>
    <t>Soini 1987</t>
  </si>
  <si>
    <t>Robinson &amp; Janson 1986; Terborgh 1983</t>
  </si>
  <si>
    <t>Terborgh 1983</t>
  </si>
  <si>
    <t>Izawa 1980</t>
  </si>
  <si>
    <t>Cebus_capucinus</t>
  </si>
  <si>
    <t>Schultz 1956; Oppenheimer 1969a,b; Jolly 1972; Eisenberg &amp; Thorington 1973</t>
  </si>
  <si>
    <t>Perry et al. 2012</t>
  </si>
  <si>
    <t>Chapman &amp; Fedigan 1990</t>
  </si>
  <si>
    <t>Panger 1998</t>
  </si>
  <si>
    <t>Robinson &amp; Janson 1987</t>
  </si>
  <si>
    <t>Phillips 1995</t>
  </si>
  <si>
    <t>Cebus_olivaceus</t>
  </si>
  <si>
    <t>Robinson &amp; Janson 1986; Robinson 1988</t>
  </si>
  <si>
    <t>de Ruiter 1986, Fragaszy 1986</t>
  </si>
  <si>
    <t>Cercocebus_galeritus</t>
  </si>
  <si>
    <t>Clutton-Brock &amp; Harvey 1977a</t>
  </si>
  <si>
    <t>Homewood 1976</t>
  </si>
  <si>
    <t>Cercocebus_torquatus</t>
  </si>
  <si>
    <t>Cords 1986</t>
  </si>
  <si>
    <t>Struhsaker &amp; Laland 1979</t>
  </si>
  <si>
    <t>Struhsaker unpublished data</t>
  </si>
  <si>
    <t>Windfelder &amp; Lwanga 2002</t>
  </si>
  <si>
    <t>Cords 1987</t>
  </si>
  <si>
    <t>Struhsaker and Leland 1988</t>
  </si>
  <si>
    <t>Struhsaker 1975, 1977</t>
  </si>
  <si>
    <t>Patterson et al. supplementary material; from Hill &amp; Lee 1998</t>
  </si>
  <si>
    <t>Cercopithecus_campbelli</t>
  </si>
  <si>
    <t>Hunkler et al. 1972</t>
  </si>
  <si>
    <t>Cercopithecus_cephus</t>
  </si>
  <si>
    <t>Cercopithecus_diana</t>
  </si>
  <si>
    <t>Byrne et al. 1983</t>
  </si>
  <si>
    <t>Cercopithecus_erythrogaster</t>
  </si>
  <si>
    <t>Cercopithecus_hamlyni</t>
  </si>
  <si>
    <t>Cercopithecus_lhoesti</t>
  </si>
  <si>
    <t>Treves 1999</t>
  </si>
  <si>
    <t>Hill 1966; Aldrich—Blake 1970; Kingdon 1971; DeVos &amp; Omar 1971; Struhsaker 1975</t>
  </si>
  <si>
    <t>Butynski 1990</t>
  </si>
  <si>
    <t>Smith et al. 2008</t>
  </si>
  <si>
    <t>Rudran 1978</t>
  </si>
  <si>
    <t>Forster &amp; Cords 2005</t>
  </si>
  <si>
    <t>Rowell et al. 1991</t>
  </si>
  <si>
    <t>Cercopithecus_mona</t>
  </si>
  <si>
    <t>Cercopithecus_neglectus</t>
  </si>
  <si>
    <t>Cercopithecus_petaurista</t>
  </si>
  <si>
    <t>Cercopithecus_pogonias</t>
  </si>
  <si>
    <t>Cercopithecus_preussi</t>
  </si>
  <si>
    <t>Cercopithecus_wolfi</t>
  </si>
  <si>
    <t>sleep</t>
  </si>
  <si>
    <t>Chiropotes_satanas</t>
  </si>
  <si>
    <t>Chlorocebus_aethiops</t>
  </si>
  <si>
    <t>Seyfarth 1980; Fairbanks 1980</t>
  </si>
  <si>
    <t>Chlorocebus_pygerythrus</t>
  </si>
  <si>
    <t>subspecies C aethiops</t>
  </si>
  <si>
    <t>Colobus_guereza</t>
  </si>
  <si>
    <t>Struhsaker &amp; Leland 1986</t>
  </si>
  <si>
    <t>Dunbar &amp; Dunbar 1974, Struhsaker &amp; Laland 1979</t>
  </si>
  <si>
    <t>Dunbar &amp; Dunbar 1976, unpublished data</t>
  </si>
  <si>
    <t>Colobus_polykomos</t>
  </si>
  <si>
    <t>G. Dasilva</t>
  </si>
  <si>
    <t>Colobus_satanas</t>
  </si>
  <si>
    <t>McKey &amp; Waterman 1982, M. Harrison</t>
  </si>
  <si>
    <t>Nakagawa et al. 2003</t>
  </si>
  <si>
    <t>Hall 1965</t>
  </si>
  <si>
    <t>Hall 1966; Jolly 1972</t>
  </si>
  <si>
    <t>Starin 1981, 1993</t>
  </si>
  <si>
    <t>Struhsaker &amp; Gartlan 1970</t>
  </si>
  <si>
    <t>Chism and Rowell 1988</t>
  </si>
  <si>
    <t>Chism et al. 1983; Chism &amp; Rowell 1988</t>
  </si>
  <si>
    <t>Chism &amp; Olson, unpub.</t>
  </si>
  <si>
    <t>Nakagawa 1998</t>
  </si>
  <si>
    <t>Enstam &amp; Isbell 2002</t>
  </si>
  <si>
    <t>Nakagawa 2008</t>
  </si>
  <si>
    <t>Kaplan &amp; Zucker 1980; Nakagawa 1992</t>
  </si>
  <si>
    <t>Eulemur_coronatus</t>
  </si>
  <si>
    <t>Sussman 1977</t>
  </si>
  <si>
    <t>Harrington 1975</t>
  </si>
  <si>
    <t>Eulemur_fulvus_rufus</t>
  </si>
  <si>
    <t>Eulemur_macaco_macaco</t>
  </si>
  <si>
    <t>Eulemur_rubriventer</t>
  </si>
  <si>
    <t>Euoticus_elegantulus</t>
  </si>
  <si>
    <t>Galago_alleni</t>
  </si>
  <si>
    <t>Galago_moholi</t>
  </si>
  <si>
    <t>Galagoides_zanzibaricus</t>
  </si>
  <si>
    <t>Stewart &amp; Harcourt 1986</t>
  </si>
  <si>
    <t>Fossey &amp; Harcourt 1977</t>
  </si>
  <si>
    <t>Parnell 2002</t>
  </si>
  <si>
    <t>Masi et al. 2009</t>
  </si>
  <si>
    <t>Schaller 1963</t>
  </si>
  <si>
    <t>Schaller 1965; Fossey 1974; Fossey &amp; Harcourt 1977</t>
  </si>
  <si>
    <t>Patterson et al. supplementary material; from Clutton-Brock &amp; Harvey 1977b; G. beringei (exclude)</t>
  </si>
  <si>
    <t>Doran-Sheehy et al. 2007; Salmi et al. 2014</t>
  </si>
  <si>
    <t>Watts 1985</t>
  </si>
  <si>
    <t>Stewart &amp; Harcourt 1987</t>
  </si>
  <si>
    <t>Doran-Sheehy et al. 2007; Salmi et al. 2013</t>
  </si>
  <si>
    <t>Goldsmith 1993</t>
  </si>
  <si>
    <t>Watts 1991</t>
  </si>
  <si>
    <t>Fossey and Harcourt 1977</t>
  </si>
  <si>
    <t>Hapalemur_aureus</t>
  </si>
  <si>
    <t>Hapalemur_griseus</t>
  </si>
  <si>
    <t>Hapalemur_simus</t>
  </si>
  <si>
    <t>Hylobates_agilis</t>
  </si>
  <si>
    <t>Leighton 1986</t>
  </si>
  <si>
    <t>Gittins &amp; Raemakers 1980</t>
  </si>
  <si>
    <t>Hylobates_klossii</t>
  </si>
  <si>
    <t>Whitten 1980</t>
  </si>
  <si>
    <t>Ellefson 1974, Gittins &amp; Raemakers 1980</t>
  </si>
  <si>
    <t>Reichard &amp; Sommer 1997</t>
  </si>
  <si>
    <t>Brockelman et al. 1998</t>
  </si>
  <si>
    <t>Barelli et al. 2008</t>
  </si>
  <si>
    <t>Leighton 1987</t>
  </si>
  <si>
    <t>Tenaza &amp; Hamilton 1971; Chivers 1972a,b, 1974; Ellefson 1974</t>
  </si>
  <si>
    <t>Raemaekers 1980</t>
  </si>
  <si>
    <t>Palombit 1994</t>
  </si>
  <si>
    <t>Hylobates_moloch</t>
  </si>
  <si>
    <t>Hylobates_pileatus</t>
  </si>
  <si>
    <t>Pollock 1977</t>
  </si>
  <si>
    <t>Pollock 1979</t>
  </si>
  <si>
    <t>Stevenson &amp; Castellanos 2000</t>
  </si>
  <si>
    <t>Stevenson et al. 1994; Nishimura 2003</t>
  </si>
  <si>
    <t>Stevenson et al. 1994</t>
  </si>
  <si>
    <t>Stevenson 2006</t>
  </si>
  <si>
    <t>Di Fiore 2003</t>
  </si>
  <si>
    <t>Di Fiore &amp; Rodman 2001</t>
  </si>
  <si>
    <t>Defler &amp; Defler 1996</t>
  </si>
  <si>
    <t>Nishimura 2003</t>
  </si>
  <si>
    <t>Stevenson 2000</t>
  </si>
  <si>
    <t>Sussman 1977, Howarth et al 1986</t>
  </si>
  <si>
    <t>Jolly 1966; Oda 1996</t>
  </si>
  <si>
    <t>Leontopithecus_chrysomelas</t>
  </si>
  <si>
    <t>Lepilemur_mustelinus</t>
  </si>
  <si>
    <t>Melnick &amp; Pearl 1986</t>
  </si>
  <si>
    <t>Olupot et al. 1994</t>
  </si>
  <si>
    <t>Struhsaker 1975; Waser 1974 in Ham, 1994</t>
  </si>
  <si>
    <t>Waser 1977</t>
  </si>
  <si>
    <t>Melnick &amp; Pearl 1987</t>
  </si>
  <si>
    <t>Chalmers 1968</t>
  </si>
  <si>
    <t>Chalmers 1968, pers. comm.; Waser &amp; Floody 1974; Waser 1977; Struhsaker 1975</t>
  </si>
  <si>
    <t>Barrett, unpub. data.</t>
  </si>
  <si>
    <t>Ham 1994</t>
  </si>
  <si>
    <t>Arlet et al. 2009</t>
  </si>
  <si>
    <t>Lophocebus_aterrimus</t>
  </si>
  <si>
    <t>Macaca_arctoides</t>
  </si>
  <si>
    <t>Rhine &amp; Kronenwetter 1972</t>
  </si>
  <si>
    <t>Macaca_assamensis</t>
  </si>
  <si>
    <t>van Nordwijk 1985</t>
  </si>
  <si>
    <t>Macaca_fuscata</t>
  </si>
  <si>
    <t>Furuichi 1985; H. Kudo, unpublished data;
Burton 1986; Oi 1988</t>
  </si>
  <si>
    <t>Teas et al 1980</t>
  </si>
  <si>
    <t>Lindberg 1971</t>
  </si>
  <si>
    <t>Makwana 1978</t>
  </si>
  <si>
    <t>Melnick 1981</t>
  </si>
  <si>
    <t>Southwick et al. 1965; Neville 1968; Lindberg 1971, 1977</t>
  </si>
  <si>
    <t>Melnick 1981; Pearl 1982</t>
  </si>
  <si>
    <t>Teas et al. 1980</t>
  </si>
  <si>
    <t>Lindburg 1977</t>
  </si>
  <si>
    <t>Sade 1972, Chapais 1986</t>
  </si>
  <si>
    <t>Macaca_nemestrina</t>
  </si>
  <si>
    <t>Macaca_nigra</t>
  </si>
  <si>
    <t>Macaca_radiata</t>
  </si>
  <si>
    <t>Sugiyama 1971; J. Silk, unpublished data;
N. Koyama, unpublished data</t>
  </si>
  <si>
    <t>Macaca_silenus</t>
  </si>
  <si>
    <t>Macaca_sinica</t>
  </si>
  <si>
    <t>Macaca_sylvanus</t>
  </si>
  <si>
    <t>Deag 1974; MacRoberts 1970</t>
  </si>
  <si>
    <t>Mandrillus_leucophaeus</t>
  </si>
  <si>
    <t>Microcebus_rufus</t>
  </si>
  <si>
    <t>Mirza_coquereli</t>
  </si>
  <si>
    <t>Yeager 1990, 1991</t>
  </si>
  <si>
    <t>Bennett &amp; Sebastian 1988</t>
  </si>
  <si>
    <t>Matsuda et al.  2008</t>
  </si>
  <si>
    <t>Kawabe &amp; Mano 1972; D. MacDonald pers. comm.</t>
  </si>
  <si>
    <t>Yeager 1990</t>
  </si>
  <si>
    <t>community</t>
  </si>
  <si>
    <t>Idani 1991</t>
  </si>
  <si>
    <t>Goodall 1965, Wrangham 1977</t>
  </si>
  <si>
    <t>Carlson et al. 2013</t>
  </si>
  <si>
    <t>Shimada et al. 2009</t>
  </si>
  <si>
    <t>van Lawick-Goodall 1968; Wrangham 1975; Struhsaker 1975</t>
  </si>
  <si>
    <t>Suzuki 1979</t>
  </si>
  <si>
    <t>Clutton-Brock &amp; Harvey 1977b</t>
  </si>
  <si>
    <t>Herbinger et al. 2001</t>
  </si>
  <si>
    <t>Gomes &amp; Boesch 2011</t>
  </si>
  <si>
    <t>Tutin et al. 1983 reported size not accurate</t>
  </si>
  <si>
    <t>Potts et al. 2011</t>
  </si>
  <si>
    <t>Laporte &amp; Zuberbuhler 2010</t>
  </si>
  <si>
    <t>Sugiyama 1988; Takahata 1990; Kawanaka 1990;
Nishida &amp; Hosaka 1996</t>
  </si>
  <si>
    <t>Schino et al 1988</t>
  </si>
  <si>
    <t>Berger 1972; Chism et al. 1983</t>
  </si>
  <si>
    <t>Aldrich-Blake et al. 1971</t>
  </si>
  <si>
    <t>Smuts &amp; Watanabe 1990</t>
  </si>
  <si>
    <t>Higham et al. 2009</t>
  </si>
  <si>
    <t>Dunbar &amp; Dunbar 1974a</t>
  </si>
  <si>
    <t>Devore &amp; Hall 1965; Rowell 1966, 1968; Altmann &amp; Altmann 1970</t>
  </si>
  <si>
    <t>Eley et al. 1989</t>
  </si>
  <si>
    <t>Ransom 1981</t>
  </si>
  <si>
    <t>Kenyatta 1995</t>
  </si>
  <si>
    <t>Rowell 1966</t>
  </si>
  <si>
    <t>Strum &amp; Western 1982</t>
  </si>
  <si>
    <t>Nagel 1973</t>
  </si>
  <si>
    <t>Harding 1976</t>
  </si>
  <si>
    <t>Dunbar 1973</t>
  </si>
  <si>
    <t>Altmann 1980</t>
  </si>
  <si>
    <t>Sigg &amp; Stolba 1981; Stammbach 1986</t>
  </si>
  <si>
    <t>foraging</t>
  </si>
  <si>
    <t>Vervaecke 1990; H. Kudo, unpublished data</t>
  </si>
  <si>
    <t>Papio_papio</t>
  </si>
  <si>
    <t>Sharman 1981</t>
  </si>
  <si>
    <t>Papio_ursinus</t>
  </si>
  <si>
    <t>Seyfarth 1977</t>
  </si>
  <si>
    <t>G Davies, D Starin</t>
  </si>
  <si>
    <t>Stanford 1995</t>
  </si>
  <si>
    <t>Marsh 1979; Decker &amp; Kinnard 1992</t>
  </si>
  <si>
    <t>Decker &amp; Kinnaird 1992</t>
  </si>
  <si>
    <t>Struhsaker 1975</t>
  </si>
  <si>
    <t>Chapman &amp; Pavelka 2005</t>
  </si>
  <si>
    <t>Marsh 1979</t>
  </si>
  <si>
    <t>Struhsaker &amp; Leland 1987</t>
  </si>
  <si>
    <t>Gillespie &amp; Chapman 2001</t>
  </si>
  <si>
    <t>Gatinot 1975</t>
  </si>
  <si>
    <t>Galat &amp; Galat-Luong 1985</t>
  </si>
  <si>
    <t>Silkiluwasha 1981</t>
  </si>
  <si>
    <t>Gunderson 1977</t>
  </si>
  <si>
    <t>Struhsaker 1975; Struhsaker &amp; Leland 1987</t>
  </si>
  <si>
    <t>Struhsaker and Leland 1987</t>
  </si>
  <si>
    <t>Oates et al. 1990; Oates &amp; Whitesides 1990</t>
  </si>
  <si>
    <t>Oates et al. 1990</t>
  </si>
  <si>
    <t>Nishida 1972</t>
  </si>
  <si>
    <t>Clutton-Brock 1972, 1974, 1975a,b; Struhsaker 1975</t>
  </si>
  <si>
    <t>Struhsaker 1975; Clutton-Brock 1975</t>
  </si>
  <si>
    <t>Struhsaker unpublished data data of Lysa Leland</t>
  </si>
  <si>
    <t>Clutton-Brock 1975b</t>
  </si>
  <si>
    <t>Rodman &amp; Mitani 1986</t>
  </si>
  <si>
    <t>Mackinnon 1974</t>
  </si>
  <si>
    <t>Presbytis_comata</t>
  </si>
  <si>
    <t>Presbytis_melalophos</t>
  </si>
  <si>
    <t>Presbytis_potenziani</t>
  </si>
  <si>
    <t>Procolobus_verus</t>
  </si>
  <si>
    <t>Propithecus_diadema</t>
  </si>
  <si>
    <t>Howarth et al 1986</t>
  </si>
  <si>
    <t>Phiapalath et al. 2011</t>
  </si>
  <si>
    <t>Lippold 1977</t>
  </si>
  <si>
    <t>Rhinopithecus_roxellana</t>
  </si>
  <si>
    <t>Saguinus_fuscicollis</t>
  </si>
  <si>
    <t>Goldizen 1986</t>
  </si>
  <si>
    <t>Saguinus_imperator</t>
  </si>
  <si>
    <t>Saguinus_leucopus</t>
  </si>
  <si>
    <t>Saguinus_mystax</t>
  </si>
  <si>
    <t>Savage et al. 1996</t>
  </si>
  <si>
    <t>Goldizen 1987</t>
  </si>
  <si>
    <t>Saimiri_boliviensis</t>
  </si>
  <si>
    <t>Saimiri_oerstedii</t>
  </si>
  <si>
    <t>Stone 2008</t>
  </si>
  <si>
    <t>Boinski &amp; Mitchell 1995</t>
  </si>
  <si>
    <t>Sugiyama 1976</t>
  </si>
  <si>
    <t>Sugiyama 1965; Hrdy 1977</t>
  </si>
  <si>
    <t>Chivers 1974</t>
  </si>
  <si>
    <t>Tarsius_bancanus</t>
  </si>
  <si>
    <t>Theropithecus_gelada</t>
  </si>
  <si>
    <t>Iwamoto &amp; Dunbar 1983</t>
  </si>
  <si>
    <t>band</t>
  </si>
  <si>
    <t>Dunbar &amp; Dunbar 1975, unpublished data</t>
  </si>
  <si>
    <t>Trachypithecus_cristatus</t>
  </si>
  <si>
    <t>Trachypithecus_geei</t>
  </si>
  <si>
    <t>Trachypithecus_johnii</t>
  </si>
  <si>
    <t>Poirier 1970</t>
  </si>
  <si>
    <t>Trachypithecus_obscurus</t>
  </si>
  <si>
    <t>Trachypithecus_phayrei</t>
  </si>
  <si>
    <t>Trachypithecus_pileatus</t>
  </si>
  <si>
    <t>Stanford 1990</t>
  </si>
  <si>
    <t>Trachypithecus_vetulus</t>
  </si>
  <si>
    <t>References included in 38</t>
  </si>
  <si>
    <t>Clutton‐Brock, T. H., Harvey, P. H. Primate ecology and social organization. J. Zoology 183, 1-39 (1977).</t>
  </si>
  <si>
    <t>Dunbar, R. I. M. Functional significance of social grooming in primates. Folia Primatol. 57, 121-131 (1991).</t>
  </si>
  <si>
    <t>Eisenberg, J. F., Redford, K. H. Mammals of the Neotropics, Volume 2: The Southern Cone: Chile, Argentina, Uruguay, Paraguay (University of Chicago Press, 1992).</t>
  </si>
  <si>
    <t>Fox, E. A., van Schaik, C. P., Sitompul, A., Wright, D. N. Intra‐and interpopulational differences in orangutan (Pongo pygmaeus) activity and diet: implications for the invention of tool use. Am. J. Phys. Anthropol. 125, 162-174 (2004).</t>
  </si>
  <si>
    <t>Kappeler, P. M., &amp; Heymann, E. W. (1996). Nonconvergence in the evolution of primate life history and socio-ecology. Biological Journal of the Linnean Society, 59(3), 297-326.</t>
  </si>
  <si>
    <t>Kudo, H., Dunbar, R. I. M. Neocortex size and social network size in primates. Animal Behaviour 62, 711-722 (2001).</t>
  </si>
  <si>
    <t>MacLean, E. L., Barrickman, N. L., Johnson, E. M., Wall, C. E. Sociality, ecology, and relative brain size in lemurs. Journal of Human Evolution 56, 471-478 (2009).</t>
  </si>
  <si>
    <t>Patterson, S. K., Sandel, A. A., Miller, J. A., Mitani, J. C. Data quality and the comparative method: the case of primate group size. Internat. J. Primatol. 35, 990-1003 (2014).</t>
  </si>
  <si>
    <t>Plavcan, J. M., &amp; Van Schaik, C. P. (1997). Intrasexual competition and body weight dimorphism in anthropoid primates. American Journal of Physical Anthropology: The Official Publication of the American Association of Physical Anthropologists, 103(1), 37-68.</t>
  </si>
  <si>
    <t>Rothman, J. M., Plumptre, A. J., Dierenfeld, E. S., Pell, A. N. Nutritional composition of the diet of the gorilla (Gorilla beringei): a comparison between two montane habitats. J. Tropical Ecol. 23, 673-682 (2007).</t>
  </si>
  <si>
    <t>Rowe, N. The Pictoral Guide to the Living Primates (Pogonias Press, 1996).</t>
  </si>
  <si>
    <t>Shah, N. F. Foraging strategies in the two sympatric mangabey species (Cercocebus agilis and Lophocebus albigena). PhD. Thesis, Stony Brook. (2003).</t>
  </si>
  <si>
    <t>Smuts, B. B., Cheney, D. L., Seyfarth, R. M., Wrangham, R. W. Primate societies (University of Chicago Press, 1987).</t>
  </si>
  <si>
    <t>Wrangham, R. W., Gittleman, J. L., Chapman, C. A. Constraints on group size in primates and carnivores: population density and day-range as assays of exploitation competition. Behav. Ecol. Sociobiol. 32, 199-209 (1993).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</si>
</sst>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15">
    <font>
      <sz val="11"/>
      <color theme="1"/>
      <name val="Calibri"/>
      <family val="2"/>
      <scheme val="minor"/>
    </font>
    <font>
      <sz val="11"/>
      <color theme="1"/>
      <name val="Calibri"/>
      <family val="2"/>
      <scheme val="minor"/>
    </font>
    <font>
      <b/>
      <sz val="8"/>
      <color theme="1"/>
      <name val="Times New Roman"/>
      <family val="1"/>
    </font>
    <font>
      <sz val="8"/>
      <color theme="1"/>
      <name val="Times New Roman"/>
      <family val="1"/>
    </font>
    <font>
      <sz val="8"/>
      <name val="Times New Roman"/>
      <family val="1"/>
    </font>
    <font>
      <i/>
      <sz val="8"/>
      <color theme="1"/>
      <name val="Times New Roman"/>
      <family val="1"/>
    </font>
    <font>
      <b/>
      <sz val="8"/>
      <name val="Times New Roman"/>
      <family val="1"/>
    </font>
    <font>
      <i/>
      <sz val="8"/>
      <name val="Times New Roman"/>
      <family val="1"/>
    </font>
    <font>
      <b/>
      <i/>
      <sz val="8"/>
      <color theme="1"/>
      <name val="Times New Roman"/>
      <family val="1"/>
    </font>
    <font>
      <b/>
      <sz val="9"/>
      <color indexed="81"/>
      <name val="Tahoma"/>
      <family val="2"/>
    </font>
    <font>
      <sz val="9"/>
      <color indexed="81"/>
      <name val="Tahoma"/>
      <family val="2"/>
    </font>
    <font>
      <sz val="10"/>
      <color theme="1"/>
      <name val="Times New Roman"/>
      <family val="1"/>
    </font>
    <font>
      <b/>
      <sz val="10"/>
      <color theme="1"/>
      <name val="Times New Roman"/>
      <family val="1"/>
    </font>
    <font>
      <b/>
      <sz val="9"/>
      <color rgb="FF000000"/>
      <name val="Tahoma"/>
      <family val="2"/>
    </font>
    <font>
      <sz val="9"/>
      <color rgb="FF000000"/>
      <name val="Tahoma"/>
      <family val="2"/>
    </font>
  </fonts>
  <fills count="4">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9">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43" fontId="2" fillId="0" borderId="1" xfId="1" applyFont="1" applyBorder="1" applyAlignment="1">
      <alignment horizontal="left" vertical="center"/>
    </xf>
    <xf numFmtId="2" fontId="2" fillId="0" borderId="1" xfId="0" applyNumberFormat="1" applyFont="1" applyBorder="1" applyAlignment="1">
      <alignment horizontal="left" vertical="center"/>
    </xf>
    <xf numFmtId="2" fontId="2" fillId="0" borderId="1" xfId="0" applyNumberFormat="1" applyFont="1" applyBorder="1"/>
    <xf numFmtId="0" fontId="3" fillId="0" borderId="0" xfId="0" applyFont="1"/>
    <xf numFmtId="0" fontId="3" fillId="0" borderId="0" xfId="0" applyFont="1" applyAlignment="1">
      <alignment horizontal="center"/>
    </xf>
    <xf numFmtId="43" fontId="3" fillId="0" borderId="0" xfId="1" applyFont="1"/>
    <xf numFmtId="2" fontId="3" fillId="0" borderId="0" xfId="0" applyNumberFormat="1" applyFont="1"/>
    <xf numFmtId="2" fontId="3" fillId="2" borderId="0" xfId="0" applyNumberFormat="1" applyFont="1" applyFill="1"/>
    <xf numFmtId="0" fontId="3" fillId="0" borderId="0" xfId="0" applyFont="1" applyAlignment="1">
      <alignment horizontal="center" vertical="center"/>
    </xf>
    <xf numFmtId="2" fontId="3" fillId="3" borderId="0" xfId="0" applyNumberFormat="1" applyFont="1" applyFill="1"/>
    <xf numFmtId="0" fontId="2" fillId="0" borderId="1" xfId="0" applyFont="1" applyBorder="1"/>
    <xf numFmtId="0" fontId="3" fillId="0" borderId="0" xfId="0" applyFont="1" applyAlignment="1">
      <alignment horizontal="left"/>
    </xf>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5" fillId="0" borderId="0" xfId="0" applyFont="1" applyAlignment="1">
      <alignment horizontal="left"/>
    </xf>
    <xf numFmtId="0" fontId="6" fillId="0" borderId="1" xfId="0" applyFont="1" applyBorder="1" applyAlignment="1">
      <alignment horizontal="center"/>
    </xf>
    <xf numFmtId="165" fontId="4" fillId="0" borderId="0" xfId="1" applyNumberFormat="1" applyFont="1" applyFill="1" applyAlignment="1">
      <alignment horizontal="left"/>
    </xf>
    <xf numFmtId="2" fontId="5" fillId="0" borderId="0" xfId="0" applyNumberFormat="1" applyFont="1" applyAlignment="1">
      <alignment horizontal="center"/>
    </xf>
    <xf numFmtId="0" fontId="4" fillId="0" borderId="0" xfId="0" applyFont="1"/>
    <xf numFmtId="1" fontId="2" fillId="0" borderId="1" xfId="1" applyNumberFormat="1" applyFont="1" applyFill="1" applyBorder="1" applyAlignment="1">
      <alignment horizontal="center"/>
    </xf>
    <xf numFmtId="1" fontId="3" fillId="0" borderId="0" xfId="0" applyNumberFormat="1" applyFont="1" applyAlignment="1">
      <alignment horizontal="center"/>
    </xf>
    <xf numFmtId="1" fontId="3" fillId="0" borderId="0" xfId="0" applyNumberFormat="1" applyFont="1" applyAlignment="1">
      <alignment horizontal="left"/>
    </xf>
    <xf numFmtId="1" fontId="4" fillId="0" borderId="0" xfId="0" applyNumberFormat="1" applyFont="1" applyAlignment="1">
      <alignment horizontal="center"/>
    </xf>
    <xf numFmtId="0" fontId="6" fillId="0" borderId="1" xfId="0" applyFont="1" applyBorder="1"/>
    <xf numFmtId="164" fontId="6" fillId="0" borderId="1" xfId="1" applyNumberFormat="1" applyFont="1" applyFill="1" applyBorder="1" applyAlignment="1"/>
    <xf numFmtId="164" fontId="4" fillId="0" borderId="0" xfId="0" applyNumberFormat="1" applyFont="1" applyAlignment="1">
      <alignment horizontal="left"/>
    </xf>
    <xf numFmtId="164" fontId="4" fillId="0" borderId="0" xfId="0" applyNumberFormat="1" applyFont="1"/>
    <xf numFmtId="164" fontId="7" fillId="0" borderId="0" xfId="0" applyNumberFormat="1" applyFont="1"/>
    <xf numFmtId="1" fontId="3" fillId="0" borderId="0" xfId="1" applyNumberFormat="1" applyFont="1" applyAlignment="1">
      <alignment horizontal="center"/>
    </xf>
    <xf numFmtId="1" fontId="3" fillId="0" borderId="0" xfId="1" applyNumberFormat="1" applyFont="1" applyFill="1" applyAlignment="1">
      <alignment horizontal="center"/>
    </xf>
    <xf numFmtId="164" fontId="2" fillId="0" borderId="1" xfId="0" applyNumberFormat="1" applyFont="1" applyBorder="1" applyAlignment="1">
      <alignment horizontal="center"/>
    </xf>
    <xf numFmtId="164" fontId="3" fillId="0" borderId="0" xfId="1" applyNumberFormat="1" applyFont="1" applyFill="1" applyAlignment="1">
      <alignment horizontal="center"/>
    </xf>
    <xf numFmtId="164" fontId="3" fillId="0" borderId="0" xfId="0" applyNumberFormat="1" applyFont="1" applyAlignment="1">
      <alignment horizontal="center"/>
    </xf>
    <xf numFmtId="164" fontId="3" fillId="0" borderId="0" xfId="0" applyNumberFormat="1" applyFont="1"/>
    <xf numFmtId="2" fontId="2" fillId="0" borderId="1" xfId="0" applyNumberFormat="1" applyFont="1" applyBorder="1" applyAlignment="1">
      <alignment horizontal="center"/>
    </xf>
    <xf numFmtId="2" fontId="3" fillId="0" borderId="0" xfId="0" applyNumberFormat="1" applyFont="1" applyAlignment="1">
      <alignment horizontal="left"/>
    </xf>
    <xf numFmtId="164" fontId="2" fillId="0" borderId="1" xfId="1" applyNumberFormat="1" applyFont="1" applyFill="1" applyBorder="1" applyAlignment="1">
      <alignment horizontal="center"/>
    </xf>
    <xf numFmtId="164" fontId="4" fillId="0" borderId="0" xfId="0" applyNumberFormat="1" applyFont="1" applyAlignment="1">
      <alignment horizontal="center"/>
    </xf>
    <xf numFmtId="0" fontId="8" fillId="0" borderId="1" xfId="0" applyFont="1" applyBorder="1"/>
    <xf numFmtId="0" fontId="8" fillId="0" borderId="1" xfId="0" applyFont="1" applyBorder="1" applyAlignment="1">
      <alignment horizontal="center"/>
    </xf>
    <xf numFmtId="0" fontId="2" fillId="0" borderId="1" xfId="0" applyFont="1" applyBorder="1" applyAlignment="1">
      <alignment horizontal="left"/>
    </xf>
    <xf numFmtId="0" fontId="5" fillId="0" borderId="0" xfId="0" applyFont="1"/>
    <xf numFmtId="11" fontId="3" fillId="0" borderId="0" xfId="0" applyNumberFormat="1" applyFont="1" applyAlignment="1">
      <alignment horizontal="left"/>
    </xf>
    <xf numFmtId="0" fontId="11" fillId="0" borderId="0" xfId="0" applyFont="1"/>
    <xf numFmtId="0" fontId="12" fillId="0" borderId="1" xfId="0" applyFont="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39997558519241921"/>
  </sheetPr>
  <dimension ref="A1:AL400"/>
  <sheetViews>
    <sheetView tabSelected="1" zoomScaleNormal="100" workbookViewId="0">
      <pane xSplit="3" ySplit="1" topLeftCell="R316" activePane="bottomRight" state="frozen"/>
      <selection pane="bottomRight" activeCell="C326" sqref="C326"/>
      <selection pane="bottomLeft" activeCell="A2" sqref="A2"/>
      <selection pane="topRight" activeCell="D1" sqref="D1"/>
    </sheetView>
  </sheetViews>
  <sheetFormatPr defaultColWidth="8.7109375" defaultRowHeight="11.1"/>
  <cols>
    <col min="1" max="1" width="31.42578125" style="7" bestFit="1" customWidth="1"/>
    <col min="2" max="2" width="21.42578125" style="6" bestFit="1" customWidth="1"/>
    <col min="3" max="3" width="13.85546875" style="7" bestFit="1" customWidth="1"/>
    <col min="4" max="4" width="6.7109375" style="7" bestFit="1" customWidth="1"/>
    <col min="5" max="5" width="9.85546875" style="6" bestFit="1" customWidth="1"/>
    <col min="6" max="6" width="9.42578125" style="6" bestFit="1" customWidth="1"/>
    <col min="7" max="7" width="12.28515625" style="6" bestFit="1" customWidth="1"/>
    <col min="8" max="8" width="14.85546875" style="6" bestFit="1" customWidth="1"/>
    <col min="9" max="10" width="13.42578125" style="6" bestFit="1" customWidth="1"/>
    <col min="11" max="11" width="7.28515625" style="6" bestFit="1" customWidth="1"/>
    <col min="12" max="12" width="7" style="6" bestFit="1" customWidth="1"/>
    <col min="13" max="13" width="15.140625" style="6" bestFit="1" customWidth="1"/>
    <col min="14" max="14" width="9" style="6" bestFit="1" customWidth="1"/>
    <col min="15" max="15" width="10" style="6" bestFit="1" customWidth="1"/>
    <col min="16" max="16" width="10.85546875" style="6" bestFit="1" customWidth="1"/>
    <col min="17" max="17" width="12.85546875" style="6" bestFit="1" customWidth="1"/>
    <col min="18" max="18" width="13.28515625" style="6" bestFit="1" customWidth="1"/>
    <col min="19" max="19" width="19.140625" style="6" bestFit="1" customWidth="1"/>
    <col min="20" max="20" width="15" style="6" bestFit="1" customWidth="1"/>
    <col min="21" max="21" width="12.42578125" style="6" bestFit="1" customWidth="1"/>
    <col min="22" max="22" width="10.42578125" style="6" bestFit="1" customWidth="1"/>
    <col min="23" max="23" width="14.140625" style="6" bestFit="1" customWidth="1"/>
    <col min="24" max="24" width="13.140625" style="6" bestFit="1" customWidth="1"/>
    <col min="25" max="25" width="9.42578125" style="6" bestFit="1" customWidth="1"/>
    <col min="26" max="26" width="18.140625" style="6" bestFit="1" customWidth="1"/>
    <col min="27" max="27" width="14.42578125" style="6" bestFit="1" customWidth="1"/>
    <col min="28" max="28" width="9.42578125" style="6" bestFit="1" customWidth="1"/>
    <col min="29" max="29" width="17.140625" style="6" bestFit="1" customWidth="1"/>
    <col min="30" max="30" width="12" style="6" bestFit="1" customWidth="1"/>
    <col min="31" max="31" width="10.7109375" style="6" bestFit="1" customWidth="1"/>
    <col min="32" max="32" width="6.7109375" style="6" bestFit="1" customWidth="1"/>
    <col min="33" max="34" width="5.42578125" style="6" bestFit="1" customWidth="1"/>
    <col min="35" max="35" width="13" style="6" bestFit="1" customWidth="1"/>
    <col min="36" max="36" width="14.7109375" style="6" bestFit="1" customWidth="1"/>
    <col min="37" max="37" width="13.140625" style="6" bestFit="1" customWidth="1"/>
    <col min="38" max="38" width="12.28515625" style="6" bestFit="1" customWidth="1"/>
    <col min="39" max="16384" width="8.7109375" style="6"/>
  </cols>
  <sheetData>
    <row r="1" spans="1:38">
      <c r="A1" s="1" t="s">
        <v>0</v>
      </c>
      <c r="B1" s="2" t="s">
        <v>1</v>
      </c>
      <c r="C1" s="2" t="s">
        <v>2</v>
      </c>
      <c r="D1" s="2" t="s">
        <v>3</v>
      </c>
      <c r="E1" s="3"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5" t="s">
        <v>24</v>
      </c>
      <c r="Z1" s="4" t="s">
        <v>25</v>
      </c>
      <c r="AA1" s="5" t="s">
        <v>26</v>
      </c>
      <c r="AB1" s="5" t="s">
        <v>27</v>
      </c>
      <c r="AC1" s="5" t="s">
        <v>28</v>
      </c>
      <c r="AD1" s="5" t="s">
        <v>29</v>
      </c>
      <c r="AE1" s="5" t="s">
        <v>30</v>
      </c>
      <c r="AF1" s="5" t="s">
        <v>31</v>
      </c>
      <c r="AG1" s="5" t="s">
        <v>32</v>
      </c>
      <c r="AH1" s="5" t="s">
        <v>33</v>
      </c>
      <c r="AI1" s="5" t="s">
        <v>34</v>
      </c>
      <c r="AJ1" s="5" t="s">
        <v>35</v>
      </c>
      <c r="AK1" s="5" t="s">
        <v>36</v>
      </c>
      <c r="AL1" s="5" t="s">
        <v>37</v>
      </c>
    </row>
    <row r="2" spans="1:38" ht="10.5" hidden="1" customHeight="1">
      <c r="B2" s="6" t="s">
        <v>38</v>
      </c>
      <c r="C2" s="7">
        <v>43</v>
      </c>
      <c r="D2" s="7">
        <v>1</v>
      </c>
      <c r="E2" s="8">
        <v>53861</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v>178</v>
      </c>
      <c r="AJ2" s="9">
        <v>282</v>
      </c>
      <c r="AK2" s="9">
        <v>84</v>
      </c>
      <c r="AL2" s="9">
        <v>544</v>
      </c>
    </row>
    <row r="3" spans="1:38" ht="10.5" hidden="1" customHeight="1">
      <c r="B3" s="6" t="s">
        <v>39</v>
      </c>
      <c r="C3" s="7" t="s">
        <v>40</v>
      </c>
      <c r="D3" s="7">
        <v>1</v>
      </c>
      <c r="E3" s="8">
        <v>43520</v>
      </c>
      <c r="F3" s="9"/>
      <c r="G3" s="9"/>
      <c r="H3" s="9"/>
      <c r="I3" s="9"/>
      <c r="J3" s="9"/>
      <c r="K3" s="9"/>
      <c r="L3" s="9"/>
      <c r="M3" s="9"/>
      <c r="N3" s="9"/>
      <c r="O3" s="9"/>
      <c r="P3" s="9"/>
      <c r="Q3" s="9"/>
      <c r="R3" s="9"/>
      <c r="S3" s="9">
        <v>28560</v>
      </c>
      <c r="T3" s="9">
        <v>17150</v>
      </c>
      <c r="U3" s="9"/>
      <c r="V3" s="9"/>
      <c r="W3" s="9"/>
      <c r="X3" s="9"/>
      <c r="Y3" s="9"/>
      <c r="Z3" s="9"/>
      <c r="AA3" s="9"/>
      <c r="AB3" s="9">
        <v>1860</v>
      </c>
      <c r="AC3" s="9">
        <v>90</v>
      </c>
      <c r="AD3" s="9"/>
      <c r="AE3" s="9"/>
      <c r="AF3" s="9"/>
      <c r="AG3" s="9"/>
      <c r="AH3" s="9"/>
      <c r="AI3" s="9"/>
      <c r="AJ3" s="9"/>
      <c r="AK3" s="9"/>
      <c r="AL3" s="9"/>
    </row>
    <row r="4" spans="1:38" ht="10.5" hidden="1" customHeight="1">
      <c r="B4" s="6" t="s">
        <v>41</v>
      </c>
      <c r="C4" s="7">
        <v>34</v>
      </c>
      <c r="D4" s="7">
        <v>1</v>
      </c>
      <c r="E4" s="8">
        <v>50542.183520906925</v>
      </c>
      <c r="F4" s="9"/>
      <c r="G4" s="9"/>
      <c r="H4" s="9"/>
      <c r="I4" s="9"/>
      <c r="J4" s="9"/>
      <c r="K4" s="9"/>
      <c r="L4" s="9"/>
      <c r="M4" s="9"/>
      <c r="N4" s="9"/>
      <c r="O4" s="9"/>
      <c r="P4" s="9"/>
      <c r="Q4" s="9"/>
      <c r="R4" s="9"/>
      <c r="S4" s="9"/>
      <c r="T4" s="9"/>
      <c r="U4" s="9"/>
      <c r="V4" s="9"/>
      <c r="W4" s="9"/>
      <c r="X4" s="9"/>
      <c r="Y4" s="9"/>
      <c r="Z4" s="9"/>
      <c r="AA4" s="9"/>
      <c r="AB4" s="9">
        <v>1918</v>
      </c>
      <c r="AC4" s="9"/>
      <c r="AD4" s="9"/>
      <c r="AE4" s="9"/>
      <c r="AF4" s="9"/>
      <c r="AG4" s="9"/>
      <c r="AH4" s="9"/>
      <c r="AI4" s="9"/>
      <c r="AJ4" s="9"/>
      <c r="AK4" s="9"/>
      <c r="AL4" s="9"/>
    </row>
    <row r="5" spans="1:38" ht="10.5" hidden="1" customHeight="1">
      <c r="B5" s="6" t="s">
        <v>41</v>
      </c>
      <c r="C5" s="7">
        <v>53</v>
      </c>
      <c r="D5" s="7">
        <v>2</v>
      </c>
      <c r="E5" s="8">
        <v>49009.207999999999</v>
      </c>
      <c r="F5" s="9">
        <v>1593.25</v>
      </c>
      <c r="G5" s="9"/>
      <c r="H5" s="9"/>
      <c r="I5" s="9"/>
      <c r="J5" s="9"/>
      <c r="K5" s="9"/>
      <c r="L5" s="9"/>
      <c r="M5" s="9"/>
      <c r="N5" s="9"/>
      <c r="O5" s="9"/>
      <c r="P5" s="9"/>
      <c r="Q5" s="9"/>
      <c r="R5" s="9"/>
      <c r="S5" s="9"/>
      <c r="T5" s="9"/>
      <c r="U5" s="9"/>
      <c r="V5" s="9"/>
      <c r="W5" s="9"/>
      <c r="X5" s="9"/>
      <c r="Y5" s="9"/>
      <c r="Z5" s="9"/>
      <c r="AA5" s="9"/>
      <c r="AB5" s="9"/>
      <c r="AC5" s="9"/>
      <c r="AD5" s="9"/>
      <c r="AE5" s="9"/>
      <c r="AF5" s="9">
        <v>4.5199999999999996</v>
      </c>
      <c r="AG5" s="9">
        <v>3.46</v>
      </c>
      <c r="AH5" s="9">
        <v>3.24</v>
      </c>
      <c r="AI5" s="9"/>
      <c r="AJ5" s="9"/>
      <c r="AK5" s="9"/>
      <c r="AL5" s="9"/>
    </row>
    <row r="6" spans="1:38" hidden="1">
      <c r="B6" s="6" t="s">
        <v>41</v>
      </c>
      <c r="C6" s="7">
        <v>61</v>
      </c>
      <c r="D6" s="7">
        <v>1</v>
      </c>
      <c r="E6" s="8">
        <v>36500</v>
      </c>
      <c r="F6" s="9"/>
      <c r="G6" s="9">
        <v>4300</v>
      </c>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1:38" hidden="1">
      <c r="B7" s="6" t="s">
        <v>41</v>
      </c>
      <c r="C7" s="7">
        <v>61</v>
      </c>
      <c r="D7" s="7">
        <v>1</v>
      </c>
      <c r="E7" s="8">
        <v>38300</v>
      </c>
      <c r="F7" s="9"/>
      <c r="G7" s="9">
        <v>4000</v>
      </c>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row>
    <row r="8" spans="1:38" hidden="1">
      <c r="A8" s="7" t="s">
        <v>42</v>
      </c>
      <c r="B8" s="6" t="s">
        <v>41</v>
      </c>
      <c r="C8" s="7" t="s">
        <v>43</v>
      </c>
      <c r="D8" s="7">
        <v>2</v>
      </c>
      <c r="E8" s="8">
        <v>49009</v>
      </c>
      <c r="F8" s="10"/>
      <c r="G8" s="9">
        <v>5699</v>
      </c>
      <c r="H8" s="9">
        <v>986</v>
      </c>
      <c r="I8" s="9">
        <v>3344</v>
      </c>
      <c r="J8" s="9">
        <v>37388</v>
      </c>
      <c r="K8" s="9">
        <v>41.4</v>
      </c>
      <c r="L8" s="9">
        <v>0.59499999999999997</v>
      </c>
      <c r="M8" s="9">
        <v>827</v>
      </c>
      <c r="N8" s="9">
        <v>200</v>
      </c>
      <c r="O8" s="9">
        <v>2829</v>
      </c>
      <c r="P8" s="9">
        <v>2829</v>
      </c>
      <c r="Q8" s="9">
        <v>510</v>
      </c>
      <c r="R8" s="9">
        <v>1320</v>
      </c>
      <c r="S8" s="9">
        <v>31660</v>
      </c>
      <c r="T8" s="9"/>
      <c r="U8" s="9"/>
      <c r="V8" s="9"/>
      <c r="W8" s="9"/>
      <c r="X8" s="9"/>
      <c r="Y8" s="9"/>
      <c r="Z8" s="9"/>
      <c r="AA8" s="9"/>
      <c r="AB8" s="9"/>
      <c r="AC8" s="9">
        <v>85.7</v>
      </c>
      <c r="AD8" s="9">
        <v>488</v>
      </c>
      <c r="AE8" s="9">
        <v>413</v>
      </c>
      <c r="AF8" s="9"/>
      <c r="AG8" s="9"/>
      <c r="AH8" s="9"/>
      <c r="AI8" s="9"/>
      <c r="AJ8" s="9"/>
      <c r="AK8" s="9"/>
      <c r="AL8" s="9"/>
    </row>
    <row r="9" spans="1:38" hidden="1">
      <c r="B9" s="6" t="s">
        <v>44</v>
      </c>
      <c r="C9" s="7">
        <v>34</v>
      </c>
      <c r="D9" s="7">
        <v>2</v>
      </c>
      <c r="E9" s="8">
        <v>16588.527302813014</v>
      </c>
      <c r="F9" s="9"/>
      <c r="G9" s="9"/>
      <c r="H9" s="9"/>
      <c r="I9" s="9"/>
      <c r="J9" s="9"/>
      <c r="K9" s="9"/>
      <c r="L9" s="9"/>
      <c r="M9" s="9"/>
      <c r="N9" s="9"/>
      <c r="O9" s="9"/>
      <c r="P9" s="9"/>
      <c r="Q9" s="9"/>
      <c r="R9" s="9"/>
      <c r="S9" s="9"/>
      <c r="T9" s="9"/>
      <c r="U9" s="9"/>
      <c r="V9" s="9"/>
      <c r="W9" s="9"/>
      <c r="X9" s="9"/>
      <c r="Y9" s="9"/>
      <c r="Z9" s="9"/>
      <c r="AA9" s="9"/>
      <c r="AB9" s="9">
        <v>996</v>
      </c>
      <c r="AC9" s="9"/>
      <c r="AD9" s="9"/>
      <c r="AE9" s="9"/>
      <c r="AF9" s="9"/>
      <c r="AG9" s="9"/>
      <c r="AH9" s="9"/>
      <c r="AI9" s="9"/>
      <c r="AJ9" s="9"/>
      <c r="AK9" s="9"/>
      <c r="AL9" s="9"/>
    </row>
    <row r="10" spans="1:38" hidden="1">
      <c r="B10" s="6" t="s">
        <v>44</v>
      </c>
      <c r="C10" s="7">
        <v>53</v>
      </c>
      <c r="D10" s="7">
        <v>4</v>
      </c>
      <c r="E10" s="8">
        <v>16207.886</v>
      </c>
      <c r="F10" s="9">
        <v>675.3</v>
      </c>
      <c r="G10" s="9"/>
      <c r="H10" s="9"/>
      <c r="I10" s="9"/>
      <c r="J10" s="9"/>
      <c r="K10" s="9"/>
      <c r="L10" s="9"/>
      <c r="M10" s="9"/>
      <c r="N10" s="9"/>
      <c r="O10" s="9"/>
      <c r="P10" s="9"/>
      <c r="Q10" s="9"/>
      <c r="R10" s="9"/>
      <c r="S10" s="9"/>
      <c r="T10" s="9"/>
      <c r="U10" s="9"/>
      <c r="V10" s="9"/>
      <c r="W10" s="9"/>
      <c r="X10" s="9"/>
      <c r="Y10" s="9"/>
      <c r="Z10" s="9"/>
      <c r="AA10" s="9"/>
      <c r="AB10" s="9"/>
      <c r="AC10" s="9"/>
      <c r="AD10" s="9"/>
      <c r="AE10" s="9"/>
      <c r="AF10" s="9">
        <v>1.72</v>
      </c>
      <c r="AG10" s="9">
        <v>2.48</v>
      </c>
      <c r="AH10" s="9">
        <v>1.74</v>
      </c>
      <c r="AI10" s="9"/>
      <c r="AJ10" s="9"/>
      <c r="AK10" s="9"/>
      <c r="AL10" s="9"/>
    </row>
    <row r="11" spans="1:38" hidden="1">
      <c r="B11" s="6" t="s">
        <v>44</v>
      </c>
      <c r="C11" s="7">
        <v>61</v>
      </c>
      <c r="D11" s="7">
        <v>1</v>
      </c>
      <c r="E11" s="8">
        <v>15800</v>
      </c>
      <c r="F11" s="9"/>
      <c r="G11" s="9">
        <v>1700</v>
      </c>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idden="1">
      <c r="B12" s="6" t="s">
        <v>44</v>
      </c>
      <c r="C12" s="7">
        <v>61</v>
      </c>
      <c r="D12" s="7">
        <v>1</v>
      </c>
      <c r="E12" s="8">
        <v>18900</v>
      </c>
      <c r="F12" s="9"/>
      <c r="G12" s="9">
        <v>1700</v>
      </c>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row>
    <row r="13" spans="1:38" hidden="1">
      <c r="B13" s="6" t="s">
        <v>44</v>
      </c>
      <c r="C13" s="7">
        <v>61</v>
      </c>
      <c r="D13" s="7">
        <v>1</v>
      </c>
      <c r="E13" s="8">
        <v>19700</v>
      </c>
      <c r="F13" s="9"/>
      <c r="G13" s="9">
        <v>1800</v>
      </c>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row>
    <row r="14" spans="1:38" hidden="1">
      <c r="B14" s="6" t="s">
        <v>44</v>
      </c>
      <c r="C14" s="7">
        <v>61</v>
      </c>
      <c r="D14" s="7">
        <v>1</v>
      </c>
      <c r="E14" s="8">
        <v>22100</v>
      </c>
      <c r="F14" s="9"/>
      <c r="G14" s="9">
        <v>1800</v>
      </c>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row>
    <row r="15" spans="1:38" hidden="1">
      <c r="A15" s="7" t="s">
        <v>42</v>
      </c>
      <c r="B15" s="6" t="s">
        <v>44</v>
      </c>
      <c r="C15" s="7" t="s">
        <v>43</v>
      </c>
      <c r="D15" s="7">
        <v>5</v>
      </c>
      <c r="E15" s="8">
        <v>16195</v>
      </c>
      <c r="F15" s="10"/>
      <c r="G15" s="9">
        <v>1873</v>
      </c>
      <c r="H15" s="9">
        <v>409</v>
      </c>
      <c r="I15" s="9">
        <v>1098</v>
      </c>
      <c r="J15" s="9">
        <v>12128</v>
      </c>
      <c r="K15" s="9">
        <v>56</v>
      </c>
      <c r="L15" s="9">
        <v>0.222</v>
      </c>
      <c r="M15" s="9">
        <v>394</v>
      </c>
      <c r="N15" s="9">
        <v>83.3</v>
      </c>
      <c r="O15" s="9">
        <v>862</v>
      </c>
      <c r="P15" s="9">
        <v>862</v>
      </c>
      <c r="Q15" s="9">
        <v>243</v>
      </c>
      <c r="R15" s="9">
        <v>539</v>
      </c>
      <c r="S15" s="9">
        <v>9950</v>
      </c>
      <c r="T15" s="9"/>
      <c r="U15" s="9"/>
      <c r="V15" s="9"/>
      <c r="W15" s="9"/>
      <c r="X15" s="9"/>
      <c r="Y15" s="9"/>
      <c r="Z15" s="9"/>
      <c r="AA15" s="9"/>
      <c r="AB15" s="9"/>
      <c r="AC15" s="9">
        <v>36</v>
      </c>
      <c r="AD15" s="9">
        <v>203</v>
      </c>
      <c r="AE15" s="9">
        <v>201</v>
      </c>
      <c r="AF15" s="9"/>
      <c r="AG15" s="9"/>
      <c r="AH15" s="9"/>
      <c r="AI15" s="9"/>
      <c r="AJ15" s="9"/>
      <c r="AK15" s="9"/>
      <c r="AL15" s="9"/>
    </row>
    <row r="16" spans="1:38" hidden="1">
      <c r="B16" s="6" t="s">
        <v>44</v>
      </c>
      <c r="C16" s="7" t="s">
        <v>40</v>
      </c>
      <c r="D16" s="7">
        <v>1</v>
      </c>
      <c r="E16" s="8">
        <v>11420</v>
      </c>
      <c r="F16" s="9"/>
      <c r="G16" s="9"/>
      <c r="H16" s="9"/>
      <c r="I16" s="9"/>
      <c r="J16" s="9"/>
      <c r="K16" s="9"/>
      <c r="L16" s="9"/>
      <c r="M16" s="9"/>
      <c r="N16" s="9"/>
      <c r="O16" s="9"/>
      <c r="P16" s="9"/>
      <c r="Q16" s="9"/>
      <c r="R16" s="9"/>
      <c r="S16" s="9">
        <v>6970.0000000000009</v>
      </c>
      <c r="T16" s="9">
        <v>5230</v>
      </c>
      <c r="U16" s="9"/>
      <c r="V16" s="9"/>
      <c r="W16" s="9"/>
      <c r="X16" s="9"/>
      <c r="Y16" s="9"/>
      <c r="Z16" s="9"/>
      <c r="AA16" s="9"/>
      <c r="AB16" s="9">
        <v>630</v>
      </c>
      <c r="AC16" s="9"/>
      <c r="AD16" s="9"/>
      <c r="AE16" s="9"/>
      <c r="AF16" s="9"/>
      <c r="AG16" s="9"/>
      <c r="AH16" s="9"/>
      <c r="AI16" s="9"/>
      <c r="AJ16" s="9"/>
      <c r="AK16" s="9"/>
      <c r="AL16" s="9"/>
    </row>
    <row r="17" spans="1:38" hidden="1">
      <c r="B17" s="6" t="s">
        <v>45</v>
      </c>
      <c r="C17" s="7">
        <v>34</v>
      </c>
      <c r="D17" s="7">
        <v>1</v>
      </c>
      <c r="E17" s="8">
        <v>103939.97893997893</v>
      </c>
      <c r="F17" s="9"/>
      <c r="G17" s="9"/>
      <c r="H17" s="9"/>
      <c r="I17" s="9"/>
      <c r="J17" s="9"/>
      <c r="K17" s="9"/>
      <c r="L17" s="9"/>
      <c r="M17" s="9"/>
      <c r="N17" s="9"/>
      <c r="O17" s="9"/>
      <c r="P17" s="9"/>
      <c r="Q17" s="9"/>
      <c r="R17" s="9"/>
      <c r="S17" s="9"/>
      <c r="T17" s="9"/>
      <c r="U17" s="9"/>
      <c r="V17" s="9"/>
      <c r="W17" s="9"/>
      <c r="X17" s="9"/>
      <c r="Y17" s="9"/>
      <c r="Z17" s="9"/>
      <c r="AA17" s="9"/>
      <c r="AB17" s="9">
        <v>3753</v>
      </c>
      <c r="AC17" s="9"/>
      <c r="AD17" s="9"/>
      <c r="AE17" s="9"/>
      <c r="AF17" s="9"/>
      <c r="AG17" s="9"/>
      <c r="AH17" s="9"/>
      <c r="AI17" s="9"/>
      <c r="AJ17" s="9"/>
      <c r="AK17" s="9"/>
      <c r="AL17" s="9"/>
    </row>
    <row r="18" spans="1:38" hidden="1">
      <c r="B18" s="6" t="s">
        <v>45</v>
      </c>
      <c r="C18" s="7">
        <v>43</v>
      </c>
      <c r="D18" s="7">
        <v>1</v>
      </c>
      <c r="E18" s="8">
        <v>102700</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v>200</v>
      </c>
      <c r="AJ18" s="9">
        <v>362</v>
      </c>
      <c r="AK18" s="9">
        <v>270</v>
      </c>
      <c r="AL18" s="9">
        <v>832</v>
      </c>
    </row>
    <row r="19" spans="1:38" hidden="1">
      <c r="B19" s="6" t="s">
        <v>45</v>
      </c>
      <c r="C19" s="7">
        <v>53</v>
      </c>
      <c r="D19" s="7">
        <v>1</v>
      </c>
      <c r="E19" s="8">
        <v>101033.51700000001</v>
      </c>
      <c r="F19" s="9">
        <v>1833.67</v>
      </c>
      <c r="G19" s="9"/>
      <c r="H19" s="9"/>
      <c r="I19" s="9"/>
      <c r="J19" s="9"/>
      <c r="K19" s="9"/>
      <c r="L19" s="9"/>
      <c r="M19" s="9"/>
      <c r="N19" s="9"/>
      <c r="O19" s="9"/>
      <c r="P19" s="9"/>
      <c r="Q19" s="9"/>
      <c r="R19" s="9"/>
      <c r="S19" s="9"/>
      <c r="T19" s="9"/>
      <c r="U19" s="9"/>
      <c r="V19" s="9"/>
      <c r="W19" s="9"/>
      <c r="X19" s="9"/>
      <c r="Y19" s="9"/>
      <c r="Z19" s="9"/>
      <c r="AA19" s="9"/>
      <c r="AB19" s="9"/>
      <c r="AC19" s="9"/>
      <c r="AD19" s="9"/>
      <c r="AE19" s="9"/>
      <c r="AF19" s="9">
        <v>3.6</v>
      </c>
      <c r="AG19" s="9">
        <v>3.3</v>
      </c>
      <c r="AH19" s="9">
        <v>3.56</v>
      </c>
      <c r="AI19" s="9"/>
      <c r="AJ19" s="9"/>
      <c r="AK19" s="9"/>
      <c r="AL19" s="9"/>
    </row>
    <row r="20" spans="1:38">
      <c r="A20" s="7" t="s">
        <v>42</v>
      </c>
      <c r="B20" s="6" t="s">
        <v>45</v>
      </c>
      <c r="C20" s="7" t="s">
        <v>43</v>
      </c>
      <c r="D20" s="7">
        <v>1</v>
      </c>
      <c r="E20" s="8">
        <v>101034</v>
      </c>
      <c r="F20" s="10"/>
      <c r="G20" s="9">
        <v>12438</v>
      </c>
      <c r="H20" s="9">
        <v>1482</v>
      </c>
      <c r="I20" s="9">
        <v>5334</v>
      </c>
      <c r="J20" s="9">
        <v>79946</v>
      </c>
      <c r="K20" s="9">
        <v>90.4</v>
      </c>
      <c r="L20" s="9">
        <v>2.19</v>
      </c>
      <c r="M20" s="9">
        <v>1625</v>
      </c>
      <c r="N20" s="9">
        <v>324</v>
      </c>
      <c r="O20" s="9">
        <v>4950</v>
      </c>
      <c r="P20" s="9">
        <v>4950</v>
      </c>
      <c r="Q20" s="9">
        <v>732</v>
      </c>
      <c r="R20" s="9">
        <v>1366</v>
      </c>
      <c r="S20" s="9">
        <v>70856</v>
      </c>
      <c r="T20" s="9"/>
      <c r="U20" s="9">
        <v>30.5</v>
      </c>
      <c r="V20" s="9">
        <v>2930</v>
      </c>
      <c r="W20" s="9">
        <v>629</v>
      </c>
      <c r="X20" s="9">
        <v>860</v>
      </c>
      <c r="Y20" s="9">
        <v>807</v>
      </c>
      <c r="Z20" s="9">
        <v>52.8</v>
      </c>
      <c r="AA20" s="9">
        <v>204</v>
      </c>
      <c r="AB20" s="9"/>
      <c r="AC20" s="9">
        <v>151</v>
      </c>
      <c r="AD20" s="9"/>
      <c r="AE20" s="9"/>
      <c r="AF20" s="9"/>
      <c r="AG20" s="9"/>
      <c r="AH20" s="9"/>
      <c r="AI20" s="9"/>
      <c r="AJ20" s="9"/>
      <c r="AK20" s="9"/>
      <c r="AL20" s="9"/>
    </row>
    <row r="21" spans="1:38" hidden="1">
      <c r="B21" s="6" t="s">
        <v>45</v>
      </c>
      <c r="C21" s="7" t="s">
        <v>40</v>
      </c>
      <c r="D21" s="7">
        <v>1</v>
      </c>
      <c r="E21" s="8">
        <v>72410</v>
      </c>
      <c r="F21" s="9"/>
      <c r="G21" s="9"/>
      <c r="H21" s="9"/>
      <c r="I21" s="9"/>
      <c r="J21" s="9"/>
      <c r="K21" s="9"/>
      <c r="L21" s="9"/>
      <c r="M21" s="9"/>
      <c r="N21" s="9"/>
      <c r="O21" s="9"/>
      <c r="P21" s="9"/>
      <c r="Q21" s="9"/>
      <c r="R21" s="9"/>
      <c r="S21" s="9">
        <v>48879.999999999993</v>
      </c>
      <c r="T21" s="9">
        <v>30930</v>
      </c>
      <c r="U21" s="9"/>
      <c r="V21" s="9"/>
      <c r="W21" s="9"/>
      <c r="X21" s="9"/>
      <c r="Y21" s="9"/>
      <c r="Z21" s="9"/>
      <c r="AA21" s="9"/>
      <c r="AB21" s="9">
        <v>3130</v>
      </c>
      <c r="AC21" s="9">
        <v>120</v>
      </c>
      <c r="AD21" s="9"/>
      <c r="AE21" s="9"/>
      <c r="AF21" s="9"/>
      <c r="AG21" s="9"/>
      <c r="AH21" s="9"/>
      <c r="AI21" s="9"/>
      <c r="AJ21" s="9"/>
      <c r="AK21" s="9"/>
      <c r="AL21" s="9"/>
    </row>
    <row r="22" spans="1:38" hidden="1">
      <c r="B22" s="6" t="s">
        <v>46</v>
      </c>
      <c r="C22" s="7">
        <v>61</v>
      </c>
      <c r="D22" s="7">
        <v>1</v>
      </c>
      <c r="E22" s="8">
        <v>71800</v>
      </c>
      <c r="F22" s="9"/>
      <c r="G22" s="9">
        <v>8700</v>
      </c>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row>
    <row r="23" spans="1:38" hidden="1">
      <c r="B23" s="6" t="s">
        <v>46</v>
      </c>
      <c r="C23" s="7">
        <v>61</v>
      </c>
      <c r="D23" s="7">
        <v>1</v>
      </c>
      <c r="E23" s="8">
        <v>93000</v>
      </c>
      <c r="F23" s="9"/>
      <c r="G23" s="9">
        <v>11700</v>
      </c>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row>
    <row r="24" spans="1:38" hidden="1">
      <c r="B24" s="6" t="s">
        <v>46</v>
      </c>
      <c r="C24" s="7">
        <v>61</v>
      </c>
      <c r="D24" s="7">
        <v>1</v>
      </c>
      <c r="E24" s="8">
        <v>107300</v>
      </c>
      <c r="F24" s="9"/>
      <c r="G24" s="9">
        <v>10700</v>
      </c>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row>
    <row r="25" spans="1:38" hidden="1">
      <c r="B25" s="6" t="s">
        <v>47</v>
      </c>
      <c r="C25" s="7">
        <v>34</v>
      </c>
      <c r="D25" s="7">
        <v>1</v>
      </c>
      <c r="E25" s="8">
        <v>10060.885060885059</v>
      </c>
      <c r="F25" s="9"/>
      <c r="G25" s="9"/>
      <c r="H25" s="9"/>
      <c r="I25" s="9"/>
      <c r="J25" s="9"/>
      <c r="K25" s="9"/>
      <c r="L25" s="9"/>
      <c r="M25" s="9"/>
      <c r="N25" s="9"/>
      <c r="O25" s="9"/>
      <c r="P25" s="9"/>
      <c r="Q25" s="9"/>
      <c r="R25" s="9"/>
      <c r="S25" s="9"/>
      <c r="T25" s="9"/>
      <c r="U25" s="9"/>
      <c r="V25" s="9"/>
      <c r="W25" s="9"/>
      <c r="X25" s="9"/>
      <c r="Y25" s="9"/>
      <c r="Z25" s="9"/>
      <c r="AA25" s="9"/>
      <c r="AB25" s="9">
        <v>475</v>
      </c>
      <c r="AC25" s="9"/>
      <c r="AD25" s="9"/>
      <c r="AE25" s="9"/>
      <c r="AF25" s="9"/>
      <c r="AG25" s="9"/>
      <c r="AH25" s="9"/>
      <c r="AI25" s="9"/>
      <c r="AJ25" s="9"/>
      <c r="AK25" s="9"/>
      <c r="AL25" s="9"/>
    </row>
    <row r="26" spans="1:38" hidden="1">
      <c r="B26" s="6" t="s">
        <v>47</v>
      </c>
      <c r="C26" s="7">
        <v>43</v>
      </c>
      <c r="D26" s="7">
        <v>1</v>
      </c>
      <c r="E26" s="8">
        <v>9256.7999999999993</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v>26</v>
      </c>
      <c r="AJ26" s="9">
        <v>36</v>
      </c>
      <c r="AK26" s="9">
        <v>14</v>
      </c>
      <c r="AL26" s="9">
        <v>76</v>
      </c>
    </row>
    <row r="27" spans="1:38" hidden="1">
      <c r="B27" s="6" t="s">
        <v>47</v>
      </c>
      <c r="C27" s="7">
        <v>53</v>
      </c>
      <c r="D27" s="7">
        <v>2</v>
      </c>
      <c r="E27" s="8">
        <v>9798</v>
      </c>
      <c r="F27" s="9">
        <v>553.35</v>
      </c>
      <c r="G27" s="9"/>
      <c r="H27" s="9"/>
      <c r="I27" s="9"/>
      <c r="J27" s="9"/>
      <c r="K27" s="9"/>
      <c r="L27" s="9"/>
      <c r="M27" s="9"/>
      <c r="N27" s="9"/>
      <c r="O27" s="9"/>
      <c r="P27" s="9"/>
      <c r="Q27" s="9"/>
      <c r="R27" s="9"/>
      <c r="S27" s="9"/>
      <c r="T27" s="9"/>
      <c r="U27" s="9"/>
      <c r="V27" s="9"/>
      <c r="W27" s="9"/>
      <c r="X27" s="9"/>
      <c r="Y27" s="9"/>
      <c r="Z27" s="9"/>
      <c r="AA27" s="9"/>
      <c r="AB27" s="9"/>
      <c r="AC27" s="9"/>
      <c r="AD27" s="9"/>
      <c r="AE27" s="9"/>
      <c r="AF27" s="9">
        <v>1.76</v>
      </c>
      <c r="AG27" s="9">
        <v>2.14</v>
      </c>
      <c r="AH27" s="9">
        <v>1.48</v>
      </c>
      <c r="AI27" s="9"/>
      <c r="AJ27" s="9"/>
      <c r="AK27" s="9"/>
      <c r="AL27" s="9"/>
    </row>
    <row r="28" spans="1:38" hidden="1">
      <c r="A28" s="7" t="s">
        <v>42</v>
      </c>
      <c r="B28" s="6" t="s">
        <v>47</v>
      </c>
      <c r="C28" s="7" t="s">
        <v>43</v>
      </c>
      <c r="D28" s="7">
        <v>2</v>
      </c>
      <c r="E28" s="8">
        <v>9798</v>
      </c>
      <c r="F28" s="10"/>
      <c r="G28" s="9">
        <v>1489</v>
      </c>
      <c r="H28" s="9">
        <v>343</v>
      </c>
      <c r="I28" s="9">
        <v>862</v>
      </c>
      <c r="J28" s="9">
        <v>6550</v>
      </c>
      <c r="K28" s="9">
        <v>89.2</v>
      </c>
      <c r="L28" s="9">
        <v>3.01</v>
      </c>
      <c r="M28" s="9">
        <v>284</v>
      </c>
      <c r="N28" s="9">
        <v>69.7</v>
      </c>
      <c r="O28" s="9">
        <v>524</v>
      </c>
      <c r="P28" s="9">
        <v>524</v>
      </c>
      <c r="Q28" s="9">
        <v>241</v>
      </c>
      <c r="R28" s="9">
        <v>526</v>
      </c>
      <c r="S28" s="9">
        <v>4813</v>
      </c>
      <c r="T28" s="9"/>
      <c r="U28" s="9"/>
      <c r="V28" s="9"/>
      <c r="W28" s="9"/>
      <c r="X28" s="9"/>
      <c r="Y28" s="9"/>
      <c r="Z28" s="9"/>
      <c r="AA28" s="9"/>
      <c r="AB28" s="9"/>
      <c r="AC28" s="9">
        <v>27.4</v>
      </c>
      <c r="AD28" s="9"/>
      <c r="AE28" s="9"/>
      <c r="AF28" s="9"/>
      <c r="AG28" s="9"/>
      <c r="AH28" s="9"/>
      <c r="AI28" s="9"/>
      <c r="AJ28" s="9"/>
      <c r="AK28" s="9"/>
      <c r="AL28" s="9"/>
    </row>
    <row r="29" spans="1:38" hidden="1">
      <c r="B29" s="6" t="s">
        <v>48</v>
      </c>
      <c r="C29" s="7">
        <v>34</v>
      </c>
      <c r="D29" s="7">
        <v>2</v>
      </c>
      <c r="E29" s="8">
        <v>9420.1344201344182</v>
      </c>
      <c r="F29" s="9"/>
      <c r="G29" s="9"/>
      <c r="H29" s="9"/>
      <c r="I29" s="9"/>
      <c r="J29" s="9"/>
      <c r="K29" s="9"/>
      <c r="L29" s="9"/>
      <c r="M29" s="9"/>
      <c r="N29" s="9"/>
      <c r="O29" s="9"/>
      <c r="P29" s="9"/>
      <c r="Q29" s="9"/>
      <c r="R29" s="9"/>
      <c r="S29" s="9"/>
      <c r="T29" s="9"/>
      <c r="U29" s="9"/>
      <c r="V29" s="9"/>
      <c r="W29" s="9"/>
      <c r="X29" s="9"/>
      <c r="Y29" s="9"/>
      <c r="Z29" s="9"/>
      <c r="AA29" s="9"/>
      <c r="AB29" s="9">
        <v>450</v>
      </c>
      <c r="AC29" s="9"/>
      <c r="AD29" s="9"/>
      <c r="AE29" s="9"/>
      <c r="AF29" s="9"/>
      <c r="AG29" s="9"/>
      <c r="AH29" s="9"/>
      <c r="AI29" s="9"/>
      <c r="AJ29" s="9"/>
      <c r="AK29" s="9"/>
      <c r="AL29" s="9"/>
    </row>
    <row r="30" spans="1:38" hidden="1">
      <c r="B30" s="6" t="s">
        <v>48</v>
      </c>
      <c r="C30" s="7">
        <v>53</v>
      </c>
      <c r="D30" s="7">
        <v>2</v>
      </c>
      <c r="E30" s="8">
        <v>9124</v>
      </c>
      <c r="F30" s="9">
        <v>508.46</v>
      </c>
      <c r="G30" s="9"/>
      <c r="H30" s="9"/>
      <c r="I30" s="9"/>
      <c r="J30" s="9"/>
      <c r="K30" s="9"/>
      <c r="L30" s="9"/>
      <c r="M30" s="9"/>
      <c r="N30" s="9"/>
      <c r="O30" s="9"/>
      <c r="P30" s="9"/>
      <c r="Q30" s="9"/>
      <c r="R30" s="9"/>
      <c r="S30" s="9"/>
      <c r="T30" s="9"/>
      <c r="U30" s="9"/>
      <c r="V30" s="9"/>
      <c r="W30" s="9"/>
      <c r="X30" s="9"/>
      <c r="Y30" s="9"/>
      <c r="Z30" s="9"/>
      <c r="AA30" s="9"/>
      <c r="AB30" s="9"/>
      <c r="AC30" s="9"/>
      <c r="AD30" s="9"/>
      <c r="AE30" s="9"/>
      <c r="AF30" s="9">
        <v>1.64</v>
      </c>
      <c r="AG30" s="9">
        <v>1.62</v>
      </c>
      <c r="AH30" s="9">
        <v>1.24</v>
      </c>
      <c r="AI30" s="9"/>
      <c r="AJ30" s="9"/>
      <c r="AK30" s="9"/>
      <c r="AL30" s="9"/>
    </row>
    <row r="31" spans="1:38">
      <c r="A31" s="7" t="s">
        <v>42</v>
      </c>
      <c r="B31" s="6" t="s">
        <v>48</v>
      </c>
      <c r="C31" s="7" t="s">
        <v>43</v>
      </c>
      <c r="D31" s="7">
        <v>2</v>
      </c>
      <c r="E31" s="8">
        <v>9124</v>
      </c>
      <c r="F31" s="10"/>
      <c r="G31" s="9">
        <v>1383</v>
      </c>
      <c r="H31" s="9">
        <v>345</v>
      </c>
      <c r="I31" s="9">
        <v>861</v>
      </c>
      <c r="J31" s="9">
        <v>6026</v>
      </c>
      <c r="K31" s="9">
        <v>70.099999999999994</v>
      </c>
      <c r="L31" s="9">
        <v>2.5499999999999998</v>
      </c>
      <c r="M31" s="9">
        <v>265</v>
      </c>
      <c r="N31" s="9">
        <v>69.3</v>
      </c>
      <c r="O31" s="9">
        <v>478</v>
      </c>
      <c r="P31" s="9">
        <v>478</v>
      </c>
      <c r="Q31" s="9">
        <v>222</v>
      </c>
      <c r="R31" s="9">
        <v>476</v>
      </c>
      <c r="S31" s="9">
        <v>4443</v>
      </c>
      <c r="T31" s="9"/>
      <c r="U31" s="9">
        <v>6.52</v>
      </c>
      <c r="V31" s="9">
        <v>489</v>
      </c>
      <c r="W31" s="9">
        <v>137</v>
      </c>
      <c r="X31" s="9">
        <v>80.5</v>
      </c>
      <c r="Y31" s="9">
        <v>74.5</v>
      </c>
      <c r="Z31" s="9">
        <v>5.94</v>
      </c>
      <c r="AA31" s="9">
        <v>38.299999999999997</v>
      </c>
      <c r="AB31" s="9"/>
      <c r="AC31" s="9">
        <v>27.2</v>
      </c>
      <c r="AD31" s="9"/>
      <c r="AE31" s="9"/>
      <c r="AF31" s="9"/>
      <c r="AG31" s="9"/>
      <c r="AH31" s="9"/>
      <c r="AI31" s="9"/>
      <c r="AJ31" s="9"/>
      <c r="AK31" s="9"/>
      <c r="AL31" s="9"/>
    </row>
    <row r="32" spans="1:38" hidden="1">
      <c r="B32" s="6" t="s">
        <v>49</v>
      </c>
      <c r="C32" s="7">
        <v>34</v>
      </c>
      <c r="D32" s="7">
        <v>1</v>
      </c>
      <c r="E32" s="8">
        <v>18388.030888030888</v>
      </c>
      <c r="F32" s="9"/>
      <c r="G32" s="9"/>
      <c r="H32" s="9"/>
      <c r="I32" s="9"/>
      <c r="J32" s="9"/>
      <c r="K32" s="9"/>
      <c r="L32" s="9"/>
      <c r="M32" s="9"/>
      <c r="N32" s="9"/>
      <c r="O32" s="9"/>
      <c r="P32" s="9"/>
      <c r="Q32" s="9"/>
      <c r="R32" s="9"/>
      <c r="S32" s="9"/>
      <c r="T32" s="9"/>
      <c r="U32" s="9"/>
      <c r="V32" s="9"/>
      <c r="W32" s="9"/>
      <c r="X32" s="9"/>
      <c r="Y32" s="9"/>
      <c r="Z32" s="9"/>
      <c r="AA32" s="9"/>
      <c r="AB32" s="9">
        <v>1201</v>
      </c>
      <c r="AC32" s="9"/>
      <c r="AD32" s="9"/>
      <c r="AE32" s="9"/>
      <c r="AF32" s="9"/>
      <c r="AG32" s="9"/>
      <c r="AH32" s="9"/>
      <c r="AI32" s="9"/>
      <c r="AJ32" s="9"/>
      <c r="AK32" s="9"/>
      <c r="AL32" s="9"/>
    </row>
    <row r="33" spans="1:38" hidden="1">
      <c r="A33" s="7" t="s">
        <v>42</v>
      </c>
      <c r="B33" s="6" t="s">
        <v>49</v>
      </c>
      <c r="C33" s="7">
        <v>51</v>
      </c>
      <c r="D33" s="7">
        <v>1</v>
      </c>
      <c r="E33" s="8">
        <v>14434</v>
      </c>
      <c r="F33" s="10"/>
      <c r="G33" s="9">
        <v>1287</v>
      </c>
      <c r="H33" s="9">
        <v>469</v>
      </c>
      <c r="I33" s="9"/>
      <c r="J33" s="9"/>
      <c r="K33" s="9"/>
      <c r="L33" s="9"/>
      <c r="M33" s="9"/>
      <c r="N33" s="9"/>
      <c r="O33" s="9">
        <v>721</v>
      </c>
      <c r="P33" s="9">
        <v>721</v>
      </c>
      <c r="Q33" s="9"/>
      <c r="R33" s="9"/>
      <c r="S33" s="9">
        <v>8973</v>
      </c>
      <c r="T33" s="9"/>
      <c r="U33" s="9"/>
      <c r="V33" s="9"/>
      <c r="W33" s="9"/>
      <c r="X33" s="9"/>
      <c r="Y33" s="9"/>
      <c r="Z33" s="9"/>
      <c r="AA33" s="9"/>
      <c r="AB33" s="9"/>
      <c r="AC33" s="9"/>
      <c r="AD33" s="9"/>
      <c r="AE33" s="9"/>
      <c r="AF33" s="9"/>
      <c r="AG33" s="9"/>
      <c r="AH33" s="9"/>
      <c r="AI33" s="9"/>
      <c r="AJ33" s="9"/>
      <c r="AK33" s="9"/>
      <c r="AL33" s="9"/>
    </row>
    <row r="34" spans="1:38" hidden="1">
      <c r="B34" s="6" t="s">
        <v>49</v>
      </c>
      <c r="C34" s="7">
        <v>53</v>
      </c>
      <c r="D34" s="7">
        <v>2</v>
      </c>
      <c r="E34" s="8">
        <v>17818.485500000003</v>
      </c>
      <c r="F34" s="9">
        <v>786.82</v>
      </c>
      <c r="G34" s="9"/>
      <c r="H34" s="9"/>
      <c r="I34" s="9"/>
      <c r="J34" s="9"/>
      <c r="K34" s="9"/>
      <c r="L34" s="9"/>
      <c r="M34" s="9"/>
      <c r="N34" s="9"/>
      <c r="O34" s="9"/>
      <c r="P34" s="9"/>
      <c r="Q34" s="9"/>
      <c r="R34" s="9"/>
      <c r="S34" s="9"/>
      <c r="T34" s="9"/>
      <c r="U34" s="9"/>
      <c r="V34" s="9"/>
      <c r="W34" s="9"/>
      <c r="X34" s="9"/>
      <c r="Y34" s="9"/>
      <c r="Z34" s="9"/>
      <c r="AA34" s="9"/>
      <c r="AB34" s="9"/>
      <c r="AC34" s="9"/>
      <c r="AD34" s="9"/>
      <c r="AE34" s="9"/>
      <c r="AF34" s="9">
        <v>2</v>
      </c>
      <c r="AG34" s="9">
        <v>2.36</v>
      </c>
      <c r="AH34" s="9">
        <v>1.96</v>
      </c>
      <c r="AI34" s="9"/>
      <c r="AJ34" s="9"/>
      <c r="AK34" s="9"/>
      <c r="AL34" s="9"/>
    </row>
    <row r="35" spans="1:38" hidden="1">
      <c r="B35" s="6" t="s">
        <v>49</v>
      </c>
      <c r="C35" s="7" t="s">
        <v>40</v>
      </c>
      <c r="D35" s="7">
        <v>1</v>
      </c>
      <c r="E35" s="8">
        <v>11900</v>
      </c>
      <c r="F35" s="9"/>
      <c r="G35" s="9"/>
      <c r="H35" s="9"/>
      <c r="I35" s="9"/>
      <c r="J35" s="9"/>
      <c r="K35" s="9"/>
      <c r="L35" s="9"/>
      <c r="M35" s="9"/>
      <c r="N35" s="9"/>
      <c r="O35" s="9"/>
      <c r="P35" s="9"/>
      <c r="Q35" s="9"/>
      <c r="R35" s="9"/>
      <c r="S35" s="9">
        <v>7060.0000000000009</v>
      </c>
      <c r="T35" s="9">
        <v>5120</v>
      </c>
      <c r="U35" s="9"/>
      <c r="V35" s="9"/>
      <c r="W35" s="9"/>
      <c r="X35" s="9"/>
      <c r="Y35" s="9"/>
      <c r="Z35" s="9"/>
      <c r="AA35" s="9"/>
      <c r="AB35" s="9">
        <v>840</v>
      </c>
      <c r="AC35" s="9">
        <v>30</v>
      </c>
      <c r="AD35" s="9"/>
      <c r="AE35" s="9"/>
      <c r="AF35" s="9"/>
      <c r="AG35" s="9"/>
      <c r="AH35" s="9"/>
      <c r="AI35" s="9"/>
      <c r="AJ35" s="9"/>
      <c r="AK35" s="9"/>
      <c r="AL35" s="9"/>
    </row>
    <row r="36" spans="1:38" hidden="1">
      <c r="B36" s="6" t="s">
        <v>50</v>
      </c>
      <c r="C36" s="7">
        <v>53</v>
      </c>
      <c r="D36" s="7">
        <v>1</v>
      </c>
      <c r="E36" s="8">
        <v>10510.3</v>
      </c>
      <c r="F36" s="9">
        <v>460.1</v>
      </c>
      <c r="G36" s="9"/>
      <c r="H36" s="9"/>
      <c r="I36" s="9"/>
      <c r="J36" s="9"/>
      <c r="K36" s="9"/>
      <c r="L36" s="9"/>
      <c r="M36" s="9"/>
      <c r="N36" s="9"/>
      <c r="O36" s="9"/>
      <c r="P36" s="9"/>
      <c r="Q36" s="9"/>
      <c r="R36" s="9"/>
      <c r="S36" s="9"/>
      <c r="T36" s="9"/>
      <c r="U36" s="9"/>
      <c r="V36" s="9"/>
      <c r="W36" s="9"/>
      <c r="X36" s="9"/>
      <c r="Y36" s="9"/>
      <c r="Z36" s="9"/>
      <c r="AA36" s="9"/>
      <c r="AB36" s="9"/>
      <c r="AC36" s="9"/>
      <c r="AD36" s="9"/>
      <c r="AE36" s="9"/>
      <c r="AF36" s="9">
        <v>1.1000000000000001</v>
      </c>
      <c r="AG36" s="9">
        <v>0.96</v>
      </c>
      <c r="AH36" s="9">
        <v>1.08</v>
      </c>
      <c r="AI36" s="9"/>
      <c r="AJ36" s="9"/>
      <c r="AK36" s="9"/>
      <c r="AL36" s="9"/>
    </row>
    <row r="37" spans="1:38" hidden="1">
      <c r="A37" s="7" t="s">
        <v>42</v>
      </c>
      <c r="B37" s="6" t="s">
        <v>50</v>
      </c>
      <c r="C37" s="7" t="s">
        <v>43</v>
      </c>
      <c r="D37" s="7">
        <v>1</v>
      </c>
      <c r="E37" s="8">
        <v>10510</v>
      </c>
      <c r="F37" s="10"/>
      <c r="G37" s="9">
        <v>1240</v>
      </c>
      <c r="H37" s="9">
        <v>340</v>
      </c>
      <c r="I37" s="9">
        <v>739</v>
      </c>
      <c r="J37" s="9">
        <v>7733</v>
      </c>
      <c r="K37" s="9">
        <v>27</v>
      </c>
      <c r="L37" s="9">
        <v>0.51200000000000001</v>
      </c>
      <c r="M37" s="9">
        <v>253</v>
      </c>
      <c r="N37" s="9">
        <v>63.5</v>
      </c>
      <c r="O37" s="9">
        <v>493</v>
      </c>
      <c r="P37" s="9">
        <v>493</v>
      </c>
      <c r="Q37" s="9">
        <v>138</v>
      </c>
      <c r="R37" s="9">
        <v>281</v>
      </c>
      <c r="S37" s="9">
        <v>6476</v>
      </c>
      <c r="T37" s="9"/>
      <c r="U37" s="9"/>
      <c r="V37" s="9"/>
      <c r="W37" s="9"/>
      <c r="X37" s="9"/>
      <c r="Y37" s="9"/>
      <c r="Z37" s="9"/>
      <c r="AA37" s="9"/>
      <c r="AB37" s="9"/>
      <c r="AC37" s="9"/>
      <c r="AD37" s="9"/>
      <c r="AE37" s="9"/>
      <c r="AF37" s="9"/>
      <c r="AG37" s="9"/>
      <c r="AH37" s="9"/>
      <c r="AI37" s="9"/>
      <c r="AJ37" s="9"/>
      <c r="AK37" s="9"/>
      <c r="AL37" s="9"/>
    </row>
    <row r="38" spans="1:38" hidden="1">
      <c r="B38" s="6" t="s">
        <v>51</v>
      </c>
      <c r="C38" s="7">
        <v>34</v>
      </c>
      <c r="D38" s="7">
        <v>2</v>
      </c>
      <c r="E38" s="8">
        <v>7346.6323466323465</v>
      </c>
      <c r="F38" s="9"/>
      <c r="G38" s="9"/>
      <c r="H38" s="9"/>
      <c r="I38" s="9"/>
      <c r="J38" s="9"/>
      <c r="K38" s="9"/>
      <c r="L38" s="9"/>
      <c r="M38" s="9"/>
      <c r="N38" s="9"/>
      <c r="O38" s="9"/>
      <c r="P38" s="9"/>
      <c r="Q38" s="9"/>
      <c r="R38" s="9"/>
      <c r="S38" s="9"/>
      <c r="T38" s="9"/>
      <c r="U38" s="9"/>
      <c r="V38" s="9"/>
      <c r="W38" s="9"/>
      <c r="X38" s="9"/>
      <c r="Y38" s="9"/>
      <c r="Z38" s="9"/>
      <c r="AA38" s="9"/>
      <c r="AB38" s="9">
        <v>566</v>
      </c>
      <c r="AC38" s="9"/>
      <c r="AD38" s="9"/>
      <c r="AE38" s="9"/>
      <c r="AF38" s="9"/>
      <c r="AG38" s="9"/>
      <c r="AH38" s="9"/>
      <c r="AI38" s="9"/>
      <c r="AJ38" s="9"/>
      <c r="AK38" s="9"/>
      <c r="AL38" s="9"/>
    </row>
    <row r="39" spans="1:38" hidden="1">
      <c r="B39" s="6" t="s">
        <v>51</v>
      </c>
      <c r="C39" s="7">
        <v>53</v>
      </c>
      <c r="D39" s="7">
        <v>4</v>
      </c>
      <c r="E39" s="8">
        <v>7247.6967500000001</v>
      </c>
      <c r="F39" s="9">
        <v>318.24</v>
      </c>
      <c r="G39" s="9"/>
      <c r="H39" s="9"/>
      <c r="I39" s="9"/>
      <c r="J39" s="9"/>
      <c r="K39" s="9"/>
      <c r="L39" s="9"/>
      <c r="M39" s="9"/>
      <c r="N39" s="9"/>
      <c r="O39" s="9"/>
      <c r="P39" s="9"/>
      <c r="Q39" s="9"/>
      <c r="R39" s="9"/>
      <c r="S39" s="9"/>
      <c r="T39" s="9"/>
      <c r="U39" s="9"/>
      <c r="V39" s="9"/>
      <c r="W39" s="9"/>
      <c r="X39" s="9"/>
      <c r="Y39" s="9"/>
      <c r="Z39" s="9"/>
      <c r="AA39" s="9"/>
      <c r="AB39" s="9"/>
      <c r="AC39" s="9"/>
      <c r="AD39" s="9"/>
      <c r="AE39" s="9"/>
      <c r="AF39" s="9">
        <v>0.94</v>
      </c>
      <c r="AG39" s="9">
        <v>1.08</v>
      </c>
      <c r="AH39" s="9">
        <v>0.88</v>
      </c>
      <c r="AI39" s="9"/>
      <c r="AJ39" s="9"/>
      <c r="AK39" s="9"/>
      <c r="AL39" s="9"/>
    </row>
    <row r="40" spans="1:38" hidden="1">
      <c r="A40" s="7" t="s">
        <v>42</v>
      </c>
      <c r="B40" s="6" t="s">
        <v>51</v>
      </c>
      <c r="C40" s="7" t="s">
        <v>43</v>
      </c>
      <c r="D40" s="7">
        <v>4</v>
      </c>
      <c r="E40" s="8">
        <v>7241</v>
      </c>
      <c r="F40" s="10"/>
      <c r="G40" s="9">
        <v>757</v>
      </c>
      <c r="H40" s="9">
        <v>295</v>
      </c>
      <c r="I40" s="9">
        <v>554</v>
      </c>
      <c r="J40" s="9">
        <v>5318</v>
      </c>
      <c r="K40" s="9">
        <v>22.8</v>
      </c>
      <c r="L40" s="9">
        <v>0.32600000000000001</v>
      </c>
      <c r="M40" s="9">
        <v>191</v>
      </c>
      <c r="N40" s="9">
        <v>49.8</v>
      </c>
      <c r="O40" s="9">
        <v>372</v>
      </c>
      <c r="P40" s="9">
        <v>372</v>
      </c>
      <c r="Q40" s="9">
        <v>90</v>
      </c>
      <c r="R40" s="9">
        <v>221</v>
      </c>
      <c r="S40" s="9">
        <v>4371</v>
      </c>
      <c r="T40" s="9"/>
      <c r="U40" s="9"/>
      <c r="V40" s="9"/>
      <c r="W40" s="9"/>
      <c r="X40" s="9"/>
      <c r="Y40" s="9"/>
      <c r="Z40" s="9"/>
      <c r="AA40" s="9"/>
      <c r="AB40" s="9"/>
      <c r="AC40" s="9">
        <v>25.7</v>
      </c>
      <c r="AD40" s="9">
        <v>99.3</v>
      </c>
      <c r="AE40" s="9">
        <v>113</v>
      </c>
      <c r="AF40" s="9"/>
      <c r="AG40" s="9"/>
      <c r="AH40" s="9"/>
      <c r="AI40" s="9"/>
      <c r="AJ40" s="9"/>
      <c r="AK40" s="9"/>
      <c r="AL40" s="9"/>
    </row>
    <row r="41" spans="1:38" hidden="1">
      <c r="B41" s="6" t="s">
        <v>52</v>
      </c>
      <c r="C41" s="7">
        <v>34</v>
      </c>
      <c r="D41" s="7">
        <v>1</v>
      </c>
      <c r="E41" s="8">
        <v>4354.1212019472887</v>
      </c>
      <c r="F41" s="9"/>
      <c r="G41" s="9"/>
      <c r="H41" s="9"/>
      <c r="I41" s="9"/>
      <c r="J41" s="9"/>
      <c r="K41" s="9"/>
      <c r="L41" s="9"/>
      <c r="M41" s="9"/>
      <c r="N41" s="9"/>
      <c r="O41" s="9"/>
      <c r="P41" s="9"/>
      <c r="Q41" s="9"/>
      <c r="R41" s="9"/>
      <c r="S41" s="9"/>
      <c r="T41" s="9"/>
      <c r="U41" s="9"/>
      <c r="V41" s="9"/>
      <c r="W41" s="9"/>
      <c r="X41" s="9"/>
      <c r="Y41" s="9"/>
      <c r="Z41" s="9"/>
      <c r="AA41" s="9"/>
      <c r="AB41" s="9">
        <v>363</v>
      </c>
      <c r="AC41" s="9"/>
      <c r="AD41" s="9"/>
      <c r="AE41" s="9"/>
      <c r="AF41" s="9"/>
      <c r="AG41" s="9"/>
      <c r="AH41" s="9"/>
      <c r="AI41" s="9"/>
      <c r="AJ41" s="9"/>
      <c r="AK41" s="9"/>
      <c r="AL41" s="9"/>
    </row>
    <row r="42" spans="1:38" hidden="1">
      <c r="B42" s="6" t="s">
        <v>52</v>
      </c>
      <c r="C42" s="7">
        <v>43</v>
      </c>
      <c r="D42" s="7">
        <v>1</v>
      </c>
      <c r="E42" s="8">
        <v>4005.7999999999997</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v>6</v>
      </c>
      <c r="AJ42" s="9">
        <v>14</v>
      </c>
      <c r="AK42" s="9">
        <v>2</v>
      </c>
      <c r="AL42" s="9">
        <v>22</v>
      </c>
    </row>
    <row r="43" spans="1:38" hidden="1">
      <c r="B43" s="6" t="s">
        <v>52</v>
      </c>
      <c r="C43" s="7">
        <v>53</v>
      </c>
      <c r="D43" s="7">
        <v>2</v>
      </c>
      <c r="E43" s="8">
        <v>3967.6085000000003</v>
      </c>
      <c r="F43" s="9">
        <v>185</v>
      </c>
      <c r="G43" s="9"/>
      <c r="H43" s="9"/>
      <c r="I43" s="9"/>
      <c r="J43" s="9"/>
      <c r="K43" s="9"/>
      <c r="L43" s="9"/>
      <c r="M43" s="9"/>
      <c r="N43" s="9"/>
      <c r="O43" s="9"/>
      <c r="P43" s="9"/>
      <c r="Q43" s="9"/>
      <c r="R43" s="9"/>
      <c r="S43" s="9"/>
      <c r="T43" s="9"/>
      <c r="U43" s="9"/>
      <c r="V43" s="9"/>
      <c r="W43" s="9"/>
      <c r="X43" s="9"/>
      <c r="Y43" s="9"/>
      <c r="Z43" s="9"/>
      <c r="AA43" s="9"/>
      <c r="AB43" s="9"/>
      <c r="AC43" s="9"/>
      <c r="AD43" s="9"/>
      <c r="AE43" s="9"/>
      <c r="AF43" s="9">
        <v>0.56000000000000005</v>
      </c>
      <c r="AG43" s="9">
        <v>0.54</v>
      </c>
      <c r="AH43" s="9">
        <v>0.56000000000000005</v>
      </c>
      <c r="AI43" s="9"/>
      <c r="AJ43" s="9"/>
      <c r="AK43" s="9"/>
      <c r="AL43" s="9"/>
    </row>
    <row r="44" spans="1:38">
      <c r="A44" s="7" t="s">
        <v>42</v>
      </c>
      <c r="B44" s="6" t="s">
        <v>52</v>
      </c>
      <c r="C44" s="7" t="s">
        <v>43</v>
      </c>
      <c r="D44" s="7">
        <v>2</v>
      </c>
      <c r="E44" s="8">
        <v>4302</v>
      </c>
      <c r="F44" s="10"/>
      <c r="G44" s="9">
        <v>468</v>
      </c>
      <c r="H44" s="9">
        <v>192</v>
      </c>
      <c r="I44" s="9">
        <v>342</v>
      </c>
      <c r="J44" s="9">
        <v>3099</v>
      </c>
      <c r="K44" s="9">
        <v>12.3</v>
      </c>
      <c r="L44" s="9">
        <v>0.38600000000000001</v>
      </c>
      <c r="M44" s="9">
        <v>133</v>
      </c>
      <c r="N44" s="9">
        <v>29.2</v>
      </c>
      <c r="O44" s="9">
        <v>174</v>
      </c>
      <c r="P44" s="9">
        <v>174</v>
      </c>
      <c r="Q44" s="9">
        <v>81.8</v>
      </c>
      <c r="R44" s="9">
        <v>133</v>
      </c>
      <c r="S44" s="9">
        <v>2535</v>
      </c>
      <c r="T44" s="9"/>
      <c r="U44" s="9">
        <v>3.68</v>
      </c>
      <c r="V44" s="9">
        <v>190</v>
      </c>
      <c r="W44" s="9">
        <v>69.2</v>
      </c>
      <c r="X44" s="9">
        <v>27.7</v>
      </c>
      <c r="Y44" s="9">
        <v>25.8</v>
      </c>
      <c r="Z44" s="9">
        <v>1.95</v>
      </c>
      <c r="AA44" s="9">
        <v>23.8</v>
      </c>
      <c r="AB44" s="9"/>
      <c r="AC44" s="9"/>
      <c r="AD44" s="9"/>
      <c r="AE44" s="9"/>
      <c r="AF44" s="9"/>
      <c r="AG44" s="9"/>
      <c r="AH44" s="9"/>
      <c r="AI44" s="9"/>
      <c r="AJ44" s="9"/>
      <c r="AK44" s="9"/>
      <c r="AL44" s="9"/>
    </row>
    <row r="45" spans="1:38" hidden="1">
      <c r="B45" s="6" t="s">
        <v>53</v>
      </c>
      <c r="C45" s="7">
        <v>34</v>
      </c>
      <c r="D45" s="7">
        <v>2</v>
      </c>
      <c r="E45" s="8">
        <v>68781.443781443784</v>
      </c>
      <c r="F45" s="9"/>
      <c r="G45" s="9"/>
      <c r="H45" s="9"/>
      <c r="I45" s="9"/>
      <c r="J45" s="9"/>
      <c r="K45" s="9"/>
      <c r="L45" s="9"/>
      <c r="M45" s="9"/>
      <c r="N45" s="9"/>
      <c r="O45" s="9"/>
      <c r="P45" s="9"/>
      <c r="Q45" s="9"/>
      <c r="R45" s="9"/>
      <c r="S45" s="9"/>
      <c r="T45" s="9"/>
      <c r="U45" s="9"/>
      <c r="V45" s="9"/>
      <c r="W45" s="9"/>
      <c r="X45" s="9"/>
      <c r="Y45" s="9"/>
      <c r="Z45" s="9"/>
      <c r="AA45" s="9"/>
      <c r="AB45" s="9">
        <v>3764</v>
      </c>
      <c r="AC45" s="9"/>
      <c r="AD45" s="9"/>
      <c r="AE45" s="9"/>
      <c r="AF45" s="9"/>
      <c r="AG45" s="9"/>
      <c r="AH45" s="9"/>
      <c r="AI45" s="9"/>
      <c r="AJ45" s="9"/>
      <c r="AK45" s="9"/>
      <c r="AL45" s="9"/>
    </row>
    <row r="46" spans="1:38" hidden="1">
      <c r="B46" s="6" t="s">
        <v>53</v>
      </c>
      <c r="C46" s="7">
        <v>43</v>
      </c>
      <c r="D46" s="7">
        <v>1</v>
      </c>
      <c r="E46" s="8">
        <v>77027</v>
      </c>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v>216</v>
      </c>
      <c r="AJ46" s="9">
        <v>310</v>
      </c>
      <c r="AK46" s="9">
        <v>68</v>
      </c>
      <c r="AL46" s="9">
        <v>594</v>
      </c>
    </row>
    <row r="47" spans="1:38" hidden="1">
      <c r="B47" s="6" t="s">
        <v>53</v>
      </c>
      <c r="C47" s="7">
        <v>53</v>
      </c>
      <c r="D47" s="7">
        <v>2</v>
      </c>
      <c r="E47" s="8">
        <v>66939.448000000004</v>
      </c>
      <c r="F47" s="9">
        <v>1738.26</v>
      </c>
      <c r="G47" s="9"/>
      <c r="H47" s="9"/>
      <c r="I47" s="9"/>
      <c r="J47" s="9"/>
      <c r="K47" s="9"/>
      <c r="L47" s="9"/>
      <c r="M47" s="9"/>
      <c r="N47" s="9"/>
      <c r="O47" s="9"/>
      <c r="P47" s="9"/>
      <c r="Q47" s="9"/>
      <c r="R47" s="9"/>
      <c r="S47" s="9"/>
      <c r="T47" s="9"/>
      <c r="U47" s="9"/>
      <c r="V47" s="9"/>
      <c r="W47" s="9"/>
      <c r="X47" s="9"/>
      <c r="Y47" s="9"/>
      <c r="Z47" s="9"/>
      <c r="AA47" s="9"/>
      <c r="AB47" s="9"/>
      <c r="AC47" s="9"/>
      <c r="AD47" s="9"/>
      <c r="AE47" s="9"/>
      <c r="AF47" s="9">
        <v>4.32</v>
      </c>
      <c r="AG47" s="9">
        <v>4.9400000000000004</v>
      </c>
      <c r="AH47" s="9">
        <v>3.96</v>
      </c>
      <c r="AI47" s="9"/>
      <c r="AJ47" s="9"/>
      <c r="AK47" s="9"/>
      <c r="AL47" s="9"/>
    </row>
    <row r="48" spans="1:38">
      <c r="A48" s="7" t="s">
        <v>42</v>
      </c>
      <c r="B48" s="6" t="s">
        <v>53</v>
      </c>
      <c r="C48" s="7" t="s">
        <v>43</v>
      </c>
      <c r="D48" s="7">
        <v>2</v>
      </c>
      <c r="E48" s="8">
        <v>66939</v>
      </c>
      <c r="F48" s="10"/>
      <c r="G48" s="9">
        <v>7871</v>
      </c>
      <c r="H48" s="9">
        <v>1221</v>
      </c>
      <c r="I48" s="9">
        <v>3996</v>
      </c>
      <c r="J48" s="9">
        <v>52113</v>
      </c>
      <c r="K48" s="9">
        <v>39.9</v>
      </c>
      <c r="L48" s="9">
        <v>0.66700000000000004</v>
      </c>
      <c r="M48" s="9">
        <v>931</v>
      </c>
      <c r="N48" s="9">
        <v>174</v>
      </c>
      <c r="O48" s="9">
        <v>3258</v>
      </c>
      <c r="P48" s="9">
        <v>3258</v>
      </c>
      <c r="Q48" s="9">
        <v>390</v>
      </c>
      <c r="R48" s="9">
        <v>890</v>
      </c>
      <c r="S48" s="9">
        <v>46429</v>
      </c>
      <c r="T48" s="9"/>
      <c r="U48" s="9">
        <v>23.7</v>
      </c>
      <c r="V48" s="9">
        <v>2163</v>
      </c>
      <c r="W48" s="9">
        <v>418</v>
      </c>
      <c r="X48" s="9">
        <v>609</v>
      </c>
      <c r="Y48" s="9">
        <v>567</v>
      </c>
      <c r="Z48" s="9">
        <v>41.7</v>
      </c>
      <c r="AA48" s="9">
        <v>207</v>
      </c>
      <c r="AB48" s="9"/>
      <c r="AC48" s="9">
        <v>137</v>
      </c>
      <c r="AD48" s="9">
        <v>567</v>
      </c>
      <c r="AE48" s="9">
        <v>502</v>
      </c>
      <c r="AF48" s="9"/>
      <c r="AG48" s="9"/>
      <c r="AH48" s="9"/>
      <c r="AI48" s="9"/>
      <c r="AJ48" s="9"/>
      <c r="AK48" s="9"/>
      <c r="AL48" s="9"/>
    </row>
    <row r="49" spans="1:38" hidden="1">
      <c r="B49" s="6" t="s">
        <v>54</v>
      </c>
      <c r="C49" s="7">
        <v>61</v>
      </c>
      <c r="D49" s="7">
        <v>1</v>
      </c>
      <c r="E49" s="8">
        <v>55200</v>
      </c>
      <c r="F49" s="9"/>
      <c r="G49" s="9">
        <v>5100</v>
      </c>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row>
    <row r="50" spans="1:38" hidden="1">
      <c r="B50" s="6" t="s">
        <v>54</v>
      </c>
      <c r="C50" s="7">
        <v>61</v>
      </c>
      <c r="D50" s="7">
        <v>1</v>
      </c>
      <c r="E50" s="8">
        <v>60100</v>
      </c>
      <c r="F50" s="9"/>
      <c r="G50" s="9">
        <v>5400</v>
      </c>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row>
    <row r="51" spans="1:38" hidden="1">
      <c r="B51" s="6" t="s">
        <v>54</v>
      </c>
      <c r="C51" s="7">
        <v>61</v>
      </c>
      <c r="D51" s="7">
        <v>1</v>
      </c>
      <c r="E51" s="8">
        <v>73200</v>
      </c>
      <c r="F51" s="9"/>
      <c r="G51" s="9">
        <v>7700</v>
      </c>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row>
    <row r="52" spans="1:38" hidden="1">
      <c r="B52" s="6" t="s">
        <v>54</v>
      </c>
      <c r="C52" s="7">
        <v>61</v>
      </c>
      <c r="D52" s="7">
        <v>1</v>
      </c>
      <c r="E52" s="8">
        <v>77300</v>
      </c>
      <c r="F52" s="9"/>
      <c r="G52" s="9">
        <v>7600</v>
      </c>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row>
    <row r="53" spans="1:38" hidden="1">
      <c r="B53" s="6" t="s">
        <v>54</v>
      </c>
      <c r="C53" s="7" t="s">
        <v>55</v>
      </c>
      <c r="D53" s="7">
        <v>4</v>
      </c>
      <c r="E53" s="8">
        <v>66500</v>
      </c>
      <c r="F53" s="9"/>
      <c r="G53" s="9">
        <v>6500</v>
      </c>
      <c r="H53" s="9"/>
      <c r="I53" s="9"/>
      <c r="J53" s="9"/>
      <c r="K53" s="9"/>
      <c r="L53" s="9"/>
      <c r="M53" s="9"/>
      <c r="N53" s="9"/>
      <c r="O53" s="9"/>
      <c r="P53" s="9"/>
      <c r="Q53" s="9"/>
      <c r="R53" s="9"/>
      <c r="S53" s="9">
        <v>45000</v>
      </c>
      <c r="T53" s="9">
        <v>31900</v>
      </c>
      <c r="U53" s="9"/>
      <c r="V53" s="9"/>
      <c r="W53" s="9"/>
      <c r="X53" s="9"/>
      <c r="Y53" s="9"/>
      <c r="Z53" s="9"/>
      <c r="AA53" s="9"/>
      <c r="AB53" s="9"/>
      <c r="AC53" s="9"/>
      <c r="AD53" s="9"/>
      <c r="AE53" s="9"/>
      <c r="AF53" s="9"/>
      <c r="AG53" s="9"/>
      <c r="AH53" s="9"/>
      <c r="AI53" s="9"/>
      <c r="AJ53" s="9"/>
      <c r="AK53" s="9"/>
      <c r="AL53" s="9"/>
    </row>
    <row r="54" spans="1:38" hidden="1">
      <c r="B54" s="6" t="s">
        <v>56</v>
      </c>
      <c r="C54" s="7">
        <v>43</v>
      </c>
      <c r="D54" s="7">
        <v>1</v>
      </c>
      <c r="E54" s="8">
        <v>91988</v>
      </c>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v>316</v>
      </c>
      <c r="AJ54" s="9">
        <v>232</v>
      </c>
      <c r="AK54" s="9">
        <v>210</v>
      </c>
      <c r="AL54" s="9">
        <v>758</v>
      </c>
    </row>
    <row r="55" spans="1:38" hidden="1">
      <c r="B55" s="6" t="s">
        <v>57</v>
      </c>
      <c r="C55" s="7">
        <v>61</v>
      </c>
      <c r="D55" s="7">
        <v>1</v>
      </c>
      <c r="E55" s="8">
        <v>96200</v>
      </c>
      <c r="F55" s="9"/>
      <c r="G55" s="9">
        <v>8100</v>
      </c>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spans="1:38" hidden="1">
      <c r="B56" s="6" t="s">
        <v>57</v>
      </c>
      <c r="C56" s="7">
        <v>61</v>
      </c>
      <c r="D56" s="7">
        <v>1</v>
      </c>
      <c r="E56" s="8">
        <v>97800</v>
      </c>
      <c r="F56" s="9"/>
      <c r="G56" s="9">
        <v>7400</v>
      </c>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spans="1:38" hidden="1">
      <c r="B57" s="6" t="s">
        <v>57</v>
      </c>
      <c r="C57" s="7">
        <v>61</v>
      </c>
      <c r="D57" s="7">
        <v>1</v>
      </c>
      <c r="E57" s="8">
        <v>97900</v>
      </c>
      <c r="F57" s="9"/>
      <c r="G57" s="9">
        <v>10600</v>
      </c>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spans="1:38" hidden="1">
      <c r="B58" s="6" t="s">
        <v>57</v>
      </c>
      <c r="C58" s="7">
        <v>61</v>
      </c>
      <c r="D58" s="7">
        <v>1</v>
      </c>
      <c r="E58" s="8">
        <v>103500</v>
      </c>
      <c r="F58" s="9"/>
      <c r="G58" s="9">
        <v>8500</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spans="1:38" hidden="1">
      <c r="B59" s="6" t="s">
        <v>57</v>
      </c>
      <c r="C59" s="7" t="s">
        <v>40</v>
      </c>
      <c r="D59" s="7">
        <v>1</v>
      </c>
      <c r="E59" s="8">
        <v>117080</v>
      </c>
      <c r="F59" s="9"/>
      <c r="G59" s="9"/>
      <c r="H59" s="9"/>
      <c r="I59" s="9"/>
      <c r="J59" s="9"/>
      <c r="K59" s="9"/>
      <c r="L59" s="9"/>
      <c r="M59" s="9"/>
      <c r="N59" s="9"/>
      <c r="O59" s="9"/>
      <c r="P59" s="9"/>
      <c r="Q59" s="9"/>
      <c r="R59" s="9"/>
      <c r="S59" s="9">
        <v>88280</v>
      </c>
      <c r="T59" s="9">
        <v>47920</v>
      </c>
      <c r="U59" s="9"/>
      <c r="V59" s="9"/>
      <c r="W59" s="9"/>
      <c r="X59" s="9"/>
      <c r="Y59" s="9"/>
      <c r="Z59" s="9"/>
      <c r="AA59" s="9"/>
      <c r="AB59" s="9">
        <v>5120</v>
      </c>
      <c r="AC59" s="9">
        <v>200</v>
      </c>
      <c r="AD59" s="9"/>
      <c r="AE59" s="9"/>
      <c r="AF59" s="9"/>
      <c r="AG59" s="9"/>
      <c r="AH59" s="9"/>
      <c r="AI59" s="9"/>
      <c r="AJ59" s="9"/>
      <c r="AK59" s="9"/>
      <c r="AL59" s="9"/>
    </row>
    <row r="60" spans="1:38" hidden="1">
      <c r="B60" s="6" t="s">
        <v>57</v>
      </c>
      <c r="C60" s="7" t="s">
        <v>55</v>
      </c>
      <c r="D60" s="7">
        <v>4</v>
      </c>
      <c r="E60" s="8">
        <v>98900</v>
      </c>
      <c r="F60" s="9"/>
      <c r="G60" s="9">
        <v>9200</v>
      </c>
      <c r="H60" s="9"/>
      <c r="I60" s="9"/>
      <c r="J60" s="9"/>
      <c r="K60" s="9"/>
      <c r="L60" s="9"/>
      <c r="M60" s="9"/>
      <c r="N60" s="9"/>
      <c r="O60" s="9"/>
      <c r="P60" s="9"/>
      <c r="Q60" s="9"/>
      <c r="R60" s="9"/>
      <c r="S60" s="9">
        <v>63900.000000000007</v>
      </c>
      <c r="T60" s="9">
        <v>42700</v>
      </c>
      <c r="U60" s="9"/>
      <c r="V60" s="9"/>
      <c r="W60" s="9"/>
      <c r="X60" s="9"/>
      <c r="Y60" s="9"/>
      <c r="Z60" s="9"/>
      <c r="AA60" s="9"/>
      <c r="AB60" s="9"/>
      <c r="AC60" s="9"/>
      <c r="AD60" s="9"/>
      <c r="AE60" s="9"/>
      <c r="AF60" s="9"/>
      <c r="AG60" s="9"/>
      <c r="AH60" s="9"/>
      <c r="AI60" s="9"/>
      <c r="AJ60" s="9"/>
      <c r="AK60" s="9"/>
      <c r="AL60" s="9"/>
    </row>
    <row r="61" spans="1:38" hidden="1">
      <c r="B61" s="6" t="s">
        <v>58</v>
      </c>
      <c r="C61" s="7">
        <v>34</v>
      </c>
      <c r="D61" s="7">
        <v>1</v>
      </c>
      <c r="E61" s="8">
        <v>64849.624060150374</v>
      </c>
      <c r="F61" s="9"/>
      <c r="G61" s="9"/>
      <c r="H61" s="9"/>
      <c r="I61" s="9"/>
      <c r="J61" s="9"/>
      <c r="K61" s="9"/>
      <c r="L61" s="9"/>
      <c r="M61" s="9"/>
      <c r="N61" s="9"/>
      <c r="O61" s="9"/>
      <c r="P61" s="9"/>
      <c r="Q61" s="9"/>
      <c r="R61" s="9"/>
      <c r="S61" s="9"/>
      <c r="T61" s="9"/>
      <c r="U61" s="9"/>
      <c r="V61" s="9"/>
      <c r="W61" s="9"/>
      <c r="X61" s="9"/>
      <c r="Y61" s="9"/>
      <c r="Z61" s="9"/>
      <c r="AA61" s="9"/>
      <c r="AB61" s="9">
        <v>4272</v>
      </c>
      <c r="AC61" s="9"/>
      <c r="AD61" s="9"/>
      <c r="AE61" s="9"/>
      <c r="AF61" s="9"/>
      <c r="AG61" s="9"/>
      <c r="AH61" s="9"/>
      <c r="AI61" s="9"/>
      <c r="AJ61" s="9"/>
      <c r="AK61" s="9"/>
      <c r="AL61" s="9"/>
    </row>
    <row r="62" spans="1:38" hidden="1">
      <c r="B62" s="6" t="s">
        <v>58</v>
      </c>
      <c r="C62" s="7">
        <v>53</v>
      </c>
      <c r="D62" s="7">
        <v>2</v>
      </c>
      <c r="E62" s="8">
        <v>60420.661500000002</v>
      </c>
      <c r="F62" s="9">
        <v>1802.09</v>
      </c>
      <c r="G62" s="9"/>
      <c r="H62" s="9"/>
      <c r="I62" s="9"/>
      <c r="J62" s="9"/>
      <c r="K62" s="9"/>
      <c r="L62" s="9"/>
      <c r="M62" s="9"/>
      <c r="N62" s="9"/>
      <c r="O62" s="9"/>
      <c r="P62" s="9"/>
      <c r="Q62" s="9"/>
      <c r="R62" s="9"/>
      <c r="S62" s="9"/>
      <c r="T62" s="9"/>
      <c r="U62" s="9"/>
      <c r="V62" s="9"/>
      <c r="W62" s="9"/>
      <c r="X62" s="9"/>
      <c r="Y62" s="9"/>
      <c r="Z62" s="9"/>
      <c r="AA62" s="9"/>
      <c r="AB62" s="9"/>
      <c r="AC62" s="9"/>
      <c r="AD62" s="9"/>
      <c r="AE62" s="9"/>
      <c r="AF62" s="9">
        <v>4.1399999999999997</v>
      </c>
      <c r="AG62" s="9">
        <v>5.28</v>
      </c>
      <c r="AH62" s="9">
        <v>3.98</v>
      </c>
      <c r="AI62" s="9"/>
      <c r="AJ62" s="9"/>
      <c r="AK62" s="9"/>
      <c r="AL62" s="9"/>
    </row>
    <row r="63" spans="1:38">
      <c r="A63" s="7" t="s">
        <v>42</v>
      </c>
      <c r="B63" s="6" t="s">
        <v>58</v>
      </c>
      <c r="C63" s="7" t="s">
        <v>43</v>
      </c>
      <c r="D63" s="7">
        <v>1</v>
      </c>
      <c r="E63" s="8">
        <v>63505</v>
      </c>
      <c r="F63" s="10"/>
      <c r="G63" s="9">
        <v>5828</v>
      </c>
      <c r="H63" s="9">
        <v>1162</v>
      </c>
      <c r="I63" s="9">
        <v>3605</v>
      </c>
      <c r="J63" s="9">
        <v>51279</v>
      </c>
      <c r="K63" s="9">
        <v>99.5</v>
      </c>
      <c r="L63" s="9"/>
      <c r="M63" s="9">
        <v>1052</v>
      </c>
      <c r="N63" s="9">
        <v>251</v>
      </c>
      <c r="O63" s="9">
        <v>2827</v>
      </c>
      <c r="P63" s="9">
        <v>2827</v>
      </c>
      <c r="Q63" s="9">
        <v>694</v>
      </c>
      <c r="R63" s="9">
        <v>1189</v>
      </c>
      <c r="S63" s="9">
        <v>45166</v>
      </c>
      <c r="T63" s="9"/>
      <c r="U63" s="9">
        <v>17.899999999999999</v>
      </c>
      <c r="V63" s="9">
        <v>1916</v>
      </c>
      <c r="W63" s="9">
        <v>410</v>
      </c>
      <c r="X63" s="9">
        <v>431</v>
      </c>
      <c r="Y63" s="9">
        <v>405</v>
      </c>
      <c r="Z63" s="9">
        <v>25.7</v>
      </c>
      <c r="AA63" s="9">
        <v>320</v>
      </c>
      <c r="AB63" s="9"/>
      <c r="AC63" s="9">
        <v>147</v>
      </c>
      <c r="AD63" s="9">
        <v>450</v>
      </c>
      <c r="AE63" s="9">
        <v>601</v>
      </c>
      <c r="AF63" s="9"/>
      <c r="AG63" s="9"/>
      <c r="AH63" s="9"/>
      <c r="AI63" s="9"/>
      <c r="AJ63" s="9"/>
      <c r="AK63" s="9"/>
      <c r="AL63" s="9"/>
    </row>
    <row r="64" spans="1:38" hidden="1">
      <c r="B64" s="6" t="s">
        <v>59</v>
      </c>
      <c r="C64" s="7">
        <v>34</v>
      </c>
      <c r="D64" s="7">
        <v>1</v>
      </c>
      <c r="E64" s="8">
        <v>72738.554881412027</v>
      </c>
      <c r="F64" s="9"/>
      <c r="G64" s="9"/>
      <c r="H64" s="9"/>
      <c r="I64" s="9"/>
      <c r="J64" s="9"/>
      <c r="K64" s="9"/>
      <c r="L64" s="9"/>
      <c r="M64" s="9"/>
      <c r="N64" s="9"/>
      <c r="O64" s="9"/>
      <c r="P64" s="9"/>
      <c r="Q64" s="9"/>
      <c r="R64" s="9"/>
      <c r="S64" s="9"/>
      <c r="T64" s="9"/>
      <c r="U64" s="9"/>
      <c r="V64" s="9"/>
      <c r="W64" s="9"/>
      <c r="X64" s="9"/>
      <c r="Y64" s="9"/>
      <c r="Z64" s="9"/>
      <c r="AA64" s="9"/>
      <c r="AB64" s="9">
        <v>4232</v>
      </c>
      <c r="AC64" s="9"/>
      <c r="AD64" s="9"/>
      <c r="AE64" s="9"/>
      <c r="AF64" s="9"/>
      <c r="AG64" s="9"/>
      <c r="AH64" s="9"/>
      <c r="AI64" s="9"/>
      <c r="AJ64" s="9"/>
      <c r="AK64" s="9"/>
      <c r="AL64" s="9"/>
    </row>
    <row r="65" spans="1:38" hidden="1">
      <c r="B65" s="6" t="s">
        <v>59</v>
      </c>
      <c r="C65" s="7">
        <v>43</v>
      </c>
      <c r="D65" s="7">
        <v>1</v>
      </c>
      <c r="E65" s="8">
        <v>69112</v>
      </c>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v>268</v>
      </c>
      <c r="AJ65" s="9">
        <v>782</v>
      </c>
      <c r="AK65" s="9">
        <v>178</v>
      </c>
      <c r="AL65" s="9">
        <v>1228</v>
      </c>
    </row>
    <row r="66" spans="1:38" hidden="1">
      <c r="B66" s="6" t="s">
        <v>59</v>
      </c>
      <c r="C66" s="7">
        <v>53</v>
      </c>
      <c r="D66" s="7">
        <v>1</v>
      </c>
      <c r="E66" s="8">
        <v>70563.788</v>
      </c>
      <c r="F66" s="9">
        <v>1998.9</v>
      </c>
      <c r="G66" s="9"/>
      <c r="H66" s="9"/>
      <c r="I66" s="9"/>
      <c r="J66" s="9"/>
      <c r="K66" s="9"/>
      <c r="L66" s="9"/>
      <c r="M66" s="9"/>
      <c r="N66" s="9"/>
      <c r="O66" s="9"/>
      <c r="P66" s="9"/>
      <c r="Q66" s="9"/>
      <c r="R66" s="9"/>
      <c r="S66" s="9"/>
      <c r="T66" s="9"/>
      <c r="U66" s="9"/>
      <c r="V66" s="9"/>
      <c r="W66" s="9"/>
      <c r="X66" s="9"/>
      <c r="Y66" s="9"/>
      <c r="Z66" s="9"/>
      <c r="AA66" s="9"/>
      <c r="AB66" s="9"/>
      <c r="AC66" s="9"/>
      <c r="AD66" s="9"/>
      <c r="AE66" s="9"/>
      <c r="AF66" s="9">
        <v>4.28</v>
      </c>
      <c r="AG66" s="9">
        <v>6.14</v>
      </c>
      <c r="AH66" s="9">
        <v>4.1399999999999997</v>
      </c>
      <c r="AI66" s="9"/>
      <c r="AJ66" s="9"/>
      <c r="AK66" s="9"/>
      <c r="AL66" s="9"/>
    </row>
    <row r="67" spans="1:38" hidden="1">
      <c r="A67" s="7" t="s">
        <v>42</v>
      </c>
      <c r="B67" s="6" t="s">
        <v>59</v>
      </c>
      <c r="C67" s="7" t="s">
        <v>43</v>
      </c>
      <c r="D67" s="7">
        <v>1</v>
      </c>
      <c r="E67" s="8">
        <v>70564</v>
      </c>
      <c r="F67" s="10"/>
      <c r="G67" s="9">
        <v>6758</v>
      </c>
      <c r="H67" s="9">
        <v>1354</v>
      </c>
      <c r="I67" s="9">
        <v>4176</v>
      </c>
      <c r="J67" s="9">
        <v>56277</v>
      </c>
      <c r="K67" s="9">
        <v>117</v>
      </c>
      <c r="L67" s="9"/>
      <c r="M67" s="9">
        <v>1265</v>
      </c>
      <c r="N67" s="9">
        <v>246</v>
      </c>
      <c r="O67" s="9">
        <v>2733</v>
      </c>
      <c r="P67" s="9">
        <v>2733</v>
      </c>
      <c r="Q67" s="9">
        <v>617</v>
      </c>
      <c r="R67" s="9">
        <v>1366</v>
      </c>
      <c r="S67" s="9">
        <v>49933</v>
      </c>
      <c r="T67" s="9"/>
      <c r="U67" s="9"/>
      <c r="V67" s="9"/>
      <c r="W67" s="9"/>
      <c r="X67" s="9"/>
      <c r="Y67" s="9"/>
      <c r="Z67" s="9"/>
      <c r="AA67" s="9"/>
      <c r="AB67" s="9"/>
      <c r="AC67" s="9">
        <v>150</v>
      </c>
      <c r="AD67" s="9"/>
      <c r="AE67" s="9"/>
      <c r="AF67" s="9"/>
      <c r="AG67" s="9"/>
      <c r="AH67" s="9"/>
      <c r="AI67" s="9"/>
      <c r="AJ67" s="9"/>
      <c r="AK67" s="9"/>
      <c r="AL67" s="9"/>
    </row>
    <row r="68" spans="1:38" hidden="1">
      <c r="B68" s="6" t="s">
        <v>60</v>
      </c>
      <c r="C68" s="7" t="s">
        <v>40</v>
      </c>
      <c r="D68" s="7">
        <v>1</v>
      </c>
      <c r="E68" s="8">
        <v>64739.999999999993</v>
      </c>
      <c r="F68" s="9"/>
      <c r="G68" s="9"/>
      <c r="H68" s="9"/>
      <c r="I68" s="9"/>
      <c r="J68" s="9"/>
      <c r="K68" s="9"/>
      <c r="L68" s="9"/>
      <c r="M68" s="9"/>
      <c r="N68" s="9"/>
      <c r="O68" s="9"/>
      <c r="P68" s="9"/>
      <c r="Q68" s="9"/>
      <c r="R68" s="9"/>
      <c r="S68" s="9">
        <v>47800.000000000007</v>
      </c>
      <c r="T68" s="9">
        <v>35990</v>
      </c>
      <c r="U68" s="9"/>
      <c r="V68" s="9"/>
      <c r="W68" s="9"/>
      <c r="X68" s="9"/>
      <c r="Y68" s="9"/>
      <c r="Z68" s="9"/>
      <c r="AA68" s="9"/>
      <c r="AB68" s="9">
        <v>4140</v>
      </c>
      <c r="AC68" s="9">
        <v>120</v>
      </c>
      <c r="AD68" s="9"/>
      <c r="AE68" s="9"/>
      <c r="AF68" s="9"/>
      <c r="AG68" s="9"/>
      <c r="AH68" s="9"/>
      <c r="AI68" s="9"/>
      <c r="AJ68" s="9"/>
      <c r="AK68" s="9"/>
      <c r="AL68" s="9"/>
    </row>
    <row r="69" spans="1:38" hidden="1">
      <c r="B69" s="6" t="s">
        <v>61</v>
      </c>
      <c r="C69" s="7">
        <v>34</v>
      </c>
      <c r="D69" s="7">
        <v>2</v>
      </c>
      <c r="E69" s="8">
        <v>6577.4958632101479</v>
      </c>
      <c r="F69" s="9"/>
      <c r="G69" s="9"/>
      <c r="H69" s="9"/>
      <c r="I69" s="9"/>
      <c r="J69" s="9"/>
      <c r="K69" s="9"/>
      <c r="L69" s="9"/>
      <c r="M69" s="9"/>
      <c r="N69" s="9"/>
      <c r="O69" s="9"/>
      <c r="P69" s="9"/>
      <c r="Q69" s="9"/>
      <c r="R69" s="9"/>
      <c r="S69" s="9"/>
      <c r="T69" s="9"/>
      <c r="U69" s="9"/>
      <c r="V69" s="9"/>
      <c r="W69" s="9"/>
      <c r="X69" s="9"/>
      <c r="Y69" s="9"/>
      <c r="Z69" s="9"/>
      <c r="AA69" s="9"/>
      <c r="AB69" s="9">
        <v>433</v>
      </c>
      <c r="AC69" s="9"/>
      <c r="AD69" s="9"/>
      <c r="AE69" s="9"/>
      <c r="AF69" s="9"/>
      <c r="AG69" s="9"/>
      <c r="AH69" s="9"/>
      <c r="AI69" s="9"/>
      <c r="AJ69" s="9"/>
      <c r="AK69" s="9"/>
      <c r="AL69" s="9"/>
    </row>
    <row r="70" spans="1:38" hidden="1">
      <c r="B70" s="6" t="s">
        <v>61</v>
      </c>
      <c r="C70" s="7">
        <v>53</v>
      </c>
      <c r="D70" s="7">
        <v>2</v>
      </c>
      <c r="E70" s="8">
        <v>6373</v>
      </c>
      <c r="F70" s="9">
        <v>381.62</v>
      </c>
      <c r="G70" s="9"/>
      <c r="H70" s="9"/>
      <c r="I70" s="9"/>
      <c r="J70" s="9"/>
      <c r="K70" s="9"/>
      <c r="L70" s="9"/>
      <c r="M70" s="9"/>
      <c r="N70" s="9"/>
      <c r="O70" s="9"/>
      <c r="P70" s="9"/>
      <c r="Q70" s="9"/>
      <c r="R70" s="9"/>
      <c r="S70" s="9"/>
      <c r="T70" s="9"/>
      <c r="U70" s="9"/>
      <c r="V70" s="9"/>
      <c r="W70" s="9"/>
      <c r="X70" s="9"/>
      <c r="Y70" s="9"/>
      <c r="Z70" s="9"/>
      <c r="AA70" s="9"/>
      <c r="AB70" s="9"/>
      <c r="AC70" s="9"/>
      <c r="AD70" s="9"/>
      <c r="AE70" s="9"/>
      <c r="AF70" s="9">
        <v>1.04</v>
      </c>
      <c r="AG70" s="9">
        <v>1.56</v>
      </c>
      <c r="AH70" s="9">
        <v>1.84</v>
      </c>
      <c r="AI70" s="9"/>
      <c r="AJ70" s="9"/>
      <c r="AK70" s="9"/>
      <c r="AL70" s="9"/>
    </row>
    <row r="71" spans="1:38">
      <c r="A71" s="7" t="s">
        <v>42</v>
      </c>
      <c r="B71" s="6" t="s">
        <v>61</v>
      </c>
      <c r="C71" s="7" t="s">
        <v>43</v>
      </c>
      <c r="D71" s="7">
        <v>2</v>
      </c>
      <c r="E71" s="8">
        <v>6373</v>
      </c>
      <c r="F71" s="10"/>
      <c r="G71" s="9">
        <v>947</v>
      </c>
      <c r="H71" s="9">
        <v>241</v>
      </c>
      <c r="I71" s="9">
        <v>489</v>
      </c>
      <c r="J71" s="9">
        <v>4313</v>
      </c>
      <c r="K71" s="9">
        <v>158</v>
      </c>
      <c r="L71" s="9">
        <v>4.04</v>
      </c>
      <c r="M71" s="9">
        <v>332</v>
      </c>
      <c r="N71" s="9">
        <v>58.9</v>
      </c>
      <c r="O71" s="9">
        <v>327</v>
      </c>
      <c r="P71" s="9">
        <v>327</v>
      </c>
      <c r="Q71" s="9">
        <v>149</v>
      </c>
      <c r="R71" s="9">
        <v>347</v>
      </c>
      <c r="S71" s="9">
        <v>2938</v>
      </c>
      <c r="T71" s="9"/>
      <c r="U71" s="9">
        <v>4.83</v>
      </c>
      <c r="V71" s="9">
        <v>271</v>
      </c>
      <c r="W71" s="9">
        <v>101</v>
      </c>
      <c r="X71" s="9">
        <v>33.799999999999997</v>
      </c>
      <c r="Y71" s="9">
        <v>31.6</v>
      </c>
      <c r="Z71" s="9">
        <v>2.27</v>
      </c>
      <c r="AA71" s="9">
        <v>18</v>
      </c>
      <c r="AB71" s="9"/>
      <c r="AC71" s="9">
        <v>21.5</v>
      </c>
      <c r="AD71" s="9">
        <v>233</v>
      </c>
      <c r="AE71" s="9">
        <v>99.4</v>
      </c>
      <c r="AF71" s="9"/>
      <c r="AG71" s="9"/>
      <c r="AH71" s="9"/>
      <c r="AI71" s="9"/>
      <c r="AJ71" s="9"/>
      <c r="AK71" s="9"/>
      <c r="AL71" s="9"/>
    </row>
    <row r="72" spans="1:38" hidden="1">
      <c r="B72" s="6" t="s">
        <v>62</v>
      </c>
      <c r="C72" s="7">
        <v>34</v>
      </c>
      <c r="D72" s="7">
        <v>2</v>
      </c>
      <c r="E72" s="8">
        <v>3021.6551955682389</v>
      </c>
      <c r="F72" s="9"/>
      <c r="G72" s="9"/>
      <c r="H72" s="9"/>
      <c r="I72" s="9"/>
      <c r="J72" s="9"/>
      <c r="K72" s="9"/>
      <c r="L72" s="9"/>
      <c r="M72" s="9"/>
      <c r="N72" s="9"/>
      <c r="O72" s="9"/>
      <c r="P72" s="9"/>
      <c r="Q72" s="9"/>
      <c r="R72" s="9"/>
      <c r="S72" s="9"/>
      <c r="T72" s="9"/>
      <c r="U72" s="9"/>
      <c r="V72" s="9"/>
      <c r="W72" s="9"/>
      <c r="X72" s="9"/>
      <c r="Y72" s="9"/>
      <c r="Z72" s="9"/>
      <c r="AA72" s="9"/>
      <c r="AB72" s="9">
        <v>199</v>
      </c>
      <c r="AC72" s="9"/>
      <c r="AD72" s="9"/>
      <c r="AE72" s="9"/>
      <c r="AF72" s="9"/>
      <c r="AG72" s="9"/>
      <c r="AH72" s="9"/>
      <c r="AI72" s="9"/>
      <c r="AJ72" s="9"/>
      <c r="AK72" s="9"/>
      <c r="AL72" s="9"/>
    </row>
    <row r="73" spans="1:38" hidden="1">
      <c r="B73" s="6" t="s">
        <v>62</v>
      </c>
      <c r="C73" s="7">
        <v>53</v>
      </c>
      <c r="D73" s="7">
        <v>2</v>
      </c>
      <c r="E73" s="8">
        <v>2961</v>
      </c>
      <c r="F73" s="9">
        <v>202.38</v>
      </c>
      <c r="G73" s="9"/>
      <c r="H73" s="9"/>
      <c r="I73" s="9"/>
      <c r="J73" s="9"/>
      <c r="K73" s="9"/>
      <c r="L73" s="9"/>
      <c r="M73" s="9"/>
      <c r="N73" s="9"/>
      <c r="O73" s="9"/>
      <c r="P73" s="9"/>
      <c r="Q73" s="9"/>
      <c r="R73" s="9"/>
      <c r="S73" s="9"/>
      <c r="T73" s="9"/>
      <c r="U73" s="9"/>
      <c r="V73" s="9"/>
      <c r="W73" s="9"/>
      <c r="X73" s="9"/>
      <c r="Y73" s="9"/>
      <c r="Z73" s="9"/>
      <c r="AA73" s="9"/>
      <c r="AB73" s="9"/>
      <c r="AC73" s="9"/>
      <c r="AD73" s="9"/>
      <c r="AE73" s="9"/>
      <c r="AF73" s="9">
        <v>0.6</v>
      </c>
      <c r="AG73" s="9">
        <v>1.04</v>
      </c>
      <c r="AH73" s="9">
        <v>1.1399999999999999</v>
      </c>
      <c r="AI73" s="9"/>
      <c r="AJ73" s="9"/>
      <c r="AK73" s="9"/>
      <c r="AL73" s="9"/>
    </row>
    <row r="74" spans="1:38" hidden="1">
      <c r="A74" s="7" t="s">
        <v>42</v>
      </c>
      <c r="B74" s="6" t="s">
        <v>62</v>
      </c>
      <c r="C74" s="7" t="s">
        <v>43</v>
      </c>
      <c r="D74" s="7">
        <v>2</v>
      </c>
      <c r="E74" s="8">
        <v>2961</v>
      </c>
      <c r="F74" s="10"/>
      <c r="G74" s="9">
        <v>437</v>
      </c>
      <c r="H74" s="9">
        <v>145</v>
      </c>
      <c r="I74" s="9">
        <v>235</v>
      </c>
      <c r="J74" s="9">
        <v>1941</v>
      </c>
      <c r="K74" s="9">
        <v>102</v>
      </c>
      <c r="L74" s="9">
        <v>2.66</v>
      </c>
      <c r="M74" s="9">
        <v>198</v>
      </c>
      <c r="N74" s="9">
        <v>32.5</v>
      </c>
      <c r="O74" s="9">
        <v>145</v>
      </c>
      <c r="P74" s="9">
        <v>145</v>
      </c>
      <c r="Q74" s="9">
        <v>65.3</v>
      </c>
      <c r="R74" s="9">
        <v>174</v>
      </c>
      <c r="S74" s="9">
        <v>1221</v>
      </c>
      <c r="T74" s="9"/>
      <c r="U74" s="9"/>
      <c r="V74" s="9"/>
      <c r="W74" s="9"/>
      <c r="X74" s="9"/>
      <c r="Y74" s="9"/>
      <c r="Z74" s="9"/>
      <c r="AA74" s="9"/>
      <c r="AB74" s="9"/>
      <c r="AC74" s="9">
        <v>10.8</v>
      </c>
      <c r="AD74" s="9">
        <v>135</v>
      </c>
      <c r="AE74" s="9">
        <v>63.2</v>
      </c>
      <c r="AF74" s="9"/>
      <c r="AG74" s="9"/>
      <c r="AH74" s="9"/>
      <c r="AI74" s="9"/>
      <c r="AJ74" s="9"/>
      <c r="AK74" s="9"/>
      <c r="AL74" s="9"/>
    </row>
    <row r="75" spans="1:38" hidden="1">
      <c r="B75" s="6" t="s">
        <v>62</v>
      </c>
      <c r="C75" s="7" t="s">
        <v>40</v>
      </c>
      <c r="D75" s="7">
        <v>1</v>
      </c>
      <c r="E75" s="8">
        <v>2630</v>
      </c>
      <c r="F75" s="9"/>
      <c r="G75" s="9"/>
      <c r="H75" s="9"/>
      <c r="I75" s="9"/>
      <c r="J75" s="9"/>
      <c r="K75" s="9"/>
      <c r="L75" s="9"/>
      <c r="M75" s="9"/>
      <c r="N75" s="9"/>
      <c r="O75" s="9"/>
      <c r="P75" s="9"/>
      <c r="Q75" s="9"/>
      <c r="R75" s="9"/>
      <c r="S75" s="9">
        <v>1020</v>
      </c>
      <c r="T75" s="9">
        <v>890</v>
      </c>
      <c r="U75" s="9"/>
      <c r="V75" s="9"/>
      <c r="W75" s="9"/>
      <c r="X75" s="9"/>
      <c r="Y75" s="9"/>
      <c r="Z75" s="9"/>
      <c r="AA75" s="9"/>
      <c r="AB75" s="9"/>
      <c r="AC75" s="9"/>
      <c r="AD75" s="9"/>
      <c r="AE75" s="9"/>
      <c r="AF75" s="9"/>
      <c r="AG75" s="9"/>
      <c r="AH75" s="9"/>
      <c r="AI75" s="9"/>
      <c r="AJ75" s="9"/>
      <c r="AK75" s="9"/>
      <c r="AL75" s="9"/>
    </row>
    <row r="76" spans="1:38" hidden="1">
      <c r="B76" s="6" t="s">
        <v>63</v>
      </c>
      <c r="C76" s="7">
        <v>43</v>
      </c>
      <c r="D76" s="7">
        <v>1</v>
      </c>
      <c r="E76" s="8">
        <v>71815</v>
      </c>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v>76</v>
      </c>
      <c r="AJ76" s="9">
        <v>304</v>
      </c>
      <c r="AK76" s="9">
        <v>64</v>
      </c>
      <c r="AL76" s="9">
        <v>444</v>
      </c>
    </row>
    <row r="77" spans="1:38" hidden="1">
      <c r="B77" s="6" t="s">
        <v>64</v>
      </c>
      <c r="C77" s="7">
        <v>34</v>
      </c>
      <c r="D77" s="7">
        <v>1</v>
      </c>
      <c r="E77" s="8">
        <v>43597.168597168602</v>
      </c>
      <c r="F77" s="9"/>
      <c r="G77" s="9"/>
      <c r="H77" s="9"/>
      <c r="I77" s="9"/>
      <c r="J77" s="9"/>
      <c r="K77" s="9"/>
      <c r="L77" s="9"/>
      <c r="M77" s="9"/>
      <c r="N77" s="9"/>
      <c r="O77" s="9"/>
      <c r="P77" s="9"/>
      <c r="Q77" s="9"/>
      <c r="R77" s="9"/>
      <c r="S77" s="9"/>
      <c r="T77" s="9"/>
      <c r="U77" s="9"/>
      <c r="V77" s="9"/>
      <c r="W77" s="9"/>
      <c r="X77" s="9"/>
      <c r="Y77" s="9"/>
      <c r="Z77" s="9"/>
      <c r="AA77" s="9"/>
      <c r="AB77" s="9">
        <v>1113</v>
      </c>
      <c r="AC77" s="9"/>
      <c r="AD77" s="9"/>
      <c r="AE77" s="9"/>
      <c r="AF77" s="9"/>
      <c r="AG77" s="9"/>
      <c r="AH77" s="9"/>
      <c r="AI77" s="9"/>
      <c r="AJ77" s="9"/>
      <c r="AK77" s="9"/>
      <c r="AL77" s="9"/>
    </row>
    <row r="78" spans="1:38" hidden="1">
      <c r="B78" s="6" t="s">
        <v>64</v>
      </c>
      <c r="C78" s="7">
        <v>53</v>
      </c>
      <c r="D78" s="7">
        <v>1</v>
      </c>
      <c r="E78" s="8">
        <v>42611</v>
      </c>
      <c r="F78" s="9">
        <v>1517.1</v>
      </c>
      <c r="G78" s="9"/>
      <c r="H78" s="9"/>
      <c r="I78" s="9"/>
      <c r="J78" s="9"/>
      <c r="K78" s="9"/>
      <c r="L78" s="9"/>
      <c r="M78" s="9"/>
      <c r="N78" s="9"/>
      <c r="O78" s="9"/>
      <c r="P78" s="9"/>
      <c r="Q78" s="9"/>
      <c r="R78" s="9"/>
      <c r="S78" s="9"/>
      <c r="T78" s="9"/>
      <c r="U78" s="9"/>
      <c r="V78" s="9"/>
      <c r="W78" s="9"/>
      <c r="X78" s="9"/>
      <c r="Y78" s="9"/>
      <c r="Z78" s="9"/>
      <c r="AA78" s="9"/>
      <c r="AB78" s="9"/>
      <c r="AC78" s="9"/>
      <c r="AD78" s="9"/>
      <c r="AE78" s="9"/>
      <c r="AF78" s="9">
        <v>3.82</v>
      </c>
      <c r="AG78" s="9">
        <v>4</v>
      </c>
      <c r="AH78" s="9">
        <v>4.38</v>
      </c>
      <c r="AI78" s="9"/>
      <c r="AJ78" s="9"/>
      <c r="AK78" s="9"/>
      <c r="AL78" s="9"/>
    </row>
    <row r="79" spans="1:38" hidden="1">
      <c r="A79" s="7" t="s">
        <v>42</v>
      </c>
      <c r="B79" s="6" t="s">
        <v>64</v>
      </c>
      <c r="C79" s="7" t="s">
        <v>43</v>
      </c>
      <c r="D79" s="7">
        <v>1</v>
      </c>
      <c r="E79" s="8">
        <v>42611</v>
      </c>
      <c r="F79" s="10"/>
      <c r="G79" s="9">
        <v>6461</v>
      </c>
      <c r="H79" s="9">
        <v>897</v>
      </c>
      <c r="I79" s="9">
        <v>3539</v>
      </c>
      <c r="J79" s="9">
        <v>30196</v>
      </c>
      <c r="K79" s="9">
        <v>685</v>
      </c>
      <c r="L79" s="9">
        <v>8.31</v>
      </c>
      <c r="M79" s="9">
        <v>1538</v>
      </c>
      <c r="N79" s="9">
        <v>254</v>
      </c>
      <c r="O79" s="9">
        <v>2765</v>
      </c>
      <c r="P79" s="9">
        <v>2765</v>
      </c>
      <c r="Q79" s="9">
        <v>1044</v>
      </c>
      <c r="R79" s="9">
        <v>1776</v>
      </c>
      <c r="S79" s="9">
        <v>22127</v>
      </c>
      <c r="T79" s="9"/>
      <c r="U79" s="9"/>
      <c r="V79" s="9"/>
      <c r="W79" s="9"/>
      <c r="X79" s="9"/>
      <c r="Y79" s="9"/>
      <c r="Z79" s="9"/>
      <c r="AA79" s="9"/>
      <c r="AB79" s="9"/>
      <c r="AC79" s="9">
        <v>58.5</v>
      </c>
      <c r="AD79" s="9">
        <v>1065</v>
      </c>
      <c r="AE79" s="9">
        <v>473</v>
      </c>
      <c r="AF79" s="9"/>
      <c r="AG79" s="9"/>
      <c r="AH79" s="9"/>
      <c r="AI79" s="9"/>
      <c r="AJ79" s="9"/>
      <c r="AK79" s="9"/>
      <c r="AL79" s="9"/>
    </row>
    <row r="80" spans="1:38" hidden="1">
      <c r="B80" s="6" t="s">
        <v>64</v>
      </c>
      <c r="C80" s="7" t="s">
        <v>40</v>
      </c>
      <c r="D80" s="7">
        <v>1</v>
      </c>
      <c r="E80" s="8">
        <v>41070</v>
      </c>
      <c r="F80" s="9"/>
      <c r="G80" s="9"/>
      <c r="H80" s="9"/>
      <c r="I80" s="9"/>
      <c r="J80" s="9"/>
      <c r="K80" s="9"/>
      <c r="L80" s="9"/>
      <c r="M80" s="9"/>
      <c r="N80" s="9"/>
      <c r="O80" s="9"/>
      <c r="P80" s="9"/>
      <c r="Q80" s="9"/>
      <c r="R80" s="9"/>
      <c r="S80" s="9">
        <v>24070</v>
      </c>
      <c r="T80" s="9">
        <v>19790</v>
      </c>
      <c r="U80" s="9"/>
      <c r="V80" s="9"/>
      <c r="W80" s="9"/>
      <c r="X80" s="9"/>
      <c r="Y80" s="9"/>
      <c r="Z80" s="9"/>
      <c r="AA80" s="9"/>
      <c r="AB80" s="9"/>
      <c r="AC80" s="9"/>
      <c r="AD80" s="9"/>
      <c r="AE80" s="9"/>
      <c r="AF80" s="9"/>
      <c r="AG80" s="9"/>
      <c r="AH80" s="9"/>
      <c r="AI80" s="9"/>
      <c r="AJ80" s="9"/>
      <c r="AK80" s="9"/>
      <c r="AL80" s="9"/>
    </row>
    <row r="81" spans="1:38" hidden="1">
      <c r="B81" s="6" t="s">
        <v>65</v>
      </c>
      <c r="C81" s="7">
        <v>53</v>
      </c>
      <c r="D81" s="7">
        <v>2</v>
      </c>
      <c r="E81" s="8">
        <v>103167.3685</v>
      </c>
      <c r="F81" s="9">
        <v>2615.67</v>
      </c>
      <c r="G81" s="9"/>
      <c r="H81" s="9"/>
      <c r="I81" s="9"/>
      <c r="J81" s="9"/>
      <c r="K81" s="9"/>
      <c r="L81" s="9"/>
      <c r="M81" s="9"/>
      <c r="N81" s="9"/>
      <c r="O81" s="9"/>
      <c r="P81" s="9"/>
      <c r="Q81" s="9"/>
      <c r="R81" s="9"/>
      <c r="S81" s="9"/>
      <c r="T81" s="9"/>
      <c r="U81" s="9"/>
      <c r="V81" s="9"/>
      <c r="W81" s="9"/>
      <c r="X81" s="9"/>
      <c r="Y81" s="9"/>
      <c r="Z81" s="9"/>
      <c r="AA81" s="9"/>
      <c r="AB81" s="9"/>
      <c r="AC81" s="9"/>
      <c r="AD81" s="9"/>
      <c r="AE81" s="9"/>
      <c r="AF81" s="9">
        <v>4.66</v>
      </c>
      <c r="AG81" s="9">
        <v>9.18</v>
      </c>
      <c r="AH81" s="9">
        <v>4.8</v>
      </c>
      <c r="AI81" s="9"/>
      <c r="AJ81" s="9"/>
      <c r="AK81" s="9"/>
      <c r="AL81" s="9"/>
    </row>
    <row r="82" spans="1:38" hidden="1">
      <c r="B82" s="6" t="s">
        <v>65</v>
      </c>
      <c r="C82" s="7">
        <v>61</v>
      </c>
      <c r="D82" s="7">
        <v>1</v>
      </c>
      <c r="E82" s="8">
        <v>89000</v>
      </c>
      <c r="F82" s="9"/>
      <c r="G82" s="9">
        <v>7900</v>
      </c>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spans="1:38" hidden="1">
      <c r="A83" s="7" t="s">
        <v>42</v>
      </c>
      <c r="B83" s="6" t="s">
        <v>65</v>
      </c>
      <c r="C83" s="7" t="s">
        <v>43</v>
      </c>
      <c r="D83" s="7">
        <v>2</v>
      </c>
      <c r="E83" s="8">
        <v>103167</v>
      </c>
      <c r="F83" s="10"/>
      <c r="G83" s="9">
        <v>8738</v>
      </c>
      <c r="H83" s="9">
        <v>1621</v>
      </c>
      <c r="I83" s="9">
        <v>5423</v>
      </c>
      <c r="J83" s="9">
        <v>84770</v>
      </c>
      <c r="K83" s="9">
        <v>51.8</v>
      </c>
      <c r="L83" s="9"/>
      <c r="M83" s="9">
        <v>1339</v>
      </c>
      <c r="N83" s="9">
        <v>330</v>
      </c>
      <c r="O83" s="9">
        <v>3624</v>
      </c>
      <c r="P83" s="9">
        <v>3624</v>
      </c>
      <c r="Q83" s="9">
        <v>693</v>
      </c>
      <c r="R83" s="9">
        <v>1591</v>
      </c>
      <c r="S83" s="9">
        <v>77141</v>
      </c>
      <c r="T83" s="9"/>
      <c r="U83" s="9"/>
      <c r="V83" s="9"/>
      <c r="W83" s="9"/>
      <c r="X83" s="9"/>
      <c r="Y83" s="9"/>
      <c r="Z83" s="9"/>
      <c r="AA83" s="9"/>
      <c r="AB83" s="9"/>
      <c r="AC83" s="9"/>
      <c r="AD83" s="9"/>
      <c r="AE83" s="9"/>
      <c r="AF83" s="9"/>
      <c r="AG83" s="9"/>
      <c r="AH83" s="9"/>
      <c r="AI83" s="9"/>
      <c r="AJ83" s="9"/>
      <c r="AK83" s="9"/>
      <c r="AL83" s="9"/>
    </row>
    <row r="84" spans="1:38" hidden="1">
      <c r="B84" s="6" t="s">
        <v>66</v>
      </c>
      <c r="C84" s="7">
        <v>34</v>
      </c>
      <c r="D84" s="7">
        <v>2</v>
      </c>
      <c r="E84" s="8">
        <v>22512.622512622511</v>
      </c>
      <c r="F84" s="9"/>
      <c r="G84" s="9"/>
      <c r="H84" s="9"/>
      <c r="I84" s="9"/>
      <c r="J84" s="9"/>
      <c r="K84" s="9"/>
      <c r="L84" s="9"/>
      <c r="M84" s="9"/>
      <c r="N84" s="9"/>
      <c r="O84" s="9"/>
      <c r="P84" s="9"/>
      <c r="Q84" s="9"/>
      <c r="R84" s="9"/>
      <c r="S84" s="9"/>
      <c r="T84" s="9"/>
      <c r="U84" s="9"/>
      <c r="V84" s="9"/>
      <c r="W84" s="9"/>
      <c r="X84" s="9"/>
      <c r="Y84" s="9"/>
      <c r="Z84" s="9"/>
      <c r="AA84" s="9"/>
      <c r="AB84" s="9">
        <v>1253</v>
      </c>
      <c r="AC84" s="9"/>
      <c r="AD84" s="9"/>
      <c r="AE84" s="9"/>
      <c r="AF84" s="9"/>
      <c r="AG84" s="9"/>
      <c r="AH84" s="9"/>
      <c r="AI84" s="9"/>
      <c r="AJ84" s="9"/>
      <c r="AK84" s="9"/>
      <c r="AL84" s="9"/>
    </row>
    <row r="85" spans="1:38" hidden="1">
      <c r="B85" s="6" t="s">
        <v>66</v>
      </c>
      <c r="C85" s="7">
        <v>53</v>
      </c>
      <c r="D85" s="7">
        <v>3</v>
      </c>
      <c r="E85" s="8">
        <v>22106</v>
      </c>
      <c r="F85" s="9">
        <v>909.39</v>
      </c>
      <c r="G85" s="9"/>
      <c r="H85" s="9"/>
      <c r="I85" s="9"/>
      <c r="J85" s="9"/>
      <c r="K85" s="9"/>
      <c r="L85" s="9"/>
      <c r="M85" s="9"/>
      <c r="N85" s="9"/>
      <c r="O85" s="9"/>
      <c r="P85" s="9"/>
      <c r="Q85" s="9"/>
      <c r="R85" s="9"/>
      <c r="S85" s="9"/>
      <c r="T85" s="9"/>
      <c r="U85" s="9"/>
      <c r="V85" s="9"/>
      <c r="W85" s="9"/>
      <c r="X85" s="9"/>
      <c r="Y85" s="9"/>
      <c r="Z85" s="9"/>
      <c r="AA85" s="9"/>
      <c r="AB85" s="9"/>
      <c r="AC85" s="9"/>
      <c r="AD85" s="9"/>
      <c r="AE85" s="9"/>
      <c r="AF85" s="9">
        <v>2.08</v>
      </c>
      <c r="AG85" s="9">
        <v>2.78</v>
      </c>
      <c r="AH85" s="9">
        <v>3.04</v>
      </c>
      <c r="AI85" s="9"/>
      <c r="AJ85" s="9"/>
      <c r="AK85" s="9"/>
      <c r="AL85" s="9"/>
    </row>
    <row r="86" spans="1:38">
      <c r="A86" s="7" t="s">
        <v>42</v>
      </c>
      <c r="B86" s="6" t="s">
        <v>66</v>
      </c>
      <c r="C86" s="7" t="s">
        <v>43</v>
      </c>
      <c r="D86" s="7">
        <v>3</v>
      </c>
      <c r="E86" s="8">
        <v>22106</v>
      </c>
      <c r="F86" s="10"/>
      <c r="G86" s="9">
        <v>3328</v>
      </c>
      <c r="H86" s="9">
        <v>590</v>
      </c>
      <c r="I86" s="9">
        <v>1713</v>
      </c>
      <c r="J86" s="9">
        <v>15566</v>
      </c>
      <c r="K86" s="9">
        <v>207</v>
      </c>
      <c r="L86" s="9">
        <v>3.21</v>
      </c>
      <c r="M86" s="9">
        <v>641</v>
      </c>
      <c r="N86" s="9">
        <v>119</v>
      </c>
      <c r="O86" s="9">
        <v>1215</v>
      </c>
      <c r="P86" s="9">
        <v>1215</v>
      </c>
      <c r="Q86" s="9">
        <v>422</v>
      </c>
      <c r="R86" s="9">
        <v>752</v>
      </c>
      <c r="S86" s="9">
        <v>12207</v>
      </c>
      <c r="T86" s="9"/>
      <c r="U86" s="9">
        <v>12.2</v>
      </c>
      <c r="V86" s="9">
        <v>1028</v>
      </c>
      <c r="W86" s="9">
        <v>239</v>
      </c>
      <c r="X86" s="9">
        <v>225</v>
      </c>
      <c r="Y86" s="9">
        <v>212</v>
      </c>
      <c r="Z86" s="9">
        <v>13.9</v>
      </c>
      <c r="AA86" s="9">
        <v>108</v>
      </c>
      <c r="AB86" s="9"/>
      <c r="AC86" s="9">
        <v>51.6</v>
      </c>
      <c r="AD86" s="9">
        <v>389</v>
      </c>
      <c r="AE86" s="9">
        <v>251</v>
      </c>
      <c r="AF86" s="9"/>
      <c r="AG86" s="9"/>
      <c r="AH86" s="9"/>
      <c r="AI86" s="9"/>
      <c r="AJ86" s="9"/>
      <c r="AK86" s="9"/>
      <c r="AL86" s="9"/>
    </row>
    <row r="87" spans="1:38" hidden="1">
      <c r="B87" s="6" t="s">
        <v>67</v>
      </c>
      <c r="C87" s="7" t="s">
        <v>40</v>
      </c>
      <c r="D87" s="7">
        <v>1</v>
      </c>
      <c r="E87" s="8">
        <v>22240</v>
      </c>
      <c r="F87" s="9"/>
      <c r="G87" s="9"/>
      <c r="H87" s="9"/>
      <c r="I87" s="9"/>
      <c r="J87" s="9"/>
      <c r="K87" s="9"/>
      <c r="L87" s="9"/>
      <c r="M87" s="9"/>
      <c r="N87" s="9"/>
      <c r="O87" s="9"/>
      <c r="P87" s="9"/>
      <c r="Q87" s="9"/>
      <c r="R87" s="9"/>
      <c r="S87" s="9">
        <v>12030</v>
      </c>
      <c r="T87" s="9">
        <v>8200</v>
      </c>
      <c r="U87" s="9"/>
      <c r="V87" s="9"/>
      <c r="W87" s="9"/>
      <c r="X87" s="9"/>
      <c r="Y87" s="9"/>
      <c r="Z87" s="9"/>
      <c r="AA87" s="9"/>
      <c r="AB87" s="9">
        <v>1060</v>
      </c>
      <c r="AC87" s="9">
        <v>50</v>
      </c>
      <c r="AD87" s="9"/>
      <c r="AE87" s="9"/>
      <c r="AF87" s="9"/>
      <c r="AG87" s="9"/>
      <c r="AH87" s="9"/>
      <c r="AI87" s="9"/>
      <c r="AJ87" s="9"/>
      <c r="AK87" s="9"/>
      <c r="AL87" s="9"/>
    </row>
    <row r="88" spans="1:38" hidden="1">
      <c r="B88" s="6" t="s">
        <v>68</v>
      </c>
      <c r="C88" s="7">
        <v>53</v>
      </c>
      <c r="D88" s="7">
        <v>1</v>
      </c>
      <c r="E88" s="8">
        <v>4512</v>
      </c>
      <c r="F88" s="9">
        <v>254.3</v>
      </c>
      <c r="G88" s="9"/>
      <c r="H88" s="9"/>
      <c r="I88" s="9"/>
      <c r="J88" s="9"/>
      <c r="K88" s="9"/>
      <c r="L88" s="9"/>
      <c r="M88" s="9"/>
      <c r="N88" s="9"/>
      <c r="O88" s="9"/>
      <c r="P88" s="9"/>
      <c r="Q88" s="9"/>
      <c r="R88" s="9"/>
      <c r="S88" s="9"/>
      <c r="T88" s="9"/>
      <c r="U88" s="9"/>
      <c r="V88" s="9"/>
      <c r="W88" s="9"/>
      <c r="X88" s="9"/>
      <c r="Y88" s="9"/>
      <c r="Z88" s="9"/>
      <c r="AA88" s="9"/>
      <c r="AB88" s="9"/>
      <c r="AC88" s="9"/>
      <c r="AD88" s="9"/>
      <c r="AE88" s="9"/>
      <c r="AF88" s="9">
        <v>0.57999999999999996</v>
      </c>
      <c r="AG88" s="9">
        <v>1.18</v>
      </c>
      <c r="AH88" s="9">
        <v>0.7</v>
      </c>
      <c r="AI88" s="9"/>
      <c r="AJ88" s="9"/>
      <c r="AK88" s="9"/>
      <c r="AL88" s="9"/>
    </row>
    <row r="89" spans="1:38" hidden="1">
      <c r="A89" s="7" t="s">
        <v>42</v>
      </c>
      <c r="B89" s="6" t="s">
        <v>68</v>
      </c>
      <c r="C89" s="7" t="s">
        <v>43</v>
      </c>
      <c r="D89" s="7">
        <v>1</v>
      </c>
      <c r="E89" s="8">
        <v>4512</v>
      </c>
      <c r="F89" s="10"/>
      <c r="G89" s="9">
        <v>672</v>
      </c>
      <c r="H89" s="9">
        <v>205</v>
      </c>
      <c r="I89" s="9">
        <v>382</v>
      </c>
      <c r="J89" s="9">
        <v>2997</v>
      </c>
      <c r="K89" s="9">
        <v>79.2</v>
      </c>
      <c r="L89" s="9">
        <v>2.58</v>
      </c>
      <c r="M89" s="9">
        <v>163</v>
      </c>
      <c r="N89" s="9">
        <v>35.700000000000003</v>
      </c>
      <c r="O89" s="9">
        <v>210</v>
      </c>
      <c r="P89" s="9">
        <v>210</v>
      </c>
      <c r="Q89" s="9">
        <v>107</v>
      </c>
      <c r="R89" s="9">
        <v>261</v>
      </c>
      <c r="S89" s="9">
        <v>2139</v>
      </c>
      <c r="T89" s="9"/>
      <c r="U89" s="9"/>
      <c r="V89" s="9"/>
      <c r="W89" s="9"/>
      <c r="X89" s="9"/>
      <c r="Y89" s="9"/>
      <c r="Z89" s="9"/>
      <c r="AA89" s="9"/>
      <c r="AB89" s="9"/>
      <c r="AC89" s="9">
        <v>16</v>
      </c>
      <c r="AD89" s="9"/>
      <c r="AE89" s="9"/>
      <c r="AF89" s="9"/>
      <c r="AG89" s="9"/>
      <c r="AH89" s="9"/>
      <c r="AI89" s="9"/>
      <c r="AJ89" s="9"/>
      <c r="AK89" s="9"/>
      <c r="AL89" s="9"/>
    </row>
    <row r="90" spans="1:38" hidden="1">
      <c r="B90" s="6" t="s">
        <v>68</v>
      </c>
      <c r="C90" s="7" t="s">
        <v>40</v>
      </c>
      <c r="D90" s="7">
        <v>1</v>
      </c>
      <c r="E90" s="8">
        <v>3580</v>
      </c>
      <c r="F90" s="9"/>
      <c r="G90" s="9"/>
      <c r="H90" s="9"/>
      <c r="I90" s="9"/>
      <c r="J90" s="9"/>
      <c r="K90" s="9"/>
      <c r="L90" s="9"/>
      <c r="M90" s="9"/>
      <c r="N90" s="9"/>
      <c r="O90" s="9"/>
      <c r="P90" s="9"/>
      <c r="Q90" s="9"/>
      <c r="R90" s="9"/>
      <c r="S90" s="9">
        <v>1570</v>
      </c>
      <c r="T90" s="9">
        <v>1340</v>
      </c>
      <c r="U90" s="9"/>
      <c r="V90" s="9"/>
      <c r="W90" s="9"/>
      <c r="X90" s="9"/>
      <c r="Y90" s="9"/>
      <c r="Z90" s="9"/>
      <c r="AA90" s="9"/>
      <c r="AB90" s="9">
        <v>220</v>
      </c>
      <c r="AC90" s="9">
        <v>10</v>
      </c>
      <c r="AD90" s="9"/>
      <c r="AE90" s="9"/>
      <c r="AF90" s="9"/>
      <c r="AG90" s="9"/>
      <c r="AH90" s="9"/>
      <c r="AI90" s="9"/>
      <c r="AJ90" s="9"/>
      <c r="AK90" s="9"/>
      <c r="AL90" s="9"/>
    </row>
    <row r="91" spans="1:38" hidden="1">
      <c r="B91" s="6" t="s">
        <v>69</v>
      </c>
      <c r="C91" s="7">
        <v>34</v>
      </c>
      <c r="D91" s="7">
        <v>2</v>
      </c>
      <c r="E91" s="8">
        <v>3268.0639823496963</v>
      </c>
      <c r="F91" s="9"/>
      <c r="G91" s="9"/>
      <c r="H91" s="9"/>
      <c r="I91" s="9"/>
      <c r="J91" s="9"/>
      <c r="K91" s="9"/>
      <c r="L91" s="9"/>
      <c r="M91" s="9"/>
      <c r="N91" s="9"/>
      <c r="O91" s="9"/>
      <c r="P91" s="9"/>
      <c r="Q91" s="9"/>
      <c r="R91" s="9"/>
      <c r="S91" s="9"/>
      <c r="T91" s="9"/>
      <c r="U91" s="9"/>
      <c r="V91" s="9"/>
      <c r="W91" s="9"/>
      <c r="X91" s="9"/>
      <c r="Y91" s="9"/>
      <c r="Z91" s="9"/>
      <c r="AA91" s="9"/>
      <c r="AB91" s="9">
        <v>214</v>
      </c>
      <c r="AC91" s="9"/>
      <c r="AD91" s="9"/>
      <c r="AE91" s="9"/>
      <c r="AF91" s="9"/>
      <c r="AG91" s="9"/>
      <c r="AH91" s="9"/>
      <c r="AI91" s="9"/>
      <c r="AJ91" s="9"/>
      <c r="AK91" s="9"/>
      <c r="AL91" s="9"/>
    </row>
    <row r="92" spans="1:38" hidden="1">
      <c r="B92" s="6" t="s">
        <v>69</v>
      </c>
      <c r="C92" s="7">
        <v>43</v>
      </c>
      <c r="D92" s="7">
        <v>1</v>
      </c>
      <c r="E92" s="8">
        <v>3185.2999999999997</v>
      </c>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v>10</v>
      </c>
      <c r="AJ92" s="9">
        <v>10</v>
      </c>
      <c r="AK92" s="9">
        <v>4</v>
      </c>
      <c r="AL92" s="9">
        <v>24</v>
      </c>
    </row>
    <row r="93" spans="1:38" hidden="1">
      <c r="B93" s="6" t="s">
        <v>69</v>
      </c>
      <c r="C93" s="7">
        <v>53</v>
      </c>
      <c r="D93" s="7">
        <v>2</v>
      </c>
      <c r="E93" s="8">
        <v>3203</v>
      </c>
      <c r="F93" s="9">
        <v>169.13</v>
      </c>
      <c r="G93" s="9"/>
      <c r="H93" s="9"/>
      <c r="I93" s="9"/>
      <c r="J93" s="9"/>
      <c r="K93" s="9"/>
      <c r="L93" s="9"/>
      <c r="M93" s="9"/>
      <c r="N93" s="9"/>
      <c r="O93" s="9"/>
      <c r="P93" s="9"/>
      <c r="Q93" s="9"/>
      <c r="R93" s="9"/>
      <c r="S93" s="9"/>
      <c r="T93" s="9"/>
      <c r="U93" s="9"/>
      <c r="V93" s="9"/>
      <c r="W93" s="9"/>
      <c r="X93" s="9"/>
      <c r="Y93" s="9"/>
      <c r="Z93" s="9"/>
      <c r="AA93" s="9"/>
      <c r="AB93" s="9"/>
      <c r="AC93" s="9"/>
      <c r="AD93" s="9"/>
      <c r="AE93" s="9"/>
      <c r="AF93" s="9">
        <v>0.44</v>
      </c>
      <c r="AG93" s="9">
        <v>0.96</v>
      </c>
      <c r="AH93" s="9">
        <v>0.56000000000000005</v>
      </c>
      <c r="AI93" s="9"/>
      <c r="AJ93" s="9"/>
      <c r="AK93" s="9"/>
      <c r="AL93" s="9"/>
    </row>
    <row r="94" spans="1:38">
      <c r="A94" s="7" t="s">
        <v>42</v>
      </c>
      <c r="B94" s="6" t="s">
        <v>69</v>
      </c>
      <c r="C94" s="7" t="s">
        <v>43</v>
      </c>
      <c r="D94" s="7">
        <v>2</v>
      </c>
      <c r="E94" s="8">
        <v>3203</v>
      </c>
      <c r="F94" s="10"/>
      <c r="G94" s="9">
        <v>413</v>
      </c>
      <c r="H94" s="9">
        <v>135</v>
      </c>
      <c r="I94" s="9">
        <v>246</v>
      </c>
      <c r="J94" s="9">
        <v>2240</v>
      </c>
      <c r="K94" s="9">
        <v>83.1</v>
      </c>
      <c r="L94" s="9">
        <v>1.26</v>
      </c>
      <c r="M94" s="9">
        <v>181</v>
      </c>
      <c r="N94" s="9">
        <v>25.7</v>
      </c>
      <c r="O94" s="9">
        <v>169</v>
      </c>
      <c r="P94" s="9">
        <v>169</v>
      </c>
      <c r="Q94" s="9">
        <v>59.9</v>
      </c>
      <c r="R94" s="9">
        <v>152</v>
      </c>
      <c r="S94" s="9">
        <v>1568</v>
      </c>
      <c r="T94" s="9"/>
      <c r="U94" s="9">
        <v>2.09</v>
      </c>
      <c r="V94" s="9">
        <v>153</v>
      </c>
      <c r="W94" s="9">
        <v>45.1</v>
      </c>
      <c r="X94" s="9">
        <v>18.3</v>
      </c>
      <c r="Y94" s="9">
        <v>17</v>
      </c>
      <c r="Z94" s="9">
        <v>1.4</v>
      </c>
      <c r="AA94" s="9">
        <v>11.5</v>
      </c>
      <c r="AB94" s="9"/>
      <c r="AC94" s="9">
        <v>10.9</v>
      </c>
      <c r="AD94" s="9">
        <v>122</v>
      </c>
      <c r="AE94" s="9">
        <v>50.2</v>
      </c>
      <c r="AF94" s="9"/>
      <c r="AG94" s="9"/>
      <c r="AH94" s="9"/>
      <c r="AI94" s="9"/>
      <c r="AJ94" s="9"/>
      <c r="AK94" s="9"/>
      <c r="AL94" s="9"/>
    </row>
    <row r="95" spans="1:38">
      <c r="A95" s="7" t="s">
        <v>70</v>
      </c>
      <c r="B95" s="6" t="s">
        <v>71</v>
      </c>
      <c r="C95" s="7">
        <v>64</v>
      </c>
      <c r="D95" s="7">
        <v>1</v>
      </c>
      <c r="E95" s="8">
        <v>401600</v>
      </c>
      <c r="F95" s="9"/>
      <c r="G95" s="12"/>
      <c r="H95" s="9"/>
      <c r="I95" s="9"/>
      <c r="J95" s="9"/>
      <c r="K95" s="9"/>
      <c r="L95" s="9"/>
      <c r="M95" s="9"/>
      <c r="N95" s="9"/>
      <c r="O95" s="12"/>
      <c r="P95" s="9"/>
      <c r="Q95" s="9"/>
      <c r="R95" s="12"/>
      <c r="S95" s="9"/>
      <c r="T95" s="12"/>
      <c r="U95" s="9"/>
      <c r="V95" s="9">
        <v>8200</v>
      </c>
      <c r="W95" s="9"/>
      <c r="X95" s="9"/>
      <c r="Y95" s="9"/>
      <c r="Z95" s="9"/>
      <c r="AA95" s="9"/>
      <c r="AB95" s="9"/>
      <c r="AC95" s="9"/>
      <c r="AD95" s="9"/>
      <c r="AE95" s="9"/>
      <c r="AF95" s="9"/>
      <c r="AG95" s="9"/>
      <c r="AH95" s="9"/>
      <c r="AI95" s="9"/>
      <c r="AJ95" s="9"/>
      <c r="AK95" s="9"/>
      <c r="AL95" s="9"/>
    </row>
    <row r="96" spans="1:38">
      <c r="A96" s="7" t="s">
        <v>70</v>
      </c>
      <c r="B96" s="6" t="s">
        <v>71</v>
      </c>
      <c r="C96" s="7">
        <v>64</v>
      </c>
      <c r="D96" s="7">
        <v>1</v>
      </c>
      <c r="E96" s="8">
        <v>460600</v>
      </c>
      <c r="F96" s="9"/>
      <c r="G96" s="12"/>
      <c r="H96" s="9"/>
      <c r="I96" s="9"/>
      <c r="J96" s="9"/>
      <c r="K96" s="9"/>
      <c r="L96" s="9"/>
      <c r="M96" s="9"/>
      <c r="N96" s="9"/>
      <c r="O96" s="12"/>
      <c r="P96" s="9"/>
      <c r="Q96" s="9"/>
      <c r="R96" s="12"/>
      <c r="S96" s="9"/>
      <c r="T96" s="12"/>
      <c r="U96" s="9"/>
      <c r="V96" s="9">
        <v>8300</v>
      </c>
      <c r="W96" s="9"/>
      <c r="X96" s="9"/>
      <c r="Y96" s="9"/>
      <c r="Z96" s="9"/>
      <c r="AA96" s="9"/>
      <c r="AB96" s="9"/>
      <c r="AC96" s="9"/>
      <c r="AD96" s="9"/>
      <c r="AE96" s="9"/>
      <c r="AF96" s="9"/>
      <c r="AG96" s="9"/>
      <c r="AH96" s="9"/>
      <c r="AI96" s="9"/>
      <c r="AJ96" s="9"/>
      <c r="AK96" s="9"/>
      <c r="AL96" s="9"/>
    </row>
    <row r="97" spans="1:38">
      <c r="A97" s="7" t="s">
        <v>70</v>
      </c>
      <c r="B97" s="6" t="s">
        <v>71</v>
      </c>
      <c r="C97" s="7">
        <v>64</v>
      </c>
      <c r="D97" s="7">
        <v>1</v>
      </c>
      <c r="E97" s="8">
        <v>486700</v>
      </c>
      <c r="F97" s="9"/>
      <c r="G97" s="12"/>
      <c r="H97" s="9"/>
      <c r="I97" s="9"/>
      <c r="J97" s="9"/>
      <c r="K97" s="9"/>
      <c r="L97" s="9"/>
      <c r="M97" s="9"/>
      <c r="N97" s="9"/>
      <c r="O97" s="12"/>
      <c r="P97" s="9"/>
      <c r="Q97" s="9"/>
      <c r="R97" s="12"/>
      <c r="S97" s="9"/>
      <c r="T97" s="12"/>
      <c r="U97" s="9"/>
      <c r="V97" s="9">
        <v>10200</v>
      </c>
      <c r="W97" s="9"/>
      <c r="X97" s="9"/>
      <c r="Y97" s="9"/>
      <c r="Z97" s="9"/>
      <c r="AA97" s="9"/>
      <c r="AB97" s="9"/>
      <c r="AC97" s="9"/>
      <c r="AD97" s="9"/>
      <c r="AE97" s="9"/>
      <c r="AF97" s="9"/>
      <c r="AG97" s="9"/>
      <c r="AH97" s="9"/>
      <c r="AI97" s="9"/>
      <c r="AJ97" s="9"/>
      <c r="AK97" s="9"/>
      <c r="AL97" s="9"/>
    </row>
    <row r="98" spans="1:38" hidden="1">
      <c r="B98" s="6" t="s">
        <v>71</v>
      </c>
      <c r="C98" s="7">
        <v>65</v>
      </c>
      <c r="D98" s="7">
        <v>1</v>
      </c>
      <c r="E98" s="8">
        <v>445620</v>
      </c>
      <c r="F98" s="9"/>
      <c r="G98" s="9">
        <v>50939.58333333335</v>
      </c>
      <c r="H98" s="9"/>
      <c r="I98" s="9"/>
      <c r="J98" s="9"/>
      <c r="K98" s="9"/>
      <c r="L98" s="9"/>
      <c r="M98" s="9"/>
      <c r="N98" s="9"/>
      <c r="O98" s="9">
        <v>10759.583333333336</v>
      </c>
      <c r="P98" s="9"/>
      <c r="Q98" s="9"/>
      <c r="R98" s="9">
        <v>2846.666666666667</v>
      </c>
      <c r="S98" s="9">
        <v>292357.50000000006</v>
      </c>
      <c r="T98" s="9">
        <v>196935.00000000003</v>
      </c>
      <c r="U98" s="9"/>
      <c r="V98" s="9"/>
      <c r="W98" s="9"/>
      <c r="X98" s="9"/>
      <c r="Y98" s="9"/>
      <c r="Z98" s="9"/>
      <c r="AA98" s="9"/>
      <c r="AB98" s="9"/>
      <c r="AC98" s="9"/>
      <c r="AD98" s="9"/>
      <c r="AE98" s="9">
        <v>1053.7500000000002</v>
      </c>
      <c r="AF98" s="9"/>
      <c r="AG98" s="9"/>
      <c r="AH98" s="9"/>
      <c r="AI98" s="9"/>
      <c r="AJ98" s="9"/>
      <c r="AK98" s="9"/>
      <c r="AL98" s="9">
        <v>4200.0000000000009</v>
      </c>
    </row>
    <row r="99" spans="1:38" hidden="1">
      <c r="B99" s="6" t="s">
        <v>71</v>
      </c>
      <c r="C99" s="7">
        <v>65</v>
      </c>
      <c r="D99" s="7">
        <v>1</v>
      </c>
      <c r="E99" s="8">
        <v>488910</v>
      </c>
      <c r="F99" s="9"/>
      <c r="G99" s="9">
        <v>58717.361111111102</v>
      </c>
      <c r="H99" s="9"/>
      <c r="I99" s="9"/>
      <c r="J99" s="9"/>
      <c r="K99" s="9"/>
      <c r="L99" s="9"/>
      <c r="M99" s="9"/>
      <c r="N99" s="9"/>
      <c r="O99" s="9">
        <v>7836.5972222222217</v>
      </c>
      <c r="P99" s="9"/>
      <c r="Q99" s="9"/>
      <c r="R99" s="9">
        <v>2838.8888888888887</v>
      </c>
      <c r="S99" s="9">
        <v>288076.25</v>
      </c>
      <c r="T99" s="9">
        <v>171045</v>
      </c>
      <c r="U99" s="9"/>
      <c r="V99" s="9"/>
      <c r="W99" s="9"/>
      <c r="X99" s="9"/>
      <c r="Y99" s="9"/>
      <c r="Z99" s="9"/>
      <c r="AA99" s="9"/>
      <c r="AB99" s="9"/>
      <c r="AC99" s="9"/>
      <c r="AD99" s="9"/>
      <c r="AE99" s="9">
        <v>1150.625</v>
      </c>
      <c r="AF99" s="9"/>
      <c r="AG99" s="9"/>
      <c r="AH99" s="9"/>
      <c r="AI99" s="9"/>
      <c r="AJ99" s="9"/>
      <c r="AK99" s="9"/>
      <c r="AL99" s="9">
        <v>3281.25</v>
      </c>
    </row>
    <row r="100" spans="1:38" hidden="1">
      <c r="B100" s="6" t="s">
        <v>71</v>
      </c>
      <c r="C100" s="7">
        <v>65</v>
      </c>
      <c r="D100" s="7">
        <v>1</v>
      </c>
      <c r="E100" s="8">
        <v>411670</v>
      </c>
      <c r="F100" s="9"/>
      <c r="G100" s="9">
        <v>50001.388888888891</v>
      </c>
      <c r="H100" s="9"/>
      <c r="I100" s="9"/>
      <c r="J100" s="9"/>
      <c r="K100" s="9"/>
      <c r="L100" s="9"/>
      <c r="M100" s="9"/>
      <c r="N100" s="9"/>
      <c r="O100" s="9">
        <v>8908.4722222222226</v>
      </c>
      <c r="P100" s="9"/>
      <c r="Q100" s="9"/>
      <c r="R100" s="9">
        <v>2815.5555555555557</v>
      </c>
      <c r="S100" s="9">
        <v>243460</v>
      </c>
      <c r="T100" s="9">
        <v>159486.25</v>
      </c>
      <c r="U100" s="9"/>
      <c r="V100" s="9"/>
      <c r="W100" s="9"/>
      <c r="X100" s="9"/>
      <c r="Y100" s="9"/>
      <c r="Z100" s="9"/>
      <c r="AA100" s="9"/>
      <c r="AB100" s="9"/>
      <c r="AC100" s="9"/>
      <c r="AD100" s="9"/>
      <c r="AE100" s="9">
        <v>1728.125</v>
      </c>
      <c r="AF100" s="9"/>
      <c r="AG100" s="9"/>
      <c r="AH100" s="9"/>
      <c r="AI100" s="9"/>
      <c r="AJ100" s="9"/>
      <c r="AK100" s="9"/>
      <c r="AL100" s="9">
        <v>2485</v>
      </c>
    </row>
    <row r="101" spans="1:38" hidden="1">
      <c r="B101" s="6" t="s">
        <v>71</v>
      </c>
      <c r="C101" s="7">
        <v>65</v>
      </c>
      <c r="D101" s="7">
        <v>1</v>
      </c>
      <c r="E101" s="8">
        <v>369430</v>
      </c>
      <c r="F101" s="9"/>
      <c r="G101" s="9">
        <v>43611.458333333328</v>
      </c>
      <c r="H101" s="9"/>
      <c r="I101" s="9"/>
      <c r="J101" s="9"/>
      <c r="K101" s="9"/>
      <c r="L101" s="9"/>
      <c r="M101" s="9"/>
      <c r="N101" s="9"/>
      <c r="O101" s="9">
        <v>7550.7638888888887</v>
      </c>
      <c r="P101" s="9"/>
      <c r="Q101" s="9"/>
      <c r="R101" s="9">
        <v>3328.8888888888887</v>
      </c>
      <c r="S101" s="9">
        <v>227071.25</v>
      </c>
      <c r="T101" s="9">
        <v>123392.5</v>
      </c>
      <c r="U101" s="9"/>
      <c r="V101" s="9"/>
      <c r="W101" s="9"/>
      <c r="X101" s="9"/>
      <c r="Y101" s="9"/>
      <c r="Z101" s="9"/>
      <c r="AA101" s="9"/>
      <c r="AB101" s="9"/>
      <c r="AC101" s="9"/>
      <c r="AD101" s="9"/>
      <c r="AE101" s="9">
        <v>1137.5</v>
      </c>
      <c r="AF101" s="9"/>
      <c r="AG101" s="9"/>
      <c r="AH101" s="9"/>
      <c r="AI101" s="9"/>
      <c r="AJ101" s="9"/>
      <c r="AK101" s="9"/>
      <c r="AL101" s="9">
        <v>2668.75</v>
      </c>
    </row>
    <row r="102" spans="1:38" hidden="1">
      <c r="B102" s="6" t="s">
        <v>71</v>
      </c>
      <c r="C102" s="7">
        <v>65</v>
      </c>
      <c r="D102" s="7">
        <v>1</v>
      </c>
      <c r="E102" s="8">
        <v>398130</v>
      </c>
      <c r="F102" s="9"/>
      <c r="G102" s="9">
        <v>43684.07097717069</v>
      </c>
      <c r="H102" s="9"/>
      <c r="I102" s="9"/>
      <c r="J102" s="9"/>
      <c r="K102" s="9"/>
      <c r="L102" s="9"/>
      <c r="M102" s="9"/>
      <c r="N102" s="9"/>
      <c r="O102" s="9">
        <v>8480.97167584813</v>
      </c>
      <c r="P102" s="9"/>
      <c r="Q102" s="9"/>
      <c r="R102" s="9">
        <v>2890.2268682330678</v>
      </c>
      <c r="S102" s="9">
        <v>234115.17863906833</v>
      </c>
      <c r="T102" s="9">
        <v>128645.32813499318</v>
      </c>
      <c r="U102" s="9"/>
      <c r="V102" s="9"/>
      <c r="W102" s="9"/>
      <c r="X102" s="9"/>
      <c r="Y102" s="9"/>
      <c r="Z102" s="9"/>
      <c r="AA102" s="9"/>
      <c r="AB102" s="9"/>
      <c r="AC102" s="9"/>
      <c r="AD102" s="9"/>
      <c r="AE102" s="9">
        <v>1792.409262033138</v>
      </c>
      <c r="AF102" s="9"/>
      <c r="AG102" s="9"/>
      <c r="AH102" s="9"/>
      <c r="AI102" s="9"/>
      <c r="AJ102" s="9"/>
      <c r="AK102" s="9"/>
      <c r="AL102" s="9">
        <v>2734.5295003313909</v>
      </c>
    </row>
    <row r="103" spans="1:38" hidden="1">
      <c r="B103" s="6" t="s">
        <v>71</v>
      </c>
      <c r="C103" s="7">
        <v>65</v>
      </c>
      <c r="D103" s="7">
        <v>1</v>
      </c>
      <c r="E103" s="8">
        <v>325990</v>
      </c>
      <c r="F103" s="9"/>
      <c r="G103" s="9">
        <v>37164.930555555555</v>
      </c>
      <c r="H103" s="9"/>
      <c r="I103" s="9"/>
      <c r="J103" s="9"/>
      <c r="K103" s="9"/>
      <c r="L103" s="9"/>
      <c r="M103" s="9"/>
      <c r="N103" s="9"/>
      <c r="O103" s="9">
        <v>8353.8194444444453</v>
      </c>
      <c r="P103" s="9"/>
      <c r="Q103" s="9"/>
      <c r="R103" s="9">
        <v>2394.4444444444443</v>
      </c>
      <c r="S103" s="9">
        <v>200118.75</v>
      </c>
      <c r="T103" s="9">
        <v>148193.75</v>
      </c>
      <c r="U103" s="9"/>
      <c r="V103" s="9"/>
      <c r="W103" s="9"/>
      <c r="X103" s="9"/>
      <c r="Y103" s="9"/>
      <c r="Z103" s="9"/>
      <c r="AA103" s="9"/>
      <c r="AB103" s="9"/>
      <c r="AC103" s="9"/>
      <c r="AD103" s="9"/>
      <c r="AE103" s="9">
        <v>1062.5</v>
      </c>
      <c r="AF103" s="9"/>
      <c r="AG103" s="9"/>
      <c r="AH103" s="9"/>
      <c r="AI103" s="9"/>
      <c r="AJ103" s="9"/>
      <c r="AK103" s="9"/>
      <c r="AL103" s="9">
        <v>2656.25</v>
      </c>
    </row>
    <row r="104" spans="1:38" hidden="1">
      <c r="B104" s="6" t="s">
        <v>71</v>
      </c>
      <c r="C104" s="7">
        <v>65</v>
      </c>
      <c r="D104" s="7">
        <v>1</v>
      </c>
      <c r="E104" s="8">
        <v>360490</v>
      </c>
      <c r="F104" s="9"/>
      <c r="G104" s="9">
        <v>49668.402777777781</v>
      </c>
      <c r="H104" s="9"/>
      <c r="I104" s="9"/>
      <c r="J104" s="9"/>
      <c r="K104" s="9"/>
      <c r="L104" s="9"/>
      <c r="M104" s="9"/>
      <c r="N104" s="9"/>
      <c r="O104" s="9">
        <v>8765.5555555555547</v>
      </c>
      <c r="P104" s="9"/>
      <c r="Q104" s="9"/>
      <c r="R104" s="9">
        <v>2916.6666666666661</v>
      </c>
      <c r="S104" s="9">
        <v>210988.75</v>
      </c>
      <c r="T104" s="9">
        <v>142563.75</v>
      </c>
      <c r="U104" s="9"/>
      <c r="V104" s="9"/>
      <c r="W104" s="9"/>
      <c r="X104" s="9"/>
      <c r="Y104" s="9"/>
      <c r="Z104" s="9"/>
      <c r="AA104" s="9"/>
      <c r="AB104" s="9"/>
      <c r="AC104" s="9"/>
      <c r="AD104" s="9"/>
      <c r="AE104" s="9">
        <v>988.75</v>
      </c>
      <c r="AF104" s="9"/>
      <c r="AG104" s="9"/>
      <c r="AH104" s="9"/>
      <c r="AI104" s="9"/>
      <c r="AJ104" s="9"/>
      <c r="AK104" s="9"/>
      <c r="AL104" s="9">
        <v>2572.5</v>
      </c>
    </row>
    <row r="105" spans="1:38" hidden="1">
      <c r="B105" s="6" t="s">
        <v>71</v>
      </c>
      <c r="C105" s="7">
        <v>65</v>
      </c>
      <c r="D105" s="7">
        <v>1</v>
      </c>
      <c r="E105" s="8">
        <v>405960</v>
      </c>
      <c r="F105" s="9"/>
      <c r="G105" s="9">
        <v>42046.180555555547</v>
      </c>
      <c r="H105" s="9"/>
      <c r="I105" s="9"/>
      <c r="J105" s="9"/>
      <c r="K105" s="9"/>
      <c r="L105" s="9"/>
      <c r="M105" s="9"/>
      <c r="N105" s="9"/>
      <c r="O105" s="9">
        <v>8074.7916666666661</v>
      </c>
      <c r="P105" s="9"/>
      <c r="Q105" s="9"/>
      <c r="R105" s="9">
        <v>3274.4444444444443</v>
      </c>
      <c r="S105" s="9">
        <v>246207.5</v>
      </c>
      <c r="T105" s="9">
        <v>140656.25</v>
      </c>
      <c r="U105" s="9"/>
      <c r="V105" s="9"/>
      <c r="W105" s="9"/>
      <c r="X105" s="9"/>
      <c r="Y105" s="9"/>
      <c r="Z105" s="9"/>
      <c r="AA105" s="9"/>
      <c r="AB105" s="9"/>
      <c r="AC105" s="9"/>
      <c r="AD105" s="9"/>
      <c r="AE105" s="9">
        <v>1067.5</v>
      </c>
      <c r="AF105" s="9"/>
      <c r="AG105" s="9"/>
      <c r="AH105" s="9"/>
      <c r="AI105" s="9"/>
      <c r="AJ105" s="9"/>
      <c r="AK105" s="9"/>
      <c r="AL105" s="9">
        <v>2738.75</v>
      </c>
    </row>
    <row r="106" spans="1:38" hidden="1">
      <c r="B106" s="6" t="s">
        <v>71</v>
      </c>
      <c r="C106" s="7">
        <v>65</v>
      </c>
      <c r="D106" s="7">
        <v>1</v>
      </c>
      <c r="E106" s="8">
        <v>358870</v>
      </c>
      <c r="F106" s="9"/>
      <c r="G106" s="9">
        <v>37124.305555555555</v>
      </c>
      <c r="H106" s="9"/>
      <c r="I106" s="9"/>
      <c r="J106" s="9"/>
      <c r="K106" s="9"/>
      <c r="L106" s="9"/>
      <c r="M106" s="9"/>
      <c r="N106" s="9"/>
      <c r="O106" s="9">
        <v>7360.208333333333</v>
      </c>
      <c r="P106" s="9"/>
      <c r="Q106" s="9"/>
      <c r="R106" s="9">
        <v>2877.7777777777774</v>
      </c>
      <c r="S106" s="9">
        <v>268738.75</v>
      </c>
      <c r="T106" s="9">
        <v>158182.5</v>
      </c>
      <c r="U106" s="9"/>
      <c r="V106" s="9"/>
      <c r="W106" s="9"/>
      <c r="X106" s="9"/>
      <c r="Y106" s="9"/>
      <c r="Z106" s="9"/>
      <c r="AA106" s="9"/>
      <c r="AB106" s="9"/>
      <c r="AC106" s="9"/>
      <c r="AD106" s="9"/>
      <c r="AE106" s="9">
        <v>1351.875</v>
      </c>
      <c r="AF106" s="9"/>
      <c r="AG106" s="9"/>
      <c r="AH106" s="9"/>
      <c r="AI106" s="9"/>
      <c r="AJ106" s="9"/>
      <c r="AK106" s="9"/>
      <c r="AL106" s="9">
        <v>2231.25</v>
      </c>
    </row>
    <row r="107" spans="1:38" hidden="1">
      <c r="B107" s="6" t="s">
        <v>71</v>
      </c>
      <c r="C107" s="7">
        <v>65</v>
      </c>
      <c r="D107" s="7">
        <v>1</v>
      </c>
      <c r="E107" s="8">
        <v>434580</v>
      </c>
      <c r="F107" s="9"/>
      <c r="G107" s="9">
        <v>44145.633987000001</v>
      </c>
      <c r="H107" s="9"/>
      <c r="I107" s="9"/>
      <c r="J107" s="9"/>
      <c r="K107" s="9"/>
      <c r="L107" s="9"/>
      <c r="M107" s="9"/>
      <c r="N107" s="9"/>
      <c r="O107" s="9">
        <v>8853.7025850000009</v>
      </c>
      <c r="P107" s="9"/>
      <c r="Q107" s="9"/>
      <c r="R107" s="9">
        <v>3975.2253450000003</v>
      </c>
      <c r="S107" s="9">
        <v>284096.410325</v>
      </c>
      <c r="T107" s="9">
        <v>165943.11506500002</v>
      </c>
      <c r="U107" s="9"/>
      <c r="V107" s="9"/>
      <c r="W107" s="9"/>
      <c r="X107" s="9"/>
      <c r="Y107" s="9"/>
      <c r="Z107" s="9"/>
      <c r="AA107" s="9"/>
      <c r="AB107" s="9"/>
      <c r="AC107" s="9"/>
      <c r="AD107" s="9"/>
      <c r="AE107" s="9">
        <v>1631.6611220000002</v>
      </c>
      <c r="AF107" s="9"/>
      <c r="AG107" s="9"/>
      <c r="AH107" s="9"/>
      <c r="AI107" s="9"/>
      <c r="AJ107" s="9"/>
      <c r="AK107" s="9"/>
      <c r="AL107" s="9">
        <v>2899.2704650000005</v>
      </c>
    </row>
    <row r="108" spans="1:38" hidden="1">
      <c r="B108" s="6" t="s">
        <v>71</v>
      </c>
      <c r="C108" s="7">
        <v>65</v>
      </c>
      <c r="D108" s="7">
        <v>1</v>
      </c>
      <c r="E108" s="8">
        <v>359840</v>
      </c>
      <c r="F108" s="9"/>
      <c r="G108" s="9">
        <v>36448.072365799999</v>
      </c>
      <c r="H108" s="9"/>
      <c r="I108" s="9"/>
      <c r="J108" s="9"/>
      <c r="K108" s="9"/>
      <c r="L108" s="9"/>
      <c r="M108" s="9"/>
      <c r="N108" s="9"/>
      <c r="O108" s="9">
        <v>8589.5153468999997</v>
      </c>
      <c r="P108" s="9"/>
      <c r="Q108" s="9"/>
      <c r="R108" s="9">
        <v>4126.0845189000001</v>
      </c>
      <c r="S108" s="9">
        <v>235423.36560320001</v>
      </c>
      <c r="T108" s="9">
        <v>138294.98565069999</v>
      </c>
      <c r="U108" s="9"/>
      <c r="V108" s="9"/>
      <c r="W108" s="9"/>
      <c r="X108" s="9"/>
      <c r="Y108" s="9"/>
      <c r="Z108" s="9"/>
      <c r="AA108" s="9"/>
      <c r="AB108" s="9"/>
      <c r="AC108" s="9"/>
      <c r="AD108" s="9"/>
      <c r="AE108" s="9">
        <v>957.15219090000005</v>
      </c>
      <c r="AF108" s="9"/>
      <c r="AG108" s="9"/>
      <c r="AH108" s="9"/>
      <c r="AI108" s="9"/>
      <c r="AJ108" s="9"/>
      <c r="AK108" s="9"/>
      <c r="AL108" s="9">
        <v>2678.4899962999998</v>
      </c>
    </row>
    <row r="109" spans="1:38" hidden="1">
      <c r="B109" s="6" t="s">
        <v>71</v>
      </c>
      <c r="C109" s="7">
        <v>65</v>
      </c>
      <c r="D109" s="7">
        <v>1</v>
      </c>
      <c r="E109" s="8">
        <v>336430</v>
      </c>
      <c r="F109" s="9"/>
      <c r="G109" s="9">
        <v>35989.236111111109</v>
      </c>
      <c r="H109" s="9"/>
      <c r="I109" s="9"/>
      <c r="J109" s="9"/>
      <c r="K109" s="9"/>
      <c r="L109" s="9"/>
      <c r="M109" s="9"/>
      <c r="N109" s="9"/>
      <c r="O109" s="9">
        <v>8193.8888888888887</v>
      </c>
      <c r="P109" s="9"/>
      <c r="Q109" s="9"/>
      <c r="R109" s="9">
        <v>2162.2222222222217</v>
      </c>
      <c r="S109" s="9">
        <v>231122.5</v>
      </c>
      <c r="T109" s="9">
        <v>151480</v>
      </c>
      <c r="U109" s="9"/>
      <c r="V109" s="9"/>
      <c r="W109" s="9"/>
      <c r="X109" s="9"/>
      <c r="Y109" s="9"/>
      <c r="Z109" s="9"/>
      <c r="AA109" s="9"/>
      <c r="AB109" s="9"/>
      <c r="AC109" s="9"/>
      <c r="AD109" s="9"/>
      <c r="AE109" s="9">
        <v>511.875</v>
      </c>
      <c r="AF109" s="9"/>
      <c r="AG109" s="9"/>
      <c r="AH109" s="9"/>
      <c r="AI109" s="9"/>
      <c r="AJ109" s="9"/>
      <c r="AK109" s="9"/>
      <c r="AL109" s="9">
        <v>1854.9999999999998</v>
      </c>
    </row>
    <row r="110" spans="1:38" hidden="1">
      <c r="B110" s="6" t="s">
        <v>71</v>
      </c>
      <c r="C110" s="7">
        <v>65</v>
      </c>
      <c r="D110" s="7">
        <v>1</v>
      </c>
      <c r="E110" s="8">
        <v>363500</v>
      </c>
      <c r="F110" s="9"/>
      <c r="G110" s="9">
        <v>42106.944444444438</v>
      </c>
      <c r="H110" s="9"/>
      <c r="I110" s="9"/>
      <c r="J110" s="9"/>
      <c r="K110" s="9"/>
      <c r="L110" s="9"/>
      <c r="M110" s="9"/>
      <c r="N110" s="9"/>
      <c r="O110" s="9">
        <v>9027.5694444444453</v>
      </c>
      <c r="P110" s="9"/>
      <c r="Q110" s="9"/>
      <c r="R110" s="9">
        <v>2504.4444444444443</v>
      </c>
      <c r="S110" s="9">
        <v>272352.5</v>
      </c>
      <c r="T110" s="9">
        <v>196875</v>
      </c>
      <c r="U110" s="9"/>
      <c r="V110" s="9"/>
      <c r="W110" s="9"/>
      <c r="X110" s="9"/>
      <c r="Y110" s="9"/>
      <c r="Z110" s="9"/>
      <c r="AA110" s="9"/>
      <c r="AB110" s="9"/>
      <c r="AC110" s="9"/>
      <c r="AD110" s="9"/>
      <c r="AE110" s="9">
        <v>1159.375</v>
      </c>
      <c r="AF110" s="9"/>
      <c r="AG110" s="9"/>
      <c r="AH110" s="9"/>
      <c r="AI110" s="9"/>
      <c r="AJ110" s="9"/>
      <c r="AK110" s="9"/>
      <c r="AL110" s="9">
        <v>2415</v>
      </c>
    </row>
    <row r="111" spans="1:38" hidden="1">
      <c r="B111" s="6" t="s">
        <v>71</v>
      </c>
      <c r="C111" s="7">
        <v>65</v>
      </c>
      <c r="D111" s="7">
        <v>1</v>
      </c>
      <c r="E111" s="8">
        <v>410320</v>
      </c>
      <c r="F111" s="9"/>
      <c r="G111" s="9">
        <v>46243.75</v>
      </c>
      <c r="H111" s="9"/>
      <c r="I111" s="9"/>
      <c r="J111" s="9"/>
      <c r="K111" s="9"/>
      <c r="L111" s="9"/>
      <c r="M111" s="9"/>
      <c r="N111" s="9"/>
      <c r="O111" s="9">
        <v>10456.736111111111</v>
      </c>
      <c r="P111" s="9"/>
      <c r="Q111" s="9"/>
      <c r="R111" s="9">
        <v>2621.1111111111109</v>
      </c>
      <c r="S111" s="9">
        <v>282756.25</v>
      </c>
      <c r="T111" s="9">
        <v>205082.5</v>
      </c>
      <c r="U111" s="9"/>
      <c r="V111" s="9"/>
      <c r="W111" s="9"/>
      <c r="X111" s="9"/>
      <c r="Y111" s="9"/>
      <c r="Z111" s="9"/>
      <c r="AA111" s="9"/>
      <c r="AB111" s="9"/>
      <c r="AC111" s="9"/>
      <c r="AD111" s="9"/>
      <c r="AE111" s="9">
        <v>1185.625</v>
      </c>
      <c r="AF111" s="9"/>
      <c r="AG111" s="9"/>
      <c r="AH111" s="9"/>
      <c r="AI111" s="9"/>
      <c r="AJ111" s="9"/>
      <c r="AK111" s="9"/>
      <c r="AL111" s="9">
        <v>2590</v>
      </c>
    </row>
    <row r="112" spans="1:38" hidden="1">
      <c r="A112" s="7" t="s">
        <v>72</v>
      </c>
      <c r="B112" s="6" t="s">
        <v>73</v>
      </c>
      <c r="C112" s="7">
        <v>34</v>
      </c>
      <c r="D112" s="7">
        <v>1</v>
      </c>
      <c r="E112" s="10"/>
      <c r="F112" s="9"/>
      <c r="G112" s="9"/>
      <c r="H112" s="9"/>
      <c r="I112" s="9"/>
      <c r="J112" s="9"/>
      <c r="K112" s="9"/>
      <c r="L112" s="9"/>
      <c r="M112" s="9"/>
      <c r="N112" s="9"/>
      <c r="O112" s="9"/>
      <c r="P112" s="9"/>
      <c r="Q112" s="9"/>
      <c r="R112" s="9"/>
      <c r="S112" s="9"/>
      <c r="T112" s="9"/>
      <c r="U112" s="9"/>
      <c r="V112" s="9"/>
      <c r="W112" s="9"/>
      <c r="X112" s="9"/>
      <c r="Y112" s="9"/>
      <c r="Z112" s="9"/>
      <c r="AA112" s="9"/>
      <c r="AB112" s="10"/>
      <c r="AC112" s="9"/>
      <c r="AD112" s="9"/>
      <c r="AE112" s="9"/>
      <c r="AF112" s="9"/>
      <c r="AG112" s="9"/>
      <c r="AH112" s="9"/>
      <c r="AI112" s="9"/>
      <c r="AJ112" s="9"/>
      <c r="AK112" s="9"/>
      <c r="AL112" s="9"/>
    </row>
    <row r="113" spans="1:38" hidden="1">
      <c r="B113" s="6" t="s">
        <v>73</v>
      </c>
      <c r="C113" s="7">
        <v>43</v>
      </c>
      <c r="D113" s="7">
        <v>1</v>
      </c>
      <c r="E113" s="8">
        <v>434360</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v>1284</v>
      </c>
      <c r="AJ113" s="9">
        <v>1586</v>
      </c>
      <c r="AK113" s="9">
        <v>1108</v>
      </c>
      <c r="AL113" s="9">
        <v>5020</v>
      </c>
    </row>
    <row r="114" spans="1:38" hidden="1">
      <c r="B114" s="6" t="s">
        <v>73</v>
      </c>
      <c r="C114" s="7">
        <v>43</v>
      </c>
      <c r="D114" s="7">
        <v>1</v>
      </c>
      <c r="E114" s="8">
        <v>405410</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v>815</v>
      </c>
      <c r="AJ114" s="9">
        <v>1871</v>
      </c>
      <c r="AK114" s="9">
        <v>755</v>
      </c>
      <c r="AL114" s="9">
        <v>3739</v>
      </c>
    </row>
    <row r="115" spans="1:38" hidden="1">
      <c r="B115" s="6" t="s">
        <v>73</v>
      </c>
      <c r="C115" s="7">
        <v>43</v>
      </c>
      <c r="D115" s="7">
        <v>1</v>
      </c>
      <c r="E115" s="8">
        <v>404440</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v>696</v>
      </c>
      <c r="AJ115" s="9">
        <v>2340</v>
      </c>
      <c r="AK115" s="9">
        <v>992</v>
      </c>
      <c r="AL115" s="9">
        <v>4360</v>
      </c>
    </row>
    <row r="116" spans="1:38" hidden="1">
      <c r="B116" s="6" t="s">
        <v>73</v>
      </c>
      <c r="C116" s="7">
        <v>43</v>
      </c>
      <c r="D116" s="7">
        <v>1</v>
      </c>
      <c r="E116" s="8">
        <v>362930</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v>403.99999999999994</v>
      </c>
      <c r="AJ116" s="9">
        <v>1890.0000000000002</v>
      </c>
      <c r="AK116" s="9">
        <v>1549</v>
      </c>
      <c r="AL116" s="9">
        <v>3994</v>
      </c>
    </row>
    <row r="117" spans="1:38" hidden="1">
      <c r="B117" s="6" t="s">
        <v>73</v>
      </c>
      <c r="C117" s="7">
        <v>53</v>
      </c>
      <c r="D117" s="7">
        <v>3</v>
      </c>
      <c r="E117" s="8">
        <v>415919.53</v>
      </c>
      <c r="F117" s="9">
        <v>8393.91</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v>18.98</v>
      </c>
      <c r="AG117" s="9">
        <v>26.52</v>
      </c>
      <c r="AH117" s="9">
        <v>20.399999999999999</v>
      </c>
      <c r="AI117" s="9"/>
      <c r="AJ117" s="9"/>
      <c r="AK117" s="9"/>
      <c r="AL117" s="9"/>
    </row>
    <row r="118" spans="1:38" hidden="1">
      <c r="B118" s="6" t="s">
        <v>73</v>
      </c>
      <c r="C118" s="7">
        <v>60</v>
      </c>
      <c r="D118" s="7">
        <v>1</v>
      </c>
      <c r="E118" s="8">
        <v>362900</v>
      </c>
      <c r="F118" s="9"/>
      <c r="G118" s="9"/>
      <c r="H118" s="9"/>
      <c r="I118" s="9"/>
      <c r="J118" s="9"/>
      <c r="K118" s="9"/>
      <c r="L118" s="9"/>
      <c r="M118" s="9"/>
      <c r="N118" s="9"/>
      <c r="O118" s="9"/>
      <c r="P118" s="9"/>
      <c r="Q118" s="9"/>
      <c r="R118" s="9"/>
      <c r="S118" s="9">
        <v>254300</v>
      </c>
      <c r="T118" s="9"/>
      <c r="U118" s="9"/>
      <c r="V118" s="9"/>
      <c r="W118" s="9"/>
      <c r="X118" s="9"/>
      <c r="Y118" s="9"/>
      <c r="Z118" s="9"/>
      <c r="AA118" s="9"/>
      <c r="AB118" s="9">
        <v>8000</v>
      </c>
      <c r="AC118" s="9"/>
      <c r="AD118" s="9"/>
      <c r="AE118" s="9"/>
      <c r="AF118" s="9"/>
      <c r="AG118" s="9"/>
      <c r="AH118" s="9"/>
      <c r="AI118" s="9"/>
      <c r="AJ118" s="9"/>
      <c r="AK118" s="9"/>
      <c r="AL118" s="9"/>
    </row>
    <row r="119" spans="1:38" hidden="1">
      <c r="B119" s="6" t="s">
        <v>73</v>
      </c>
      <c r="C119" s="7">
        <v>60</v>
      </c>
      <c r="D119" s="7">
        <v>1</v>
      </c>
      <c r="E119" s="8">
        <v>434400</v>
      </c>
      <c r="F119" s="9"/>
      <c r="G119" s="9"/>
      <c r="H119" s="9"/>
      <c r="I119" s="9"/>
      <c r="J119" s="9"/>
      <c r="K119" s="9"/>
      <c r="L119" s="9"/>
      <c r="M119" s="9"/>
      <c r="N119" s="9"/>
      <c r="O119" s="9"/>
      <c r="P119" s="9"/>
      <c r="Q119" s="9"/>
      <c r="R119" s="9"/>
      <c r="S119" s="9">
        <v>313100</v>
      </c>
      <c r="T119" s="9"/>
      <c r="U119" s="9"/>
      <c r="V119" s="9"/>
      <c r="W119" s="9"/>
      <c r="X119" s="9"/>
      <c r="Y119" s="9"/>
      <c r="Z119" s="9"/>
      <c r="AA119" s="9"/>
      <c r="AB119" s="9">
        <v>10200</v>
      </c>
      <c r="AC119" s="9"/>
      <c r="AD119" s="9"/>
      <c r="AE119" s="9"/>
      <c r="AF119" s="9"/>
      <c r="AG119" s="9"/>
      <c r="AH119" s="9"/>
      <c r="AI119" s="9"/>
      <c r="AJ119" s="9"/>
      <c r="AK119" s="9"/>
      <c r="AL119" s="9"/>
    </row>
    <row r="120" spans="1:38" hidden="1">
      <c r="B120" s="6" t="s">
        <v>73</v>
      </c>
      <c r="C120" s="7">
        <v>60</v>
      </c>
      <c r="D120" s="11">
        <v>2</v>
      </c>
      <c r="E120" s="8">
        <v>398600</v>
      </c>
      <c r="F120" s="9"/>
      <c r="G120" s="9"/>
      <c r="H120" s="9"/>
      <c r="I120" s="9"/>
      <c r="J120" s="9"/>
      <c r="K120" s="9"/>
      <c r="L120" s="9"/>
      <c r="M120" s="9"/>
      <c r="N120" s="9"/>
      <c r="O120" s="9"/>
      <c r="P120" s="9"/>
      <c r="Q120" s="9"/>
      <c r="R120" s="9"/>
      <c r="S120" s="9"/>
      <c r="T120" s="9"/>
      <c r="U120" s="9"/>
      <c r="V120" s="9"/>
      <c r="W120" s="9"/>
      <c r="X120" s="9"/>
      <c r="Y120" s="9"/>
      <c r="Z120" s="9"/>
      <c r="AA120" s="9"/>
      <c r="AB120" s="9"/>
      <c r="AC120" s="9">
        <v>309</v>
      </c>
      <c r="AD120" s="9"/>
      <c r="AE120" s="9"/>
      <c r="AF120" s="9"/>
      <c r="AG120" s="9"/>
      <c r="AH120" s="9"/>
      <c r="AI120" s="9"/>
      <c r="AJ120" s="9"/>
      <c r="AK120" s="9"/>
      <c r="AL120" s="9"/>
    </row>
    <row r="121" spans="1:38" hidden="1">
      <c r="B121" s="6" t="s">
        <v>73</v>
      </c>
      <c r="C121" s="7">
        <v>61</v>
      </c>
      <c r="D121" s="7">
        <v>1</v>
      </c>
      <c r="E121" s="8">
        <v>330700</v>
      </c>
      <c r="F121" s="9"/>
      <c r="G121" s="9">
        <v>56100</v>
      </c>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spans="1:38" hidden="1">
      <c r="B122" s="6" t="s">
        <v>73</v>
      </c>
      <c r="C122" s="7">
        <v>61</v>
      </c>
      <c r="D122" s="7">
        <v>1</v>
      </c>
      <c r="E122" s="8">
        <v>362900</v>
      </c>
      <c r="F122" s="9"/>
      <c r="G122" s="9">
        <v>48500</v>
      </c>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spans="1:38" hidden="1">
      <c r="B123" s="6" t="s">
        <v>73</v>
      </c>
      <c r="C123" s="7">
        <v>61</v>
      </c>
      <c r="D123" s="7">
        <v>1</v>
      </c>
      <c r="E123" s="8">
        <v>414500</v>
      </c>
      <c r="F123" s="9"/>
      <c r="G123" s="9">
        <v>51000</v>
      </c>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spans="1:38" hidden="1">
      <c r="B124" s="6" t="s">
        <v>73</v>
      </c>
      <c r="C124" s="7">
        <v>61</v>
      </c>
      <c r="D124" s="7">
        <v>1</v>
      </c>
      <c r="E124" s="8">
        <v>434400</v>
      </c>
      <c r="F124" s="9"/>
      <c r="G124" s="9">
        <v>60100</v>
      </c>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spans="1:38" hidden="1">
      <c r="B125" s="6" t="s">
        <v>73</v>
      </c>
      <c r="C125" s="7">
        <v>61</v>
      </c>
      <c r="D125" s="7">
        <v>1</v>
      </c>
      <c r="E125" s="8">
        <v>463900</v>
      </c>
      <c r="F125" s="9"/>
      <c r="G125" s="9">
        <v>81200</v>
      </c>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spans="1:38">
      <c r="A126" s="7" t="s">
        <v>70</v>
      </c>
      <c r="B126" s="6" t="s">
        <v>73</v>
      </c>
      <c r="C126" s="7">
        <v>64</v>
      </c>
      <c r="D126" s="7">
        <v>1</v>
      </c>
      <c r="E126" s="8">
        <v>490200</v>
      </c>
      <c r="F126" s="9"/>
      <c r="G126" s="12"/>
      <c r="H126" s="9"/>
      <c r="I126" s="9"/>
      <c r="J126" s="9"/>
      <c r="K126" s="9"/>
      <c r="L126" s="9"/>
      <c r="M126" s="9"/>
      <c r="N126" s="9"/>
      <c r="O126" s="12"/>
      <c r="P126" s="9"/>
      <c r="Q126" s="9"/>
      <c r="R126" s="12"/>
      <c r="S126" s="9"/>
      <c r="T126" s="12"/>
      <c r="U126" s="9"/>
      <c r="V126" s="9">
        <v>9900</v>
      </c>
      <c r="W126" s="9"/>
      <c r="X126" s="9"/>
      <c r="Y126" s="9"/>
      <c r="Z126" s="9"/>
      <c r="AA126" s="9"/>
      <c r="AB126" s="9"/>
      <c r="AC126" s="9"/>
      <c r="AD126" s="9"/>
      <c r="AE126" s="9"/>
      <c r="AF126" s="9"/>
      <c r="AG126" s="9"/>
      <c r="AH126" s="9"/>
      <c r="AI126" s="9"/>
      <c r="AJ126" s="9"/>
      <c r="AK126" s="9"/>
      <c r="AL126" s="9"/>
    </row>
    <row r="127" spans="1:38">
      <c r="A127" s="7" t="s">
        <v>70</v>
      </c>
      <c r="B127" s="6" t="s">
        <v>73</v>
      </c>
      <c r="C127" s="7">
        <v>64</v>
      </c>
      <c r="D127" s="7">
        <v>1</v>
      </c>
      <c r="E127" s="8">
        <v>459400</v>
      </c>
      <c r="F127" s="9"/>
      <c r="G127" s="12"/>
      <c r="H127" s="9"/>
      <c r="I127" s="9"/>
      <c r="J127" s="9"/>
      <c r="K127" s="9"/>
      <c r="L127" s="9"/>
      <c r="M127" s="9"/>
      <c r="N127" s="9"/>
      <c r="O127" s="12"/>
      <c r="P127" s="9"/>
      <c r="Q127" s="9"/>
      <c r="R127" s="12"/>
      <c r="S127" s="9"/>
      <c r="T127" s="12"/>
      <c r="U127" s="9"/>
      <c r="V127" s="9">
        <v>11400</v>
      </c>
      <c r="W127" s="9"/>
      <c r="X127" s="9"/>
      <c r="Y127" s="9"/>
      <c r="Z127" s="9"/>
      <c r="AA127" s="9"/>
      <c r="AB127" s="9"/>
      <c r="AC127" s="9"/>
      <c r="AD127" s="9"/>
      <c r="AE127" s="9"/>
      <c r="AF127" s="9"/>
      <c r="AG127" s="9"/>
      <c r="AH127" s="9"/>
      <c r="AI127" s="9"/>
      <c r="AJ127" s="9"/>
      <c r="AK127" s="9"/>
      <c r="AL127" s="9"/>
    </row>
    <row r="128" spans="1:38">
      <c r="A128" s="7" t="s">
        <v>70</v>
      </c>
      <c r="B128" s="6" t="s">
        <v>73</v>
      </c>
      <c r="C128" s="7">
        <v>64</v>
      </c>
      <c r="D128" s="7">
        <v>1</v>
      </c>
      <c r="E128" s="8">
        <v>564300</v>
      </c>
      <c r="F128" s="9"/>
      <c r="G128" s="12"/>
      <c r="H128" s="9"/>
      <c r="I128" s="9"/>
      <c r="J128" s="9"/>
      <c r="K128" s="9"/>
      <c r="L128" s="9"/>
      <c r="M128" s="9"/>
      <c r="N128" s="9"/>
      <c r="O128" s="12"/>
      <c r="P128" s="9"/>
      <c r="Q128" s="9"/>
      <c r="R128" s="12"/>
      <c r="S128" s="9"/>
      <c r="T128" s="12"/>
      <c r="U128" s="9"/>
      <c r="V128" s="9">
        <v>11000</v>
      </c>
      <c r="W128" s="9"/>
      <c r="X128" s="9"/>
      <c r="Y128" s="9"/>
      <c r="Z128" s="9"/>
      <c r="AA128" s="9"/>
      <c r="AB128" s="9"/>
      <c r="AC128" s="9"/>
      <c r="AD128" s="9"/>
      <c r="AE128" s="9"/>
      <c r="AF128" s="9"/>
      <c r="AG128" s="9"/>
      <c r="AH128" s="9"/>
      <c r="AI128" s="9"/>
      <c r="AJ128" s="9"/>
      <c r="AK128" s="9"/>
      <c r="AL128" s="9"/>
    </row>
    <row r="129" spans="2:38" hidden="1">
      <c r="B129" s="6" t="s">
        <v>73</v>
      </c>
      <c r="C129" s="7">
        <v>65</v>
      </c>
      <c r="D129" s="7">
        <v>1</v>
      </c>
      <c r="E129" s="8">
        <v>461500</v>
      </c>
      <c r="F129" s="9"/>
      <c r="G129" s="9">
        <v>58780.555555555555</v>
      </c>
      <c r="H129" s="9"/>
      <c r="I129" s="9"/>
      <c r="J129" s="9"/>
      <c r="K129" s="9"/>
      <c r="L129" s="9"/>
      <c r="M129" s="9"/>
      <c r="N129" s="9"/>
      <c r="O129" s="9">
        <v>8711.1111111111113</v>
      </c>
      <c r="P129" s="9"/>
      <c r="Q129" s="9"/>
      <c r="R129" s="9">
        <v>3093.3333333333335</v>
      </c>
      <c r="S129" s="9">
        <v>241710</v>
      </c>
      <c r="T129" s="9">
        <v>143740</v>
      </c>
      <c r="U129" s="9"/>
      <c r="V129" s="9"/>
      <c r="W129" s="9"/>
      <c r="X129" s="9"/>
      <c r="Y129" s="9"/>
      <c r="Z129" s="9"/>
      <c r="AA129" s="9"/>
      <c r="AB129" s="9"/>
      <c r="AC129" s="9"/>
      <c r="AD129" s="9"/>
      <c r="AE129" s="9">
        <v>1430</v>
      </c>
      <c r="AF129" s="9"/>
      <c r="AG129" s="9"/>
      <c r="AH129" s="9"/>
      <c r="AI129" s="9"/>
      <c r="AJ129" s="9"/>
      <c r="AK129" s="9"/>
      <c r="AL129" s="9">
        <v>3220</v>
      </c>
    </row>
    <row r="130" spans="2:38" hidden="1">
      <c r="B130" s="6" t="s">
        <v>73</v>
      </c>
      <c r="C130" s="7">
        <v>65</v>
      </c>
      <c r="D130" s="7">
        <v>1</v>
      </c>
      <c r="E130" s="8">
        <v>338990</v>
      </c>
      <c r="F130" s="9"/>
      <c r="G130" s="9">
        <v>46110.069444444445</v>
      </c>
      <c r="H130" s="9"/>
      <c r="I130" s="9"/>
      <c r="J130" s="9"/>
      <c r="K130" s="9"/>
      <c r="L130" s="9"/>
      <c r="M130" s="9"/>
      <c r="N130" s="9"/>
      <c r="O130" s="9">
        <v>7002.9166666666661</v>
      </c>
      <c r="P130" s="9"/>
      <c r="Q130" s="9"/>
      <c r="R130" s="9">
        <v>3196.6666666666661</v>
      </c>
      <c r="S130" s="9">
        <v>182288.75</v>
      </c>
      <c r="T130" s="9">
        <v>107800</v>
      </c>
      <c r="U130" s="9"/>
      <c r="V130" s="9"/>
      <c r="W130" s="9"/>
      <c r="X130" s="9"/>
      <c r="Y130" s="9"/>
      <c r="Z130" s="9"/>
      <c r="AA130" s="9"/>
      <c r="AB130" s="9"/>
      <c r="AC130" s="9"/>
      <c r="AD130" s="9"/>
      <c r="AE130" s="9">
        <v>1098.125</v>
      </c>
      <c r="AF130" s="9"/>
      <c r="AG130" s="9"/>
      <c r="AH130" s="9"/>
      <c r="AI130" s="9"/>
      <c r="AJ130" s="9"/>
      <c r="AK130" s="9"/>
      <c r="AL130" s="9">
        <v>1907.4999999999998</v>
      </c>
    </row>
    <row r="131" spans="2:38" hidden="1">
      <c r="B131" s="6" t="s">
        <v>73</v>
      </c>
      <c r="C131" s="7">
        <v>65</v>
      </c>
      <c r="D131" s="7">
        <v>1</v>
      </c>
      <c r="E131" s="8">
        <v>346350</v>
      </c>
      <c r="F131" s="9"/>
      <c r="G131" s="9">
        <v>39165.108223998752</v>
      </c>
      <c r="H131" s="9"/>
      <c r="I131" s="9"/>
      <c r="J131" s="9"/>
      <c r="K131" s="9"/>
      <c r="L131" s="9"/>
      <c r="M131" s="9"/>
      <c r="N131" s="9"/>
      <c r="O131" s="9">
        <v>10123.66882349375</v>
      </c>
      <c r="P131" s="9"/>
      <c r="Q131" s="9"/>
      <c r="R131" s="9">
        <v>3266.7973346399999</v>
      </c>
      <c r="S131" s="9">
        <v>225980.70562372199</v>
      </c>
      <c r="T131" s="9">
        <v>130843.01134122397</v>
      </c>
      <c r="U131" s="9"/>
      <c r="V131" s="9"/>
      <c r="W131" s="9"/>
      <c r="X131" s="9"/>
      <c r="Y131" s="9"/>
      <c r="Z131" s="9"/>
      <c r="AA131" s="9"/>
      <c r="AB131" s="9"/>
      <c r="AC131" s="9"/>
      <c r="AD131" s="9"/>
      <c r="AE131" s="9">
        <v>1085.043400434</v>
      </c>
      <c r="AF131" s="9"/>
      <c r="AG131" s="9"/>
      <c r="AH131" s="9"/>
      <c r="AI131" s="9"/>
      <c r="AJ131" s="9"/>
      <c r="AK131" s="9"/>
      <c r="AL131" s="9">
        <v>1991.1907563520001</v>
      </c>
    </row>
    <row r="132" spans="2:38" hidden="1">
      <c r="B132" s="6" t="s">
        <v>73</v>
      </c>
      <c r="C132" s="7">
        <v>65</v>
      </c>
      <c r="D132" s="7">
        <v>1</v>
      </c>
      <c r="E132" s="8">
        <v>445680</v>
      </c>
      <c r="F132" s="9"/>
      <c r="G132" s="9">
        <v>72268.518518518511</v>
      </c>
      <c r="H132" s="9"/>
      <c r="I132" s="9"/>
      <c r="J132" s="9"/>
      <c r="K132" s="9"/>
      <c r="L132" s="9"/>
      <c r="M132" s="9"/>
      <c r="N132" s="9"/>
      <c r="O132" s="9">
        <v>11179.259259259259</v>
      </c>
      <c r="P132" s="9"/>
      <c r="Q132" s="9"/>
      <c r="R132" s="9">
        <v>3567.4074074074069</v>
      </c>
      <c r="S132" s="9">
        <v>313304.44444444444</v>
      </c>
      <c r="T132" s="9">
        <v>189233.33333333331</v>
      </c>
      <c r="U132" s="9"/>
      <c r="V132" s="9"/>
      <c r="W132" s="9"/>
      <c r="X132" s="9"/>
      <c r="Y132" s="9"/>
      <c r="Z132" s="9"/>
      <c r="AA132" s="9"/>
      <c r="AB132" s="9"/>
      <c r="AC132" s="9"/>
      <c r="AD132" s="9"/>
      <c r="AE132" s="9">
        <v>1462.2222222222219</v>
      </c>
      <c r="AF132" s="9"/>
      <c r="AG132" s="9"/>
      <c r="AH132" s="9"/>
      <c r="AI132" s="9"/>
      <c r="AJ132" s="9"/>
      <c r="AK132" s="9"/>
      <c r="AL132" s="9">
        <v>3639.9999999999995</v>
      </c>
    </row>
    <row r="133" spans="2:38" hidden="1">
      <c r="B133" s="6" t="s">
        <v>73</v>
      </c>
      <c r="C133" s="7">
        <v>65</v>
      </c>
      <c r="D133" s="7">
        <v>1</v>
      </c>
      <c r="E133" s="8">
        <v>380700</v>
      </c>
      <c r="F133" s="9"/>
      <c r="G133" s="9">
        <v>57477.777777777766</v>
      </c>
      <c r="H133" s="9"/>
      <c r="I133" s="9"/>
      <c r="J133" s="9"/>
      <c r="K133" s="9"/>
      <c r="L133" s="9"/>
      <c r="M133" s="9"/>
      <c r="N133" s="9"/>
      <c r="O133" s="9">
        <v>6764.7222222222217</v>
      </c>
      <c r="P133" s="9"/>
      <c r="Q133" s="9"/>
      <c r="R133" s="9">
        <v>3632.2222222222217</v>
      </c>
      <c r="S133" s="9">
        <v>233597.77777777778</v>
      </c>
      <c r="T133" s="9">
        <v>142006.66666666666</v>
      </c>
      <c r="U133" s="9"/>
      <c r="V133" s="9"/>
      <c r="W133" s="9"/>
      <c r="X133" s="9"/>
      <c r="Y133" s="9"/>
      <c r="Z133" s="9"/>
      <c r="AA133" s="9"/>
      <c r="AB133" s="9"/>
      <c r="AC133" s="9"/>
      <c r="AD133" s="9"/>
      <c r="AE133" s="9">
        <v>1469.9999999999998</v>
      </c>
      <c r="AF133" s="9"/>
      <c r="AG133" s="9"/>
      <c r="AH133" s="9"/>
      <c r="AI133" s="9"/>
      <c r="AJ133" s="9"/>
      <c r="AK133" s="9"/>
      <c r="AL133" s="9">
        <v>1679.9999999999998</v>
      </c>
    </row>
    <row r="134" spans="2:38" hidden="1">
      <c r="B134" s="6" t="s">
        <v>73</v>
      </c>
      <c r="C134" s="7">
        <v>65</v>
      </c>
      <c r="D134" s="7">
        <v>1</v>
      </c>
      <c r="E134" s="8">
        <v>433370</v>
      </c>
      <c r="F134" s="9"/>
      <c r="G134" s="9">
        <v>57630.902777777774</v>
      </c>
      <c r="H134" s="9"/>
      <c r="I134" s="9"/>
      <c r="J134" s="9"/>
      <c r="K134" s="9"/>
      <c r="L134" s="9"/>
      <c r="M134" s="9"/>
      <c r="N134" s="9"/>
      <c r="O134" s="9">
        <v>9146.6666666666679</v>
      </c>
      <c r="P134" s="9"/>
      <c r="Q134" s="9"/>
      <c r="R134" s="9">
        <v>3647.7777777777774</v>
      </c>
      <c r="S134" s="9">
        <v>236652.5</v>
      </c>
      <c r="T134" s="9">
        <v>135047.5</v>
      </c>
      <c r="U134" s="9"/>
      <c r="V134" s="9"/>
      <c r="W134" s="9"/>
      <c r="X134" s="9"/>
      <c r="Y134" s="9"/>
      <c r="Z134" s="9"/>
      <c r="AA134" s="9"/>
      <c r="AB134" s="9"/>
      <c r="AC134" s="9"/>
      <c r="AD134" s="9"/>
      <c r="AE134" s="9">
        <v>949.375</v>
      </c>
      <c r="AF134" s="9"/>
      <c r="AG134" s="9"/>
      <c r="AH134" s="9"/>
      <c r="AI134" s="9"/>
      <c r="AJ134" s="9"/>
      <c r="AK134" s="9"/>
      <c r="AL134" s="9">
        <v>2642.5</v>
      </c>
    </row>
    <row r="135" spans="2:38" hidden="1">
      <c r="B135" s="6" t="s">
        <v>73</v>
      </c>
      <c r="C135" s="7">
        <v>65</v>
      </c>
      <c r="D135" s="7">
        <v>1</v>
      </c>
      <c r="E135" s="8">
        <v>435210</v>
      </c>
      <c r="F135" s="9"/>
      <c r="G135" s="9">
        <v>41897.916666666657</v>
      </c>
      <c r="H135" s="9"/>
      <c r="I135" s="9"/>
      <c r="J135" s="9"/>
      <c r="K135" s="9"/>
      <c r="L135" s="9"/>
      <c r="M135" s="9"/>
      <c r="N135" s="9"/>
      <c r="O135" s="9">
        <v>7550.7638888888887</v>
      </c>
      <c r="P135" s="9"/>
      <c r="Q135" s="9"/>
      <c r="R135" s="9">
        <v>4262.2222222222217</v>
      </c>
      <c r="S135" s="9">
        <v>298627.77777777775</v>
      </c>
      <c r="T135" s="9">
        <v>173588.33333333334</v>
      </c>
      <c r="U135" s="9"/>
      <c r="V135" s="9"/>
      <c r="W135" s="9"/>
      <c r="X135" s="9"/>
      <c r="Y135" s="9"/>
      <c r="Z135" s="9"/>
      <c r="AA135" s="9"/>
      <c r="AB135" s="9"/>
      <c r="AC135" s="9"/>
      <c r="AD135" s="9"/>
      <c r="AE135" s="9">
        <v>2065</v>
      </c>
      <c r="AF135" s="9"/>
      <c r="AG135" s="9"/>
      <c r="AH135" s="9"/>
      <c r="AI135" s="9"/>
      <c r="AJ135" s="9"/>
      <c r="AK135" s="9"/>
      <c r="AL135" s="9">
        <v>1960</v>
      </c>
    </row>
    <row r="136" spans="2:38" hidden="1">
      <c r="B136" s="6" t="s">
        <v>73</v>
      </c>
      <c r="C136" s="7">
        <v>65</v>
      </c>
      <c r="D136" s="7">
        <v>1</v>
      </c>
      <c r="E136" s="8">
        <v>449220</v>
      </c>
      <c r="F136" s="9"/>
      <c r="G136" s="9">
        <v>69781.25</v>
      </c>
      <c r="H136" s="9"/>
      <c r="I136" s="9"/>
      <c r="J136" s="9"/>
      <c r="K136" s="9"/>
      <c r="L136" s="9"/>
      <c r="M136" s="9"/>
      <c r="N136" s="9"/>
      <c r="O136" s="9"/>
      <c r="P136" s="9"/>
      <c r="Q136" s="9"/>
      <c r="R136" s="9">
        <v>4262.2222222222217</v>
      </c>
      <c r="S136" s="9">
        <v>290838.33333333326</v>
      </c>
      <c r="T136" s="9">
        <v>172235</v>
      </c>
      <c r="U136" s="9"/>
      <c r="V136" s="9"/>
      <c r="W136" s="9"/>
      <c r="X136" s="9"/>
      <c r="Y136" s="9"/>
      <c r="Z136" s="9"/>
      <c r="AA136" s="9"/>
      <c r="AB136" s="9"/>
      <c r="AC136" s="9"/>
      <c r="AD136" s="9"/>
      <c r="AE136" s="9">
        <v>1316.875</v>
      </c>
      <c r="AF136" s="9"/>
      <c r="AG136" s="9"/>
      <c r="AH136" s="9"/>
      <c r="AI136" s="9"/>
      <c r="AJ136" s="9"/>
      <c r="AK136" s="9"/>
      <c r="AL136" s="9">
        <v>1388.3333333333333</v>
      </c>
    </row>
    <row r="137" spans="2:38" hidden="1">
      <c r="B137" s="6" t="s">
        <v>73</v>
      </c>
      <c r="C137" s="7">
        <v>65</v>
      </c>
      <c r="D137" s="7">
        <v>1</v>
      </c>
      <c r="E137" s="8">
        <v>540440</v>
      </c>
      <c r="F137" s="9"/>
      <c r="G137" s="9">
        <v>77063.194444444438</v>
      </c>
      <c r="H137" s="9"/>
      <c r="I137" s="9"/>
      <c r="J137" s="9"/>
      <c r="K137" s="9"/>
      <c r="L137" s="9"/>
      <c r="M137" s="9"/>
      <c r="N137" s="9"/>
      <c r="O137" s="9">
        <v>6788.5416666666661</v>
      </c>
      <c r="P137" s="9"/>
      <c r="Q137" s="9"/>
      <c r="R137" s="9">
        <v>4277.7777777777774</v>
      </c>
      <c r="S137" s="9">
        <v>338193.33333333331</v>
      </c>
      <c r="T137" s="9">
        <v>208623.33333333334</v>
      </c>
      <c r="U137" s="9"/>
      <c r="V137" s="9"/>
      <c r="W137" s="9"/>
      <c r="X137" s="9"/>
      <c r="Y137" s="9"/>
      <c r="Z137" s="9"/>
      <c r="AA137" s="9"/>
      <c r="AB137" s="9"/>
      <c r="AC137" s="9"/>
      <c r="AD137" s="9"/>
      <c r="AE137" s="9">
        <v>717.5</v>
      </c>
      <c r="AF137" s="9"/>
      <c r="AG137" s="9"/>
      <c r="AH137" s="9"/>
      <c r="AI137" s="9"/>
      <c r="AJ137" s="9"/>
      <c r="AK137" s="9"/>
      <c r="AL137" s="9">
        <v>1878.333333333333</v>
      </c>
    </row>
    <row r="138" spans="2:38" hidden="1">
      <c r="B138" s="6" t="s">
        <v>73</v>
      </c>
      <c r="C138" s="7">
        <v>65</v>
      </c>
      <c r="D138" s="7">
        <v>1</v>
      </c>
      <c r="E138" s="8">
        <v>459400</v>
      </c>
      <c r="F138" s="9"/>
      <c r="G138" s="9">
        <v>69371.622936</v>
      </c>
      <c r="H138" s="9"/>
      <c r="I138" s="9"/>
      <c r="J138" s="9"/>
      <c r="K138" s="9"/>
      <c r="L138" s="9"/>
      <c r="M138" s="9"/>
      <c r="N138" s="9"/>
      <c r="O138" s="9">
        <v>11335.126408</v>
      </c>
      <c r="P138" s="9"/>
      <c r="Q138" s="9"/>
      <c r="R138" s="9">
        <v>4283.7019999999993</v>
      </c>
      <c r="S138" s="9">
        <v>277038.50669799995</v>
      </c>
      <c r="T138" s="9">
        <v>172179.34364599996</v>
      </c>
      <c r="U138" s="9"/>
      <c r="V138" s="9"/>
      <c r="W138" s="9"/>
      <c r="X138" s="9"/>
      <c r="Y138" s="9"/>
      <c r="Z138" s="9"/>
      <c r="AA138" s="9"/>
      <c r="AB138" s="9"/>
      <c r="AC138" s="9"/>
      <c r="AD138" s="9"/>
      <c r="AE138" s="9">
        <v>1204.847552</v>
      </c>
      <c r="AF138" s="9"/>
      <c r="AG138" s="9"/>
      <c r="AH138" s="9"/>
      <c r="AI138" s="9"/>
      <c r="AJ138" s="9"/>
      <c r="AK138" s="9"/>
      <c r="AL138" s="9">
        <v>3381.87</v>
      </c>
    </row>
    <row r="139" spans="2:38" hidden="1">
      <c r="B139" s="6" t="s">
        <v>73</v>
      </c>
      <c r="C139" s="7">
        <v>65</v>
      </c>
      <c r="D139" s="7">
        <v>1</v>
      </c>
      <c r="E139" s="8">
        <v>490670</v>
      </c>
      <c r="F139" s="9"/>
      <c r="G139" s="9">
        <v>59159.65798199625</v>
      </c>
      <c r="H139" s="9"/>
      <c r="I139" s="9"/>
      <c r="J139" s="9"/>
      <c r="K139" s="9"/>
      <c r="L139" s="9"/>
      <c r="M139" s="9"/>
      <c r="N139" s="9"/>
      <c r="O139" s="9">
        <v>10623.8971653605</v>
      </c>
      <c r="P139" s="9"/>
      <c r="Q139" s="9"/>
      <c r="R139" s="9">
        <v>4332.3955128440002</v>
      </c>
      <c r="S139" s="9">
        <v>344837.68198237405</v>
      </c>
      <c r="T139" s="9">
        <v>201444.72421390799</v>
      </c>
      <c r="U139" s="9"/>
      <c r="V139" s="9"/>
      <c r="W139" s="9"/>
      <c r="X139" s="9"/>
      <c r="Y139" s="9"/>
      <c r="Z139" s="9"/>
      <c r="AA139" s="9"/>
      <c r="AB139" s="9"/>
      <c r="AC139" s="9"/>
      <c r="AD139" s="9"/>
      <c r="AE139" s="9">
        <v>1378.1801255512501</v>
      </c>
      <c r="AF139" s="9"/>
      <c r="AG139" s="9"/>
      <c r="AH139" s="9"/>
      <c r="AI139" s="9"/>
      <c r="AJ139" s="9"/>
      <c r="AK139" s="9"/>
      <c r="AL139" s="9">
        <v>2858.44766781</v>
      </c>
    </row>
    <row r="140" spans="2:38" hidden="1">
      <c r="B140" s="6" t="s">
        <v>73</v>
      </c>
      <c r="C140" s="7">
        <v>65</v>
      </c>
      <c r="D140" s="7">
        <v>1</v>
      </c>
      <c r="E140" s="8">
        <v>401750</v>
      </c>
      <c r="F140" s="9"/>
      <c r="G140" s="9">
        <v>48078.311963674998</v>
      </c>
      <c r="H140" s="9"/>
      <c r="I140" s="9"/>
      <c r="J140" s="9"/>
      <c r="K140" s="9"/>
      <c r="L140" s="9"/>
      <c r="M140" s="9"/>
      <c r="N140" s="9"/>
      <c r="O140" s="9">
        <v>6264.7644719502496</v>
      </c>
      <c r="P140" s="9"/>
      <c r="Q140" s="9"/>
      <c r="R140" s="9">
        <v>4495.7353795760009</v>
      </c>
      <c r="S140" s="9">
        <v>263463.31599427003</v>
      </c>
      <c r="T140" s="9">
        <v>152714.997305528</v>
      </c>
      <c r="U140" s="9"/>
      <c r="V140" s="9"/>
      <c r="W140" s="9"/>
      <c r="X140" s="9"/>
      <c r="Y140" s="9"/>
      <c r="Z140" s="9"/>
      <c r="AA140" s="9"/>
      <c r="AB140" s="9"/>
      <c r="AC140" s="9"/>
      <c r="AD140" s="9"/>
      <c r="AE140" s="9">
        <v>647.52590025899997</v>
      </c>
      <c r="AF140" s="9"/>
      <c r="AG140" s="9"/>
      <c r="AH140" s="9"/>
      <c r="AI140" s="9"/>
      <c r="AJ140" s="9"/>
      <c r="AK140" s="9"/>
      <c r="AL140" s="9">
        <v>2733.998245538</v>
      </c>
    </row>
    <row r="141" spans="2:38" hidden="1">
      <c r="B141" s="6" t="s">
        <v>73</v>
      </c>
      <c r="C141" s="7">
        <v>65</v>
      </c>
      <c r="D141" s="7">
        <v>1</v>
      </c>
      <c r="E141" s="8">
        <v>417200</v>
      </c>
      <c r="F141" s="9"/>
      <c r="G141" s="9">
        <v>68625</v>
      </c>
      <c r="H141" s="9"/>
      <c r="I141" s="9"/>
      <c r="J141" s="9"/>
      <c r="K141" s="9"/>
      <c r="L141" s="9"/>
      <c r="M141" s="9"/>
      <c r="N141" s="9"/>
      <c r="O141" s="9">
        <v>9493.75</v>
      </c>
      <c r="P141" s="9"/>
      <c r="Q141" s="9"/>
      <c r="R141" s="9">
        <v>4500</v>
      </c>
      <c r="S141" s="9">
        <v>344461.11111111112</v>
      </c>
      <c r="T141" s="9">
        <v>216255.55555555553</v>
      </c>
      <c r="U141" s="9"/>
      <c r="V141" s="9"/>
      <c r="W141" s="9"/>
      <c r="X141" s="9"/>
      <c r="Y141" s="9"/>
      <c r="Z141" s="9"/>
      <c r="AA141" s="9"/>
      <c r="AB141" s="9"/>
      <c r="AC141" s="9"/>
      <c r="AD141" s="9"/>
      <c r="AE141" s="9">
        <v>1081.25</v>
      </c>
      <c r="AF141" s="9"/>
      <c r="AG141" s="9"/>
      <c r="AH141" s="9"/>
      <c r="AI141" s="9"/>
      <c r="AJ141" s="9"/>
      <c r="AK141" s="9"/>
      <c r="AL141" s="9">
        <v>2038.8888888888887</v>
      </c>
    </row>
    <row r="142" spans="2:38" hidden="1">
      <c r="B142" s="6" t="s">
        <v>73</v>
      </c>
      <c r="C142" s="7">
        <v>65</v>
      </c>
      <c r="D142" s="7">
        <v>1</v>
      </c>
      <c r="E142" s="8">
        <v>488260</v>
      </c>
      <c r="F142" s="9"/>
      <c r="G142" s="9">
        <v>61045.833333333328</v>
      </c>
      <c r="H142" s="9"/>
      <c r="I142" s="9"/>
      <c r="J142" s="9"/>
      <c r="K142" s="9"/>
      <c r="L142" s="9"/>
      <c r="M142" s="9"/>
      <c r="N142" s="9"/>
      <c r="O142" s="9">
        <v>6478.8888888888887</v>
      </c>
      <c r="P142" s="9"/>
      <c r="Q142" s="9"/>
      <c r="R142" s="9">
        <v>4682.2222222222217</v>
      </c>
      <c r="S142" s="9">
        <v>308521.11111111112</v>
      </c>
      <c r="T142" s="9">
        <v>183030.55555555559</v>
      </c>
      <c r="U142" s="9"/>
      <c r="V142" s="9"/>
      <c r="W142" s="9"/>
      <c r="X142" s="9"/>
      <c r="Y142" s="9"/>
      <c r="Z142" s="9"/>
      <c r="AA142" s="9"/>
      <c r="AB142" s="9"/>
      <c r="AC142" s="9"/>
      <c r="AD142" s="9"/>
      <c r="AE142" s="9">
        <v>1920.625</v>
      </c>
      <c r="AF142" s="9"/>
      <c r="AG142" s="9"/>
      <c r="AH142" s="9"/>
      <c r="AI142" s="9"/>
      <c r="AJ142" s="9"/>
      <c r="AK142" s="9"/>
      <c r="AL142" s="9">
        <v>1858.8888888888887</v>
      </c>
    </row>
    <row r="143" spans="2:38" hidden="1">
      <c r="B143" s="6" t="s">
        <v>73</v>
      </c>
      <c r="C143" s="7">
        <v>65</v>
      </c>
      <c r="D143" s="7">
        <v>1</v>
      </c>
      <c r="E143" s="8">
        <v>380500</v>
      </c>
      <c r="F143" s="9"/>
      <c r="G143" s="9">
        <v>48781.25</v>
      </c>
      <c r="H143" s="9"/>
      <c r="I143" s="9"/>
      <c r="J143" s="9"/>
      <c r="K143" s="9"/>
      <c r="L143" s="9"/>
      <c r="M143" s="9"/>
      <c r="N143" s="9"/>
      <c r="O143" s="9">
        <v>8098.6111111111113</v>
      </c>
      <c r="P143" s="9"/>
      <c r="Q143" s="9"/>
      <c r="R143" s="9">
        <v>5040</v>
      </c>
      <c r="S143" s="9">
        <v>263841.66666666663</v>
      </c>
      <c r="T143" s="9">
        <v>159246.11111111109</v>
      </c>
      <c r="U143" s="9"/>
      <c r="V143" s="9"/>
      <c r="W143" s="9"/>
      <c r="X143" s="9"/>
      <c r="Y143" s="9"/>
      <c r="Z143" s="9"/>
      <c r="AA143" s="9"/>
      <c r="AB143" s="9"/>
      <c r="AC143" s="9"/>
      <c r="AD143" s="9"/>
      <c r="AE143" s="9">
        <v>1478.75</v>
      </c>
      <c r="AF143" s="9"/>
      <c r="AG143" s="9"/>
      <c r="AH143" s="9"/>
      <c r="AI143" s="9"/>
      <c r="AJ143" s="9"/>
      <c r="AK143" s="9"/>
      <c r="AL143" s="9">
        <v>1711.1111111111109</v>
      </c>
    </row>
    <row r="144" spans="2:38" hidden="1">
      <c r="B144" s="6" t="s">
        <v>73</v>
      </c>
      <c r="C144" s="7">
        <v>65</v>
      </c>
      <c r="D144" s="7">
        <v>1</v>
      </c>
      <c r="E144" s="8">
        <v>490200</v>
      </c>
      <c r="F144" s="9"/>
      <c r="G144" s="9">
        <v>78079.393577400013</v>
      </c>
      <c r="H144" s="9"/>
      <c r="I144" s="9"/>
      <c r="J144" s="9"/>
      <c r="K144" s="9"/>
      <c r="L144" s="9"/>
      <c r="M144" s="9"/>
      <c r="N144" s="9"/>
      <c r="O144" s="9">
        <v>6685.0631400000002</v>
      </c>
      <c r="P144" s="9"/>
      <c r="Q144" s="9"/>
      <c r="R144" s="9">
        <v>5262.2946000000011</v>
      </c>
      <c r="S144" s="9">
        <v>275778.92920439999</v>
      </c>
      <c r="T144" s="9">
        <v>148233.77148719999</v>
      </c>
      <c r="U144" s="9"/>
      <c r="V144" s="9"/>
      <c r="W144" s="9"/>
      <c r="X144" s="9"/>
      <c r="Y144" s="9"/>
      <c r="Z144" s="9"/>
      <c r="AA144" s="9"/>
      <c r="AB144" s="9"/>
      <c r="AC144" s="9"/>
      <c r="AD144" s="9"/>
      <c r="AE144" s="9">
        <v>1151.4680183999999</v>
      </c>
      <c r="AF144" s="9"/>
      <c r="AG144" s="9"/>
      <c r="AH144" s="9"/>
      <c r="AI144" s="9"/>
      <c r="AJ144" s="9"/>
      <c r="AK144" s="9"/>
      <c r="AL144" s="9">
        <v>3047.8430724</v>
      </c>
    </row>
    <row r="145" spans="1:38">
      <c r="A145" s="7" t="s">
        <v>74</v>
      </c>
      <c r="B145" s="6" t="s">
        <v>73</v>
      </c>
      <c r="C145" s="7" t="s">
        <v>43</v>
      </c>
      <c r="D145" s="7">
        <v>1</v>
      </c>
      <c r="E145" s="8">
        <v>470359</v>
      </c>
      <c r="F145" s="10"/>
      <c r="G145" s="10"/>
      <c r="H145" s="9">
        <v>4352</v>
      </c>
      <c r="I145" s="9">
        <v>19370</v>
      </c>
      <c r="J145" s="9">
        <v>369878</v>
      </c>
      <c r="K145" s="9">
        <v>316</v>
      </c>
      <c r="L145" s="9"/>
      <c r="M145" s="9">
        <v>4871</v>
      </c>
      <c r="N145" s="9">
        <v>1193</v>
      </c>
      <c r="O145" s="9">
        <v>14567</v>
      </c>
      <c r="P145" s="9">
        <v>14567</v>
      </c>
      <c r="Q145" s="9">
        <v>2729</v>
      </c>
      <c r="R145" s="9">
        <v>4781</v>
      </c>
      <c r="S145" s="10"/>
      <c r="T145" s="9"/>
      <c r="U145" s="9">
        <v>106</v>
      </c>
      <c r="V145" s="9">
        <v>10547</v>
      </c>
      <c r="W145" s="9">
        <v>2215</v>
      </c>
      <c r="X145" s="9">
        <v>2782</v>
      </c>
      <c r="Y145" s="9">
        <v>2604</v>
      </c>
      <c r="Z145" s="9">
        <v>178</v>
      </c>
      <c r="AA145" s="9">
        <v>671</v>
      </c>
      <c r="AB145" s="9"/>
      <c r="AC145" s="10"/>
      <c r="AD145" s="9"/>
      <c r="AE145" s="9"/>
      <c r="AF145" s="9"/>
      <c r="AG145" s="9"/>
      <c r="AH145" s="9"/>
      <c r="AI145" s="9"/>
      <c r="AJ145" s="9"/>
      <c r="AK145" s="9"/>
      <c r="AL145" s="9"/>
    </row>
    <row r="146" spans="1:38" hidden="1">
      <c r="B146" s="6" t="s">
        <v>73</v>
      </c>
      <c r="C146" s="7" t="s">
        <v>75</v>
      </c>
      <c r="D146" s="7">
        <v>1</v>
      </c>
      <c r="E146" s="8">
        <v>362900</v>
      </c>
      <c r="F146" s="9"/>
      <c r="G146" s="9"/>
      <c r="H146" s="9"/>
      <c r="I146" s="9"/>
      <c r="J146" s="9"/>
      <c r="K146" s="9"/>
      <c r="L146" s="9"/>
      <c r="M146" s="9"/>
      <c r="N146" s="9"/>
      <c r="O146" s="9">
        <v>9252</v>
      </c>
      <c r="P146" s="9"/>
      <c r="Q146" s="9"/>
      <c r="R146" s="9">
        <v>2700</v>
      </c>
      <c r="S146" s="9"/>
      <c r="T146" s="9"/>
      <c r="U146" s="9"/>
      <c r="V146" s="9"/>
      <c r="W146" s="9"/>
      <c r="X146" s="9"/>
      <c r="Y146" s="9"/>
      <c r="Z146" s="9"/>
      <c r="AA146" s="9"/>
      <c r="AB146" s="9"/>
      <c r="AC146" s="9"/>
      <c r="AD146" s="9"/>
      <c r="AE146" s="9">
        <v>1306</v>
      </c>
      <c r="AF146" s="9"/>
      <c r="AG146" s="9"/>
      <c r="AH146" s="9"/>
      <c r="AI146" s="9"/>
      <c r="AJ146" s="9"/>
      <c r="AK146" s="9"/>
      <c r="AL146" s="9"/>
    </row>
    <row r="147" spans="1:38" hidden="1">
      <c r="B147" s="6" t="s">
        <v>73</v>
      </c>
      <c r="C147" s="7" t="s">
        <v>55</v>
      </c>
      <c r="D147" s="7">
        <v>2</v>
      </c>
      <c r="E147" s="8">
        <v>397300</v>
      </c>
      <c r="F147" s="9"/>
      <c r="G147" s="9">
        <v>64700</v>
      </c>
      <c r="H147" s="9"/>
      <c r="I147" s="9"/>
      <c r="J147" s="9"/>
      <c r="K147" s="9"/>
      <c r="L147" s="9"/>
      <c r="M147" s="9"/>
      <c r="N147" s="9"/>
      <c r="O147" s="9"/>
      <c r="P147" s="9"/>
      <c r="Q147" s="9"/>
      <c r="R147" s="9"/>
      <c r="S147" s="9">
        <v>246899.99999999997</v>
      </c>
      <c r="T147" s="9">
        <v>152700</v>
      </c>
      <c r="U147" s="9"/>
      <c r="V147" s="9"/>
      <c r="W147" s="9"/>
      <c r="X147" s="9"/>
      <c r="Y147" s="9"/>
      <c r="Z147" s="9"/>
      <c r="AA147" s="9"/>
      <c r="AB147" s="9"/>
      <c r="AC147" s="9"/>
      <c r="AD147" s="9"/>
      <c r="AE147" s="9"/>
      <c r="AF147" s="9"/>
      <c r="AG147" s="9"/>
      <c r="AH147" s="9"/>
      <c r="AI147" s="9"/>
      <c r="AJ147" s="9"/>
      <c r="AK147" s="9"/>
      <c r="AL147" s="9"/>
    </row>
    <row r="148" spans="1:38" hidden="1">
      <c r="B148" s="6" t="s">
        <v>76</v>
      </c>
      <c r="C148" s="7">
        <v>65</v>
      </c>
      <c r="D148" s="7">
        <v>1</v>
      </c>
      <c r="E148" s="8">
        <v>442650</v>
      </c>
      <c r="F148" s="9"/>
      <c r="G148" s="9">
        <v>52504.861111111109</v>
      </c>
      <c r="H148" s="9"/>
      <c r="I148" s="9"/>
      <c r="J148" s="9"/>
      <c r="K148" s="9"/>
      <c r="L148" s="9"/>
      <c r="M148" s="9"/>
      <c r="N148" s="9"/>
      <c r="O148" s="9">
        <v>8527.3611111111113</v>
      </c>
      <c r="P148" s="9"/>
      <c r="Q148" s="9"/>
      <c r="R148" s="9">
        <v>2939.9999999999995</v>
      </c>
      <c r="S148" s="9">
        <v>261222.5</v>
      </c>
      <c r="T148" s="9">
        <v>137760</v>
      </c>
      <c r="U148" s="9"/>
      <c r="V148" s="9"/>
      <c r="W148" s="9"/>
      <c r="X148" s="9"/>
      <c r="Y148" s="9"/>
      <c r="Z148" s="9"/>
      <c r="AA148" s="9"/>
      <c r="AB148" s="9"/>
      <c r="AC148" s="9"/>
      <c r="AD148" s="9"/>
      <c r="AE148" s="9">
        <v>1246.875</v>
      </c>
      <c r="AF148" s="9"/>
      <c r="AG148" s="9"/>
      <c r="AH148" s="9"/>
      <c r="AI148" s="9"/>
      <c r="AJ148" s="9"/>
      <c r="AK148" s="9"/>
      <c r="AL148" s="9">
        <v>3018.75</v>
      </c>
    </row>
    <row r="149" spans="1:38" hidden="1">
      <c r="B149" s="6" t="s">
        <v>76</v>
      </c>
      <c r="C149" s="7">
        <v>65</v>
      </c>
      <c r="D149" s="7">
        <v>1</v>
      </c>
      <c r="E149" s="8">
        <v>372350</v>
      </c>
      <c r="F149" s="9"/>
      <c r="G149" s="9">
        <v>49527.430555555547</v>
      </c>
      <c r="H149" s="9"/>
      <c r="I149" s="9"/>
      <c r="J149" s="9"/>
      <c r="K149" s="9"/>
      <c r="L149" s="9"/>
      <c r="M149" s="9"/>
      <c r="N149" s="9"/>
      <c r="O149" s="9">
        <v>9551.5972222222226</v>
      </c>
      <c r="P149" s="9"/>
      <c r="Q149" s="9"/>
      <c r="R149" s="9">
        <v>2644.4444444444443</v>
      </c>
      <c r="S149" s="9">
        <v>226003.75</v>
      </c>
      <c r="T149" s="9">
        <v>149590</v>
      </c>
      <c r="U149" s="9"/>
      <c r="V149" s="9"/>
      <c r="W149" s="9"/>
      <c r="X149" s="9"/>
      <c r="Y149" s="9"/>
      <c r="Z149" s="9"/>
      <c r="AA149" s="9"/>
      <c r="AB149" s="9"/>
      <c r="AC149" s="9"/>
      <c r="AD149" s="9"/>
      <c r="AE149" s="9">
        <v>1863.7499999999998</v>
      </c>
      <c r="AF149" s="9"/>
      <c r="AG149" s="9"/>
      <c r="AH149" s="9"/>
      <c r="AI149" s="9"/>
      <c r="AJ149" s="9"/>
      <c r="AK149" s="9"/>
      <c r="AL149" s="9">
        <v>2957.5</v>
      </c>
    </row>
    <row r="150" spans="1:38" hidden="1">
      <c r="B150" s="6" t="s">
        <v>76</v>
      </c>
      <c r="C150" s="7">
        <v>65</v>
      </c>
      <c r="D150" s="7">
        <v>1</v>
      </c>
      <c r="E150" s="8">
        <v>430650</v>
      </c>
      <c r="F150" s="9"/>
      <c r="G150" s="9">
        <v>45760.069444444445</v>
      </c>
      <c r="H150" s="9"/>
      <c r="I150" s="9"/>
      <c r="J150" s="9"/>
      <c r="K150" s="9"/>
      <c r="L150" s="9"/>
      <c r="M150" s="9"/>
      <c r="N150" s="9"/>
      <c r="O150" s="9">
        <v>10742.569444444445</v>
      </c>
      <c r="P150" s="9"/>
      <c r="Q150" s="9"/>
      <c r="R150" s="9">
        <v>3243.333333333333</v>
      </c>
      <c r="S150" s="9">
        <v>300046.25</v>
      </c>
      <c r="T150" s="9">
        <v>198546.25</v>
      </c>
      <c r="U150" s="9"/>
      <c r="V150" s="9"/>
      <c r="W150" s="9"/>
      <c r="X150" s="9"/>
      <c r="Y150" s="9"/>
      <c r="Z150" s="9"/>
      <c r="AA150" s="9"/>
      <c r="AB150" s="9"/>
      <c r="AC150" s="9"/>
      <c r="AD150" s="9"/>
      <c r="AE150" s="9">
        <v>1378.125</v>
      </c>
      <c r="AF150" s="9"/>
      <c r="AG150" s="9"/>
      <c r="AH150" s="9"/>
      <c r="AI150" s="9"/>
      <c r="AJ150" s="9"/>
      <c r="AK150" s="9"/>
      <c r="AL150" s="9">
        <v>3430</v>
      </c>
    </row>
    <row r="151" spans="1:38" hidden="1">
      <c r="B151" s="6" t="s">
        <v>77</v>
      </c>
      <c r="C151" s="7">
        <v>34</v>
      </c>
      <c r="D151" s="7">
        <v>1</v>
      </c>
      <c r="E151" s="8">
        <v>99110.590182018757</v>
      </c>
      <c r="F151" s="9"/>
      <c r="G151" s="9"/>
      <c r="H151" s="9"/>
      <c r="I151" s="9"/>
      <c r="J151" s="9"/>
      <c r="K151" s="9"/>
      <c r="L151" s="9"/>
      <c r="M151" s="9"/>
      <c r="N151" s="9"/>
      <c r="O151" s="9"/>
      <c r="P151" s="9"/>
      <c r="Q151" s="9"/>
      <c r="R151" s="9"/>
      <c r="S151" s="9"/>
      <c r="T151" s="9"/>
      <c r="U151" s="9"/>
      <c r="V151" s="9"/>
      <c r="W151" s="9"/>
      <c r="X151" s="9"/>
      <c r="Y151" s="9"/>
      <c r="Z151" s="9"/>
      <c r="AA151" s="9"/>
      <c r="AB151" s="9">
        <v>4574</v>
      </c>
      <c r="AC151" s="9"/>
      <c r="AD151" s="9"/>
      <c r="AE151" s="9"/>
      <c r="AF151" s="9"/>
      <c r="AG151" s="9"/>
      <c r="AH151" s="9"/>
      <c r="AI151" s="9"/>
      <c r="AJ151" s="9"/>
      <c r="AK151" s="9"/>
      <c r="AL151" s="9"/>
    </row>
    <row r="152" spans="1:38" hidden="1">
      <c r="B152" s="6" t="s">
        <v>77</v>
      </c>
      <c r="C152" s="7">
        <v>43</v>
      </c>
      <c r="D152" s="7">
        <v>1</v>
      </c>
      <c r="E152" s="8">
        <v>88803</v>
      </c>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v>234</v>
      </c>
      <c r="AJ152" s="9">
        <v>262</v>
      </c>
      <c r="AK152" s="9">
        <v>80</v>
      </c>
      <c r="AL152" s="9">
        <v>578</v>
      </c>
    </row>
    <row r="153" spans="1:38" hidden="1">
      <c r="B153" s="6" t="s">
        <v>77</v>
      </c>
      <c r="C153" s="7">
        <v>53</v>
      </c>
      <c r="D153" s="7">
        <v>3</v>
      </c>
      <c r="E153" s="8">
        <v>100701.81266666665</v>
      </c>
      <c r="F153" s="9">
        <v>2249.16</v>
      </c>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v>3.92</v>
      </c>
      <c r="AG153" s="9">
        <v>4.12</v>
      </c>
      <c r="AH153" s="9">
        <v>4.88</v>
      </c>
      <c r="AI153" s="9"/>
      <c r="AJ153" s="9"/>
      <c r="AK153" s="9"/>
      <c r="AL153" s="9"/>
    </row>
    <row r="154" spans="1:38" hidden="1">
      <c r="B154" s="6" t="s">
        <v>77</v>
      </c>
      <c r="C154" s="7">
        <v>60</v>
      </c>
      <c r="D154" s="7">
        <v>1</v>
      </c>
      <c r="E154" s="8">
        <v>88800</v>
      </c>
      <c r="F154" s="9"/>
      <c r="G154" s="9"/>
      <c r="H154" s="9"/>
      <c r="I154" s="9"/>
      <c r="J154" s="9"/>
      <c r="K154" s="9"/>
      <c r="L154" s="9"/>
      <c r="M154" s="9"/>
      <c r="N154" s="9"/>
      <c r="O154" s="9"/>
      <c r="P154" s="9"/>
      <c r="Q154" s="9"/>
      <c r="R154" s="9"/>
      <c r="S154" s="9">
        <v>59600</v>
      </c>
      <c r="T154" s="9"/>
      <c r="U154" s="9"/>
      <c r="V154" s="9"/>
      <c r="W154" s="9"/>
      <c r="X154" s="9"/>
      <c r="Y154" s="9"/>
      <c r="Z154" s="9"/>
      <c r="AA154" s="9"/>
      <c r="AB154" s="9">
        <v>3600</v>
      </c>
      <c r="AC154" s="9"/>
      <c r="AD154" s="9"/>
      <c r="AE154" s="9"/>
      <c r="AF154" s="9"/>
      <c r="AG154" s="9"/>
      <c r="AH154" s="9"/>
      <c r="AI154" s="9"/>
      <c r="AJ154" s="9"/>
      <c r="AK154" s="9"/>
      <c r="AL154" s="9"/>
    </row>
    <row r="155" spans="1:38" hidden="1">
      <c r="B155" s="6" t="s">
        <v>77</v>
      </c>
      <c r="C155" s="7">
        <v>60</v>
      </c>
      <c r="D155" s="7">
        <v>1</v>
      </c>
      <c r="E155" s="8">
        <v>115800</v>
      </c>
      <c r="F155" s="9"/>
      <c r="G155" s="9"/>
      <c r="H155" s="9"/>
      <c r="I155" s="9"/>
      <c r="J155" s="9"/>
      <c r="K155" s="9"/>
      <c r="L155" s="9"/>
      <c r="M155" s="9"/>
      <c r="N155" s="9"/>
      <c r="O155" s="9"/>
      <c r="P155" s="9"/>
      <c r="Q155" s="9"/>
      <c r="R155" s="9"/>
      <c r="S155" s="9">
        <v>77000</v>
      </c>
      <c r="T155" s="9"/>
      <c r="U155" s="9"/>
      <c r="V155" s="9"/>
      <c r="W155" s="9"/>
      <c r="X155" s="9"/>
      <c r="Y155" s="9"/>
      <c r="Z155" s="9"/>
      <c r="AA155" s="9"/>
      <c r="AB155" s="9">
        <v>4600</v>
      </c>
      <c r="AC155" s="9"/>
      <c r="AD155" s="9"/>
      <c r="AE155" s="9"/>
      <c r="AF155" s="9"/>
      <c r="AG155" s="9"/>
      <c r="AH155" s="9"/>
      <c r="AI155" s="9"/>
      <c r="AJ155" s="9"/>
      <c r="AK155" s="9"/>
      <c r="AL155" s="9"/>
    </row>
    <row r="156" spans="1:38" hidden="1">
      <c r="B156" s="6" t="s">
        <v>77</v>
      </c>
      <c r="C156" s="7">
        <v>60</v>
      </c>
      <c r="D156" s="11">
        <v>2</v>
      </c>
      <c r="E156" s="8">
        <v>102300</v>
      </c>
      <c r="F156" s="9"/>
      <c r="G156" s="9"/>
      <c r="H156" s="9"/>
      <c r="I156" s="9"/>
      <c r="J156" s="9"/>
      <c r="K156" s="9"/>
      <c r="L156" s="9"/>
      <c r="M156" s="9"/>
      <c r="N156" s="9"/>
      <c r="O156" s="9"/>
      <c r="P156" s="9"/>
      <c r="Q156" s="9"/>
      <c r="R156" s="9"/>
      <c r="S156" s="9"/>
      <c r="T156" s="9"/>
      <c r="U156" s="9"/>
      <c r="V156" s="9"/>
      <c r="W156" s="9"/>
      <c r="X156" s="9"/>
      <c r="Y156" s="9"/>
      <c r="Z156" s="9"/>
      <c r="AA156" s="9"/>
      <c r="AB156" s="9"/>
      <c r="AC156" s="9">
        <v>166</v>
      </c>
      <c r="AD156" s="9"/>
      <c r="AE156" s="9"/>
      <c r="AF156" s="9"/>
      <c r="AG156" s="9"/>
      <c r="AH156" s="9"/>
      <c r="AI156" s="9"/>
      <c r="AJ156" s="9"/>
      <c r="AK156" s="9"/>
      <c r="AL156" s="9"/>
    </row>
    <row r="157" spans="1:38" hidden="1">
      <c r="B157" s="6" t="s">
        <v>77</v>
      </c>
      <c r="C157" s="7">
        <v>61</v>
      </c>
      <c r="D157" s="7">
        <v>1</v>
      </c>
      <c r="E157" s="8">
        <v>76100</v>
      </c>
      <c r="F157" s="9"/>
      <c r="G157" s="9">
        <v>10400</v>
      </c>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spans="1:38" hidden="1">
      <c r="B158" s="6" t="s">
        <v>77</v>
      </c>
      <c r="C158" s="7">
        <v>61</v>
      </c>
      <c r="D158" s="7">
        <v>1</v>
      </c>
      <c r="E158" s="8">
        <v>76300</v>
      </c>
      <c r="F158" s="9"/>
      <c r="G158" s="9">
        <v>9000</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spans="1:38" hidden="1">
      <c r="B159" s="6" t="s">
        <v>77</v>
      </c>
      <c r="C159" s="7">
        <v>61</v>
      </c>
      <c r="D159" s="7">
        <v>1</v>
      </c>
      <c r="E159" s="8">
        <v>79300</v>
      </c>
      <c r="F159" s="9"/>
      <c r="G159" s="9">
        <v>12300</v>
      </c>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spans="1:38" hidden="1">
      <c r="B160" s="6" t="s">
        <v>77</v>
      </c>
      <c r="C160" s="7">
        <v>61</v>
      </c>
      <c r="D160" s="7">
        <v>1</v>
      </c>
      <c r="E160" s="8">
        <v>80000</v>
      </c>
      <c r="F160" s="9"/>
      <c r="G160" s="9">
        <v>13600</v>
      </c>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spans="1:38" hidden="1">
      <c r="B161" s="6" t="s">
        <v>77</v>
      </c>
      <c r="C161" s="7">
        <v>61</v>
      </c>
      <c r="D161" s="7">
        <v>1</v>
      </c>
      <c r="E161" s="8">
        <v>88800</v>
      </c>
      <c r="F161" s="9"/>
      <c r="G161" s="9">
        <v>10600</v>
      </c>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spans="1:38" hidden="1">
      <c r="B162" s="6" t="s">
        <v>77</v>
      </c>
      <c r="C162" s="7">
        <v>61</v>
      </c>
      <c r="D162" s="7">
        <v>1</v>
      </c>
      <c r="E162" s="8">
        <v>98400</v>
      </c>
      <c r="F162" s="9"/>
      <c r="G162" s="9">
        <v>12000</v>
      </c>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spans="1:38" hidden="1">
      <c r="B163" s="6" t="s">
        <v>77</v>
      </c>
      <c r="C163" s="7">
        <v>61</v>
      </c>
      <c r="D163" s="7">
        <v>1</v>
      </c>
      <c r="E163" s="8">
        <v>99700</v>
      </c>
      <c r="F163" s="9"/>
      <c r="G163" s="9">
        <v>13500</v>
      </c>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spans="1:38" hidden="1">
      <c r="B164" s="6" t="s">
        <v>77</v>
      </c>
      <c r="C164" s="7">
        <v>61</v>
      </c>
      <c r="D164" s="7">
        <v>1</v>
      </c>
      <c r="E164" s="8">
        <v>107900</v>
      </c>
      <c r="F164" s="9"/>
      <c r="G164" s="9">
        <v>14500</v>
      </c>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spans="1:38" hidden="1">
      <c r="B165" s="6" t="s">
        <v>77</v>
      </c>
      <c r="C165" s="7">
        <v>61</v>
      </c>
      <c r="D165" s="7">
        <v>1</v>
      </c>
      <c r="E165" s="8">
        <v>115800</v>
      </c>
      <c r="F165" s="9"/>
      <c r="G165" s="9">
        <v>13800</v>
      </c>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spans="1:38">
      <c r="A166" s="7" t="s">
        <v>78</v>
      </c>
      <c r="B166" s="6" t="s">
        <v>77</v>
      </c>
      <c r="C166" s="7" t="s">
        <v>43</v>
      </c>
      <c r="D166" s="7">
        <v>1</v>
      </c>
      <c r="E166" s="8">
        <v>97505</v>
      </c>
      <c r="F166" s="10"/>
      <c r="G166" s="10"/>
      <c r="H166" s="9">
        <v>1459</v>
      </c>
      <c r="I166" s="9">
        <v>5716</v>
      </c>
      <c r="J166" s="9">
        <v>76001</v>
      </c>
      <c r="K166" s="9">
        <v>43.9</v>
      </c>
      <c r="L166" s="9"/>
      <c r="M166" s="9">
        <v>1264</v>
      </c>
      <c r="N166" s="9">
        <v>302</v>
      </c>
      <c r="O166" s="9">
        <v>4784</v>
      </c>
      <c r="P166" s="9">
        <v>4784</v>
      </c>
      <c r="Q166" s="9">
        <v>1136</v>
      </c>
      <c r="R166" s="9">
        <v>2673</v>
      </c>
      <c r="S166" s="9">
        <v>65800</v>
      </c>
      <c r="T166" s="9"/>
      <c r="U166" s="9">
        <v>31.2</v>
      </c>
      <c r="V166" s="9">
        <v>3226</v>
      </c>
      <c r="W166" s="9">
        <v>629</v>
      </c>
      <c r="X166" s="9">
        <v>777</v>
      </c>
      <c r="Y166" s="9">
        <v>715</v>
      </c>
      <c r="Z166" s="9">
        <v>61.6</v>
      </c>
      <c r="AA166" s="9">
        <v>302</v>
      </c>
      <c r="AB166" s="9"/>
      <c r="AC166" s="9"/>
      <c r="AD166" s="9"/>
      <c r="AE166" s="9"/>
      <c r="AF166" s="9"/>
      <c r="AG166" s="9"/>
      <c r="AH166" s="9"/>
      <c r="AI166" s="9"/>
      <c r="AJ166" s="9"/>
      <c r="AK166" s="9"/>
      <c r="AL166" s="9"/>
    </row>
    <row r="167" spans="1:38" hidden="1">
      <c r="B167" s="6" t="s">
        <v>77</v>
      </c>
      <c r="C167" s="7" t="s">
        <v>40</v>
      </c>
      <c r="D167" s="7">
        <v>1</v>
      </c>
      <c r="E167" s="8">
        <v>101280</v>
      </c>
      <c r="F167" s="9"/>
      <c r="G167" s="9"/>
      <c r="H167" s="9"/>
      <c r="I167" s="9"/>
      <c r="J167" s="9"/>
      <c r="K167" s="9"/>
      <c r="L167" s="9"/>
      <c r="M167" s="9"/>
      <c r="N167" s="9"/>
      <c r="O167" s="9"/>
      <c r="P167" s="9"/>
      <c r="Q167" s="9"/>
      <c r="R167" s="9"/>
      <c r="S167" s="9">
        <v>65620</v>
      </c>
      <c r="T167" s="9">
        <v>45120</v>
      </c>
      <c r="U167" s="9"/>
      <c r="V167" s="9"/>
      <c r="W167" s="9"/>
      <c r="X167" s="9"/>
      <c r="Y167" s="9"/>
      <c r="Z167" s="9"/>
      <c r="AA167" s="9"/>
      <c r="AB167" s="9">
        <v>4400</v>
      </c>
      <c r="AC167" s="9">
        <v>150</v>
      </c>
      <c r="AD167" s="9"/>
      <c r="AE167" s="9"/>
      <c r="AF167" s="9"/>
      <c r="AG167" s="9"/>
      <c r="AH167" s="9"/>
      <c r="AI167" s="9"/>
      <c r="AJ167" s="9"/>
      <c r="AK167" s="9"/>
      <c r="AL167" s="9"/>
    </row>
    <row r="168" spans="1:38" hidden="1">
      <c r="B168" s="6" t="s">
        <v>77</v>
      </c>
      <c r="C168" s="7" t="s">
        <v>75</v>
      </c>
      <c r="D168" s="7">
        <v>1</v>
      </c>
      <c r="E168" s="8">
        <v>88800</v>
      </c>
      <c r="F168" s="9"/>
      <c r="G168" s="9"/>
      <c r="H168" s="9"/>
      <c r="I168" s="9"/>
      <c r="J168" s="9"/>
      <c r="K168" s="9"/>
      <c r="L168" s="9"/>
      <c r="M168" s="9"/>
      <c r="N168" s="9"/>
      <c r="O168" s="9">
        <v>3020</v>
      </c>
      <c r="P168" s="9"/>
      <c r="Q168" s="9"/>
      <c r="R168" s="9">
        <v>1610</v>
      </c>
      <c r="S168" s="9"/>
      <c r="T168" s="9"/>
      <c r="U168" s="9"/>
      <c r="V168" s="9"/>
      <c r="W168" s="9"/>
      <c r="X168" s="9"/>
      <c r="Y168" s="9"/>
      <c r="Z168" s="9"/>
      <c r="AA168" s="9"/>
      <c r="AB168" s="9"/>
      <c r="AC168" s="9"/>
      <c r="AD168" s="9"/>
      <c r="AE168" s="9">
        <v>407</v>
      </c>
      <c r="AF168" s="9"/>
      <c r="AG168" s="9"/>
      <c r="AH168" s="9"/>
      <c r="AI168" s="9"/>
      <c r="AJ168" s="9"/>
      <c r="AK168" s="9"/>
      <c r="AL168" s="9"/>
    </row>
    <row r="169" spans="1:38" hidden="1">
      <c r="B169" s="6" t="s">
        <v>77</v>
      </c>
      <c r="C169" s="7" t="s">
        <v>55</v>
      </c>
      <c r="D169" s="7">
        <v>4</v>
      </c>
      <c r="E169" s="8">
        <v>83000</v>
      </c>
      <c r="F169" s="9"/>
      <c r="G169" s="9">
        <v>10900</v>
      </c>
      <c r="H169" s="9"/>
      <c r="I169" s="9"/>
      <c r="J169" s="9"/>
      <c r="K169" s="9"/>
      <c r="L169" s="9"/>
      <c r="M169" s="9"/>
      <c r="N169" s="9"/>
      <c r="O169" s="9"/>
      <c r="P169" s="9"/>
      <c r="Q169" s="9"/>
      <c r="R169" s="9"/>
      <c r="S169" s="9">
        <v>56599.999999999993</v>
      </c>
      <c r="T169" s="9">
        <v>39900</v>
      </c>
      <c r="U169" s="9"/>
      <c r="V169" s="9"/>
      <c r="W169" s="9"/>
      <c r="X169" s="9"/>
      <c r="Y169" s="9"/>
      <c r="Z169" s="9"/>
      <c r="AA169" s="9"/>
      <c r="AB169" s="9"/>
      <c r="AC169" s="9"/>
      <c r="AD169" s="9"/>
      <c r="AE169" s="9"/>
      <c r="AF169" s="9"/>
      <c r="AG169" s="9"/>
      <c r="AH169" s="9"/>
      <c r="AI169" s="9"/>
      <c r="AJ169" s="9"/>
      <c r="AK169" s="9"/>
      <c r="AL169" s="9"/>
    </row>
    <row r="170" spans="1:38" hidden="1">
      <c r="B170" s="6" t="s">
        <v>79</v>
      </c>
      <c r="C170" s="7">
        <v>43</v>
      </c>
      <c r="D170" s="7">
        <v>1</v>
      </c>
      <c r="E170" s="8">
        <v>98263</v>
      </c>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v>222</v>
      </c>
      <c r="AJ170" s="9">
        <v>572</v>
      </c>
      <c r="AK170" s="9">
        <v>284</v>
      </c>
      <c r="AL170" s="9">
        <v>1078</v>
      </c>
    </row>
    <row r="171" spans="1:38" hidden="1">
      <c r="B171" s="6" t="s">
        <v>79</v>
      </c>
      <c r="C171" s="7" t="s">
        <v>75</v>
      </c>
      <c r="D171" s="7">
        <v>1</v>
      </c>
      <c r="E171" s="8">
        <v>98262.548262548255</v>
      </c>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v>512</v>
      </c>
      <c r="AF171" s="9"/>
      <c r="AG171" s="9"/>
      <c r="AH171" s="9"/>
      <c r="AI171" s="9"/>
      <c r="AJ171" s="9"/>
      <c r="AK171" s="9"/>
      <c r="AL171" s="9"/>
    </row>
    <row r="172" spans="1:38" hidden="1">
      <c r="B172" s="6" t="s">
        <v>80</v>
      </c>
      <c r="C172" s="7">
        <v>34</v>
      </c>
      <c r="D172" s="7">
        <v>2</v>
      </c>
      <c r="E172" s="8">
        <v>37114.845938375351</v>
      </c>
      <c r="F172" s="9"/>
      <c r="G172" s="9"/>
      <c r="H172" s="9"/>
      <c r="I172" s="9"/>
      <c r="J172" s="9"/>
      <c r="K172" s="9"/>
      <c r="L172" s="9"/>
      <c r="M172" s="9"/>
      <c r="N172" s="9"/>
      <c r="O172" s="9"/>
      <c r="P172" s="9"/>
      <c r="Q172" s="9"/>
      <c r="R172" s="9"/>
      <c r="S172" s="9"/>
      <c r="T172" s="9"/>
      <c r="U172" s="9"/>
      <c r="V172" s="9"/>
      <c r="W172" s="9"/>
      <c r="X172" s="9"/>
      <c r="Y172" s="9"/>
      <c r="Z172" s="9"/>
      <c r="AA172" s="9"/>
      <c r="AB172" s="9">
        <v>1648</v>
      </c>
      <c r="AC172" s="9"/>
      <c r="AD172" s="9"/>
      <c r="AE172" s="9"/>
      <c r="AF172" s="9"/>
      <c r="AG172" s="9"/>
      <c r="AH172" s="9"/>
      <c r="AI172" s="9"/>
      <c r="AJ172" s="9"/>
      <c r="AK172" s="9"/>
      <c r="AL172" s="9"/>
    </row>
    <row r="173" spans="1:38" hidden="1">
      <c r="B173" s="6" t="s">
        <v>80</v>
      </c>
      <c r="C173" s="7">
        <v>43</v>
      </c>
      <c r="D173" s="7">
        <v>1</v>
      </c>
      <c r="E173" s="8">
        <v>32481</v>
      </c>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v>100</v>
      </c>
      <c r="AJ173" s="9">
        <v>170</v>
      </c>
      <c r="AK173" s="9">
        <v>66</v>
      </c>
      <c r="AL173" s="9">
        <v>334</v>
      </c>
    </row>
    <row r="174" spans="1:38" hidden="1">
      <c r="B174" s="6" t="s">
        <v>80</v>
      </c>
      <c r="C174" s="7">
        <v>53</v>
      </c>
      <c r="D174" s="7">
        <v>2</v>
      </c>
      <c r="E174" s="8">
        <v>36285</v>
      </c>
      <c r="F174" s="9">
        <v>1342.01</v>
      </c>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v>3.44</v>
      </c>
      <c r="AG174" s="9">
        <v>4.9000000000000004</v>
      </c>
      <c r="AH174" s="9">
        <v>3.68</v>
      </c>
      <c r="AI174" s="9"/>
      <c r="AJ174" s="9"/>
      <c r="AK174" s="9"/>
      <c r="AL174" s="9"/>
    </row>
    <row r="175" spans="1:38" hidden="1">
      <c r="A175" s="7" t="s">
        <v>42</v>
      </c>
      <c r="B175" s="6" t="s">
        <v>80</v>
      </c>
      <c r="C175" s="7" t="s">
        <v>43</v>
      </c>
      <c r="D175" s="7">
        <v>2</v>
      </c>
      <c r="E175" s="8">
        <v>36285</v>
      </c>
      <c r="F175" s="10"/>
      <c r="G175" s="9">
        <v>5504</v>
      </c>
      <c r="H175" s="9">
        <v>978</v>
      </c>
      <c r="I175" s="9">
        <v>2911</v>
      </c>
      <c r="J175" s="9">
        <v>25551</v>
      </c>
      <c r="K175" s="9">
        <v>168</v>
      </c>
      <c r="L175" s="9">
        <v>2.3199999999999998</v>
      </c>
      <c r="M175" s="9">
        <v>838</v>
      </c>
      <c r="N175" s="9">
        <v>205</v>
      </c>
      <c r="O175" s="9">
        <v>1855</v>
      </c>
      <c r="P175" s="9">
        <v>1855</v>
      </c>
      <c r="Q175" s="9">
        <v>848</v>
      </c>
      <c r="R175" s="9">
        <v>1520</v>
      </c>
      <c r="S175" s="9">
        <v>20114</v>
      </c>
      <c r="T175" s="9"/>
      <c r="U175" s="9"/>
      <c r="V175" s="9"/>
      <c r="W175" s="9"/>
      <c r="X175" s="9"/>
      <c r="Y175" s="9"/>
      <c r="Z175" s="9"/>
      <c r="AA175" s="9"/>
      <c r="AB175" s="9"/>
      <c r="AC175" s="9">
        <v>99.6</v>
      </c>
      <c r="AD175" s="9"/>
      <c r="AE175" s="9"/>
      <c r="AF175" s="9"/>
      <c r="AG175" s="9"/>
      <c r="AH175" s="9"/>
      <c r="AI175" s="9"/>
      <c r="AJ175" s="9"/>
      <c r="AK175" s="9"/>
      <c r="AL175" s="9"/>
    </row>
    <row r="176" spans="1:38" hidden="1">
      <c r="B176" s="6" t="s">
        <v>81</v>
      </c>
      <c r="C176" s="7">
        <v>34</v>
      </c>
      <c r="D176" s="7">
        <v>1</v>
      </c>
      <c r="E176" s="8">
        <v>97844.27284427284</v>
      </c>
      <c r="F176" s="9"/>
      <c r="G176" s="9"/>
      <c r="H176" s="9"/>
      <c r="I176" s="9"/>
      <c r="J176" s="9"/>
      <c r="K176" s="9"/>
      <c r="L176" s="9"/>
      <c r="M176" s="9"/>
      <c r="N176" s="9"/>
      <c r="O176" s="9"/>
      <c r="P176" s="9"/>
      <c r="Q176" s="9"/>
      <c r="R176" s="9"/>
      <c r="S176" s="9"/>
      <c r="T176" s="9"/>
      <c r="U176" s="9"/>
      <c r="V176" s="9"/>
      <c r="W176" s="9"/>
      <c r="X176" s="9"/>
      <c r="Y176" s="9"/>
      <c r="Z176" s="9"/>
      <c r="AA176" s="9"/>
      <c r="AB176" s="9">
        <v>4856</v>
      </c>
      <c r="AC176" s="9"/>
      <c r="AD176" s="9"/>
      <c r="AE176" s="9"/>
      <c r="AF176" s="9"/>
      <c r="AG176" s="9"/>
      <c r="AH176" s="9"/>
      <c r="AI176" s="9"/>
      <c r="AJ176" s="9"/>
      <c r="AK176" s="9"/>
      <c r="AL176" s="9"/>
    </row>
    <row r="177" spans="1:38" hidden="1">
      <c r="B177" s="6" t="s">
        <v>81</v>
      </c>
      <c r="C177" s="7">
        <v>53</v>
      </c>
      <c r="D177" s="7">
        <v>3</v>
      </c>
      <c r="E177" s="8">
        <v>95503.219333333327</v>
      </c>
      <c r="F177" s="9">
        <v>2109.54</v>
      </c>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v>5.12</v>
      </c>
      <c r="AG177" s="9">
        <v>5.36</v>
      </c>
      <c r="AH177" s="9">
        <v>4.26</v>
      </c>
      <c r="AI177" s="9"/>
      <c r="AJ177" s="9"/>
      <c r="AK177" s="9"/>
      <c r="AL177" s="9"/>
    </row>
    <row r="178" spans="1:38">
      <c r="A178" s="7" t="s">
        <v>42</v>
      </c>
      <c r="B178" s="6" t="s">
        <v>81</v>
      </c>
      <c r="C178" s="7" t="s">
        <v>43</v>
      </c>
      <c r="D178" s="7">
        <v>3</v>
      </c>
      <c r="E178" s="8">
        <v>95503</v>
      </c>
      <c r="F178" s="10"/>
      <c r="G178" s="9">
        <v>11268</v>
      </c>
      <c r="H178" s="9">
        <v>1582</v>
      </c>
      <c r="I178" s="9">
        <v>5721</v>
      </c>
      <c r="J178" s="9">
        <v>74822</v>
      </c>
      <c r="K178" s="9">
        <v>73.400000000000006</v>
      </c>
      <c r="L178" s="9">
        <v>1.43</v>
      </c>
      <c r="M178" s="9">
        <v>1395</v>
      </c>
      <c r="N178" s="9">
        <v>266</v>
      </c>
      <c r="O178" s="9">
        <v>4947</v>
      </c>
      <c r="P178" s="9">
        <v>4947</v>
      </c>
      <c r="Q178" s="9">
        <v>680</v>
      </c>
      <c r="R178" s="9">
        <v>1586</v>
      </c>
      <c r="S178" s="9">
        <v>65873</v>
      </c>
      <c r="T178" s="9"/>
      <c r="U178" s="9">
        <v>31</v>
      </c>
      <c r="V178" s="9">
        <v>2959</v>
      </c>
      <c r="W178" s="9">
        <v>624</v>
      </c>
      <c r="X178" s="9">
        <v>909</v>
      </c>
      <c r="Y178" s="9">
        <v>845</v>
      </c>
      <c r="Z178" s="9">
        <v>63.8</v>
      </c>
      <c r="AA178" s="9">
        <v>203</v>
      </c>
      <c r="AB178" s="9"/>
      <c r="AC178" s="9">
        <v>149</v>
      </c>
      <c r="AD178" s="9"/>
      <c r="AE178" s="9"/>
      <c r="AF178" s="9"/>
      <c r="AG178" s="9"/>
      <c r="AH178" s="9"/>
      <c r="AI178" s="9"/>
      <c r="AJ178" s="9"/>
      <c r="AK178" s="9"/>
      <c r="AL178" s="9"/>
    </row>
    <row r="179" spans="1:38" hidden="1">
      <c r="B179" s="6" t="s">
        <v>82</v>
      </c>
      <c r="C179" s="7" t="s">
        <v>40</v>
      </c>
      <c r="D179" s="7">
        <v>1</v>
      </c>
      <c r="E179" s="8">
        <v>21000</v>
      </c>
      <c r="F179" s="9"/>
      <c r="G179" s="9"/>
      <c r="H179" s="9"/>
      <c r="I179" s="9"/>
      <c r="J179" s="9"/>
      <c r="K179" s="9"/>
      <c r="L179" s="9"/>
      <c r="M179" s="9"/>
      <c r="N179" s="9"/>
      <c r="O179" s="9"/>
      <c r="P179" s="9"/>
      <c r="Q179" s="9"/>
      <c r="R179" s="9"/>
      <c r="S179" s="9">
        <v>11080.000000000002</v>
      </c>
      <c r="T179" s="9">
        <v>8960</v>
      </c>
      <c r="U179" s="9"/>
      <c r="V179" s="9"/>
      <c r="W179" s="9"/>
      <c r="X179" s="9"/>
      <c r="Y179" s="9"/>
      <c r="Z179" s="9"/>
      <c r="AA179" s="9"/>
      <c r="AB179" s="9">
        <v>1310</v>
      </c>
      <c r="AC179" s="9">
        <v>60</v>
      </c>
      <c r="AD179" s="9"/>
      <c r="AE179" s="9"/>
      <c r="AF179" s="9"/>
      <c r="AG179" s="9"/>
      <c r="AH179" s="9"/>
      <c r="AI179" s="9"/>
      <c r="AJ179" s="9"/>
      <c r="AK179" s="9"/>
      <c r="AL179" s="9"/>
    </row>
    <row r="180" spans="1:38" hidden="1">
      <c r="B180" s="6" t="s">
        <v>83</v>
      </c>
      <c r="C180" s="7">
        <v>43</v>
      </c>
      <c r="D180" s="7">
        <v>1</v>
      </c>
      <c r="E180" s="8">
        <v>12259</v>
      </c>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v>8</v>
      </c>
      <c r="AJ180" s="9">
        <v>42</v>
      </c>
      <c r="AK180" s="9">
        <v>24</v>
      </c>
      <c r="AL180" s="9">
        <v>74</v>
      </c>
    </row>
    <row r="181" spans="1:38" hidden="1">
      <c r="B181" s="6" t="s">
        <v>84</v>
      </c>
      <c r="C181" s="7">
        <v>34</v>
      </c>
      <c r="D181" s="7">
        <v>3</v>
      </c>
      <c r="E181" s="8">
        <v>7352.337139571182</v>
      </c>
      <c r="F181" s="9"/>
      <c r="G181" s="9"/>
      <c r="H181" s="9"/>
      <c r="I181" s="9"/>
      <c r="J181" s="9"/>
      <c r="K181" s="9"/>
      <c r="L181" s="9"/>
      <c r="M181" s="9"/>
      <c r="N181" s="9"/>
      <c r="O181" s="9"/>
      <c r="P181" s="9"/>
      <c r="Q181" s="9"/>
      <c r="R181" s="9"/>
      <c r="S181" s="9"/>
      <c r="T181" s="9"/>
      <c r="U181" s="9"/>
      <c r="V181" s="9"/>
      <c r="W181" s="9"/>
      <c r="X181" s="9"/>
      <c r="Y181" s="9"/>
      <c r="Z181" s="9"/>
      <c r="AA181" s="9"/>
      <c r="AB181" s="9">
        <v>326</v>
      </c>
      <c r="AC181" s="9"/>
      <c r="AD181" s="9"/>
      <c r="AE181" s="9"/>
      <c r="AF181" s="9"/>
      <c r="AG181" s="9"/>
      <c r="AH181" s="9"/>
      <c r="AI181" s="9"/>
      <c r="AJ181" s="9"/>
      <c r="AK181" s="9"/>
      <c r="AL181" s="9"/>
    </row>
    <row r="182" spans="1:38" hidden="1">
      <c r="B182" s="6" t="s">
        <v>84</v>
      </c>
      <c r="C182" s="7">
        <v>53</v>
      </c>
      <c r="D182" s="7">
        <v>3</v>
      </c>
      <c r="E182" s="8">
        <v>7175</v>
      </c>
      <c r="F182" s="9">
        <v>449.28</v>
      </c>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v>1.38</v>
      </c>
      <c r="AG182" s="9">
        <v>1.82</v>
      </c>
      <c r="AH182" s="9">
        <v>2.2999999999999998</v>
      </c>
      <c r="AI182" s="9"/>
      <c r="AJ182" s="9"/>
      <c r="AK182" s="9"/>
      <c r="AL182" s="9"/>
    </row>
    <row r="183" spans="1:38">
      <c r="A183" s="7" t="s">
        <v>42</v>
      </c>
      <c r="B183" s="6" t="s">
        <v>84</v>
      </c>
      <c r="C183" s="7" t="s">
        <v>43</v>
      </c>
      <c r="D183" s="7">
        <v>3</v>
      </c>
      <c r="E183" s="8">
        <v>7175</v>
      </c>
      <c r="F183" s="10"/>
      <c r="G183" s="9">
        <v>1165</v>
      </c>
      <c r="H183" s="9">
        <v>260</v>
      </c>
      <c r="I183" s="9">
        <v>593</v>
      </c>
      <c r="J183" s="9">
        <v>4708</v>
      </c>
      <c r="K183" s="9">
        <v>113</v>
      </c>
      <c r="L183" s="9">
        <v>2.72</v>
      </c>
      <c r="M183" s="9">
        <v>302</v>
      </c>
      <c r="N183" s="9">
        <v>56.7</v>
      </c>
      <c r="O183" s="9">
        <v>366</v>
      </c>
      <c r="P183" s="9">
        <v>366</v>
      </c>
      <c r="Q183" s="9">
        <v>194</v>
      </c>
      <c r="R183" s="9">
        <v>392</v>
      </c>
      <c r="S183" s="9">
        <v>3282</v>
      </c>
      <c r="T183" s="9"/>
      <c r="U183" s="9">
        <v>4.8899999999999997</v>
      </c>
      <c r="V183" s="9">
        <v>337</v>
      </c>
      <c r="W183" s="9">
        <v>114</v>
      </c>
      <c r="X183" s="9">
        <v>58.1</v>
      </c>
      <c r="Y183" s="9">
        <v>55.2</v>
      </c>
      <c r="Z183" s="9">
        <v>2.91</v>
      </c>
      <c r="AA183" s="9">
        <v>20.7</v>
      </c>
      <c r="AB183" s="9"/>
      <c r="AC183" s="9">
        <v>15.6</v>
      </c>
      <c r="AD183" s="9">
        <v>170</v>
      </c>
      <c r="AE183" s="9">
        <v>133</v>
      </c>
      <c r="AF183" s="9"/>
      <c r="AG183" s="9"/>
      <c r="AH183" s="9"/>
      <c r="AI183" s="9"/>
      <c r="AJ183" s="9"/>
      <c r="AK183" s="9"/>
      <c r="AL183" s="9"/>
    </row>
    <row r="184" spans="1:38" hidden="1">
      <c r="B184" s="6" t="s">
        <v>85</v>
      </c>
      <c r="C184" s="7">
        <v>34</v>
      </c>
      <c r="D184" s="7">
        <v>1</v>
      </c>
      <c r="E184" s="8">
        <v>99903.474903474897</v>
      </c>
      <c r="F184" s="9"/>
      <c r="G184" s="9"/>
      <c r="H184" s="9"/>
      <c r="I184" s="9"/>
      <c r="J184" s="9"/>
      <c r="K184" s="9"/>
      <c r="L184" s="9"/>
      <c r="M184" s="9"/>
      <c r="N184" s="9"/>
      <c r="O184" s="9"/>
      <c r="P184" s="9"/>
      <c r="Q184" s="9"/>
      <c r="R184" s="9"/>
      <c r="S184" s="9"/>
      <c r="T184" s="9"/>
      <c r="U184" s="9"/>
      <c r="V184" s="9"/>
      <c r="W184" s="9"/>
      <c r="X184" s="9"/>
      <c r="Y184" s="9"/>
      <c r="Z184" s="9"/>
      <c r="AA184" s="9"/>
      <c r="AB184" s="9">
        <v>5420</v>
      </c>
      <c r="AC184" s="9"/>
      <c r="AD184" s="9"/>
      <c r="AE184" s="9"/>
      <c r="AF184" s="9"/>
      <c r="AG184" s="9"/>
      <c r="AH184" s="9"/>
      <c r="AI184" s="9"/>
      <c r="AJ184" s="9"/>
      <c r="AK184" s="9"/>
      <c r="AL184" s="9"/>
    </row>
    <row r="185" spans="1:38" hidden="1">
      <c r="B185" s="6" t="s">
        <v>85</v>
      </c>
      <c r="C185" s="7">
        <v>43</v>
      </c>
      <c r="D185" s="7">
        <v>1</v>
      </c>
      <c r="E185" s="8">
        <v>106660</v>
      </c>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v>342</v>
      </c>
      <c r="AJ185" s="9">
        <v>540</v>
      </c>
      <c r="AK185" s="9">
        <v>190</v>
      </c>
      <c r="AL185" s="9">
        <v>1072</v>
      </c>
    </row>
    <row r="186" spans="1:38" hidden="1">
      <c r="B186" s="6" t="s">
        <v>85</v>
      </c>
      <c r="C186" s="7">
        <v>53</v>
      </c>
      <c r="D186" s="7">
        <v>1</v>
      </c>
      <c r="E186" s="8">
        <v>97641.850999999995</v>
      </c>
      <c r="F186" s="9">
        <v>2670.59</v>
      </c>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v>6.54</v>
      </c>
      <c r="AG186" s="9">
        <v>8.6199999999999992</v>
      </c>
      <c r="AH186" s="9">
        <v>6.12</v>
      </c>
      <c r="AI186" s="9"/>
      <c r="AJ186" s="9"/>
      <c r="AK186" s="9"/>
      <c r="AL186" s="9"/>
    </row>
    <row r="187" spans="1:38" hidden="1">
      <c r="B187" s="6" t="s">
        <v>85</v>
      </c>
      <c r="C187" s="7">
        <v>61</v>
      </c>
      <c r="D187" s="7">
        <v>1</v>
      </c>
      <c r="E187" s="8">
        <v>112000</v>
      </c>
      <c r="F187" s="9"/>
      <c r="G187" s="9">
        <v>11700</v>
      </c>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spans="1:38">
      <c r="A188" s="7" t="s">
        <v>42</v>
      </c>
      <c r="B188" s="6" t="s">
        <v>85</v>
      </c>
      <c r="C188" s="7" t="s">
        <v>43</v>
      </c>
      <c r="D188" s="7">
        <v>1</v>
      </c>
      <c r="E188" s="8">
        <v>97603</v>
      </c>
      <c r="F188" s="10"/>
      <c r="G188" s="9">
        <v>10726</v>
      </c>
      <c r="H188" s="9">
        <v>1770</v>
      </c>
      <c r="I188" s="9">
        <v>5351</v>
      </c>
      <c r="J188" s="9">
        <v>77049</v>
      </c>
      <c r="K188" s="9">
        <v>121</v>
      </c>
      <c r="L188" s="9"/>
      <c r="M188" s="9">
        <v>1639</v>
      </c>
      <c r="N188" s="9">
        <v>294</v>
      </c>
      <c r="O188" s="9">
        <v>4146</v>
      </c>
      <c r="P188" s="9">
        <v>4146</v>
      </c>
      <c r="Q188" s="9">
        <v>630</v>
      </c>
      <c r="R188" s="9">
        <v>1485</v>
      </c>
      <c r="S188" s="9">
        <v>68733</v>
      </c>
      <c r="T188" s="9"/>
      <c r="U188" s="9">
        <v>27.9</v>
      </c>
      <c r="V188" s="9">
        <v>2933</v>
      </c>
      <c r="W188" s="9">
        <v>681</v>
      </c>
      <c r="X188" s="9">
        <v>726</v>
      </c>
      <c r="Y188" s="9">
        <v>674</v>
      </c>
      <c r="Z188" s="9">
        <v>52.4</v>
      </c>
      <c r="AA188" s="9">
        <v>308</v>
      </c>
      <c r="AB188" s="9"/>
      <c r="AC188" s="9">
        <v>182</v>
      </c>
      <c r="AD188" s="9"/>
      <c r="AE188" s="9"/>
      <c r="AF188" s="9"/>
      <c r="AG188" s="9"/>
      <c r="AH188" s="9"/>
      <c r="AI188" s="9"/>
      <c r="AJ188" s="9"/>
      <c r="AK188" s="9"/>
      <c r="AL188" s="9"/>
    </row>
    <row r="189" spans="1:38" hidden="1">
      <c r="B189" s="6" t="s">
        <v>86</v>
      </c>
      <c r="C189" s="7">
        <v>34</v>
      </c>
      <c r="D189" s="7">
        <v>1</v>
      </c>
      <c r="E189" s="8">
        <v>6377.163680534466</v>
      </c>
      <c r="F189" s="9"/>
      <c r="G189" s="9"/>
      <c r="H189" s="9"/>
      <c r="I189" s="9"/>
      <c r="J189" s="9"/>
      <c r="K189" s="9"/>
      <c r="L189" s="9"/>
      <c r="M189" s="9"/>
      <c r="N189" s="9"/>
      <c r="O189" s="9"/>
      <c r="P189" s="9"/>
      <c r="Q189" s="9"/>
      <c r="R189" s="9"/>
      <c r="S189" s="9"/>
      <c r="T189" s="9"/>
      <c r="U189" s="9"/>
      <c r="V189" s="9"/>
      <c r="W189" s="9"/>
      <c r="X189" s="9"/>
      <c r="Y189" s="9"/>
      <c r="Z189" s="9"/>
      <c r="AA189" s="9"/>
      <c r="AB189" s="9">
        <v>529</v>
      </c>
      <c r="AC189" s="9"/>
      <c r="AD189" s="9"/>
      <c r="AE189" s="9"/>
      <c r="AF189" s="9"/>
      <c r="AG189" s="9"/>
      <c r="AH189" s="9"/>
      <c r="AI189" s="9"/>
      <c r="AJ189" s="9"/>
      <c r="AK189" s="9"/>
      <c r="AL189" s="9"/>
    </row>
    <row r="190" spans="1:38" hidden="1">
      <c r="B190" s="6" t="s">
        <v>86</v>
      </c>
      <c r="C190" s="7">
        <v>43</v>
      </c>
      <c r="D190" s="7">
        <v>1</v>
      </c>
      <c r="E190" s="8">
        <v>6612</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v>6</v>
      </c>
      <c r="AJ190" s="9">
        <v>12</v>
      </c>
      <c r="AK190" s="9">
        <v>6</v>
      </c>
      <c r="AL190" s="9"/>
    </row>
    <row r="191" spans="1:38" hidden="1">
      <c r="B191" s="6" t="s">
        <v>86</v>
      </c>
      <c r="C191" s="7">
        <v>53</v>
      </c>
      <c r="D191" s="7">
        <v>2</v>
      </c>
      <c r="E191" s="8">
        <v>6771.2355212355214</v>
      </c>
      <c r="F191" s="9">
        <v>287.23</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v>1.06</v>
      </c>
      <c r="AG191" s="9">
        <v>1.1200000000000001</v>
      </c>
      <c r="AH191" s="9">
        <v>0.94</v>
      </c>
      <c r="AI191" s="9"/>
      <c r="AJ191" s="9"/>
      <c r="AK191" s="9"/>
      <c r="AL191" s="9"/>
    </row>
    <row r="192" spans="1:38">
      <c r="A192" s="7" t="s">
        <v>42</v>
      </c>
      <c r="B192" s="6" t="s">
        <v>86</v>
      </c>
      <c r="C192" s="7" t="s">
        <v>43</v>
      </c>
      <c r="D192" s="7">
        <v>1</v>
      </c>
      <c r="E192" s="8">
        <v>6269</v>
      </c>
      <c r="F192" s="10"/>
      <c r="G192" s="9">
        <v>728</v>
      </c>
      <c r="H192" s="9">
        <v>220</v>
      </c>
      <c r="I192" s="9">
        <v>538</v>
      </c>
      <c r="J192" s="9">
        <v>4551</v>
      </c>
      <c r="K192" s="9">
        <v>85.8</v>
      </c>
      <c r="L192" s="9">
        <v>2.2999999999999998</v>
      </c>
      <c r="M192" s="9">
        <v>256</v>
      </c>
      <c r="N192" s="9">
        <v>41.1</v>
      </c>
      <c r="O192" s="9">
        <v>351</v>
      </c>
      <c r="P192" s="9">
        <v>351</v>
      </c>
      <c r="Q192" s="9">
        <v>99.7</v>
      </c>
      <c r="R192" s="9">
        <v>191</v>
      </c>
      <c r="S192" s="9">
        <v>3524</v>
      </c>
      <c r="T192" s="9"/>
      <c r="U192" s="9">
        <v>3.21</v>
      </c>
      <c r="V192" s="9">
        <v>348</v>
      </c>
      <c r="W192" s="9">
        <v>80.900000000000006</v>
      </c>
      <c r="X192" s="9">
        <v>45.2</v>
      </c>
      <c r="Y192" s="9">
        <v>41.4</v>
      </c>
      <c r="Z192" s="9">
        <v>3.79</v>
      </c>
      <c r="AA192" s="9">
        <v>15.7</v>
      </c>
      <c r="AB192" s="9"/>
      <c r="AC192" s="9">
        <v>24.6</v>
      </c>
      <c r="AD192" s="9"/>
      <c r="AE192" s="9"/>
      <c r="AF192" s="9"/>
      <c r="AG192" s="9"/>
      <c r="AH192" s="9"/>
      <c r="AI192" s="9"/>
      <c r="AJ192" s="9"/>
      <c r="AK192" s="9"/>
      <c r="AL192" s="9"/>
    </row>
    <row r="193" spans="1:38" hidden="1">
      <c r="B193" s="6" t="s">
        <v>87</v>
      </c>
      <c r="C193" s="7">
        <v>60</v>
      </c>
      <c r="D193" s="7">
        <v>1</v>
      </c>
      <c r="E193" s="8">
        <v>55600</v>
      </c>
      <c r="F193" s="9"/>
      <c r="G193" s="9"/>
      <c r="H193" s="9"/>
      <c r="I193" s="9"/>
      <c r="J193" s="9"/>
      <c r="K193" s="9"/>
      <c r="L193" s="9"/>
      <c r="M193" s="9"/>
      <c r="N193" s="9"/>
      <c r="O193" s="9"/>
      <c r="P193" s="9"/>
      <c r="Q193" s="9"/>
      <c r="R193" s="9"/>
      <c r="S193" s="9"/>
      <c r="T193" s="9"/>
      <c r="U193" s="9"/>
      <c r="V193" s="9"/>
      <c r="W193" s="9"/>
      <c r="X193" s="9"/>
      <c r="Y193" s="9"/>
      <c r="Z193" s="9"/>
      <c r="AA193" s="9"/>
      <c r="AB193" s="9">
        <v>2800</v>
      </c>
      <c r="AC193" s="9"/>
      <c r="AD193" s="9"/>
      <c r="AE193" s="9"/>
      <c r="AF193" s="9"/>
      <c r="AG193" s="9"/>
      <c r="AH193" s="9"/>
      <c r="AI193" s="9"/>
      <c r="AJ193" s="9"/>
      <c r="AK193" s="9"/>
      <c r="AL193" s="9"/>
    </row>
    <row r="194" spans="1:38" hidden="1">
      <c r="B194" s="6" t="s">
        <v>87</v>
      </c>
      <c r="C194" s="7">
        <v>60</v>
      </c>
      <c r="D194" s="11">
        <v>1</v>
      </c>
      <c r="E194" s="8">
        <v>55600</v>
      </c>
      <c r="F194" s="9"/>
      <c r="G194" s="9"/>
      <c r="H194" s="9"/>
      <c r="I194" s="9"/>
      <c r="J194" s="9"/>
      <c r="K194" s="9"/>
      <c r="L194" s="9"/>
      <c r="M194" s="9"/>
      <c r="N194" s="9"/>
      <c r="O194" s="9"/>
      <c r="P194" s="9"/>
      <c r="Q194" s="9"/>
      <c r="R194" s="9"/>
      <c r="S194" s="9"/>
      <c r="T194" s="9"/>
      <c r="U194" s="9"/>
      <c r="V194" s="9"/>
      <c r="W194" s="9"/>
      <c r="X194" s="9"/>
      <c r="Y194" s="9"/>
      <c r="Z194" s="9"/>
      <c r="AA194" s="9"/>
      <c r="AB194" s="9"/>
      <c r="AC194" s="9">
        <v>92</v>
      </c>
      <c r="AD194" s="9"/>
      <c r="AE194" s="9"/>
      <c r="AF194" s="9"/>
      <c r="AG194" s="9"/>
      <c r="AH194" s="9"/>
      <c r="AI194" s="9"/>
      <c r="AJ194" s="9"/>
      <c r="AK194" s="9"/>
      <c r="AL194" s="9"/>
    </row>
    <row r="195" spans="1:38" hidden="1">
      <c r="B195" s="6" t="s">
        <v>88</v>
      </c>
      <c r="C195" s="7">
        <v>43</v>
      </c>
      <c r="D195" s="7">
        <v>1</v>
      </c>
      <c r="E195" s="8">
        <v>80405</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v>362</v>
      </c>
      <c r="AJ195" s="9">
        <v>480</v>
      </c>
      <c r="AK195" s="9">
        <v>142</v>
      </c>
      <c r="AL195" s="9">
        <v>984</v>
      </c>
    </row>
    <row r="196" spans="1:38" hidden="1">
      <c r="B196" s="6" t="s">
        <v>89</v>
      </c>
      <c r="C196" s="7">
        <v>34</v>
      </c>
      <c r="D196" s="7">
        <v>1</v>
      </c>
      <c r="E196" s="8">
        <v>89537.223340040247</v>
      </c>
      <c r="F196" s="9"/>
      <c r="G196" s="9"/>
      <c r="H196" s="9"/>
      <c r="I196" s="9"/>
      <c r="J196" s="9"/>
      <c r="K196" s="9"/>
      <c r="L196" s="9"/>
      <c r="M196" s="9"/>
      <c r="N196" s="9"/>
      <c r="O196" s="9"/>
      <c r="P196" s="9"/>
      <c r="Q196" s="9"/>
      <c r="R196" s="9"/>
      <c r="S196" s="9"/>
      <c r="T196" s="9"/>
      <c r="U196" s="9"/>
      <c r="V196" s="9"/>
      <c r="W196" s="9"/>
      <c r="X196" s="9"/>
      <c r="Y196" s="9"/>
      <c r="Z196" s="9"/>
      <c r="AA196" s="9"/>
      <c r="AB196" s="9">
        <v>5343</v>
      </c>
      <c r="AC196" s="9"/>
      <c r="AD196" s="9"/>
      <c r="AE196" s="9"/>
      <c r="AF196" s="9"/>
      <c r="AG196" s="9"/>
      <c r="AH196" s="9"/>
      <c r="AI196" s="9"/>
      <c r="AJ196" s="9"/>
      <c r="AK196" s="9"/>
      <c r="AL196" s="9"/>
    </row>
    <row r="197" spans="1:38" hidden="1">
      <c r="B197" s="6" t="s">
        <v>89</v>
      </c>
      <c r="C197" s="7">
        <v>53</v>
      </c>
      <c r="D197" s="7">
        <v>2</v>
      </c>
      <c r="E197" s="8">
        <v>91816.216216216213</v>
      </c>
      <c r="F197" s="9">
        <v>2329.14</v>
      </c>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v>7.68</v>
      </c>
      <c r="AG197" s="9">
        <v>9.84</v>
      </c>
      <c r="AH197" s="9">
        <v>7.7</v>
      </c>
      <c r="AI197" s="9"/>
      <c r="AJ197" s="9"/>
      <c r="AK197" s="9"/>
      <c r="AL197" s="9"/>
    </row>
    <row r="198" spans="1:38" hidden="1">
      <c r="B198" s="6" t="s">
        <v>89</v>
      </c>
      <c r="C198" s="7">
        <v>61</v>
      </c>
      <c r="D198" s="7">
        <v>1</v>
      </c>
      <c r="E198" s="8">
        <v>72800</v>
      </c>
      <c r="F198" s="9"/>
      <c r="G198" s="9">
        <v>6300</v>
      </c>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spans="1:38" hidden="1">
      <c r="B199" s="6" t="s">
        <v>89</v>
      </c>
      <c r="C199" s="7">
        <v>61</v>
      </c>
      <c r="D199" s="7">
        <v>1</v>
      </c>
      <c r="E199" s="8">
        <v>82300</v>
      </c>
      <c r="F199" s="9"/>
      <c r="G199" s="9">
        <v>7700</v>
      </c>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spans="1:38" hidden="1">
      <c r="B200" s="6" t="s">
        <v>89</v>
      </c>
      <c r="C200" s="7">
        <v>61</v>
      </c>
      <c r="D200" s="7">
        <v>1</v>
      </c>
      <c r="E200" s="8">
        <v>84400</v>
      </c>
      <c r="F200" s="9"/>
      <c r="G200" s="9">
        <v>7600</v>
      </c>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spans="1:38" hidden="1">
      <c r="B201" s="6" t="s">
        <v>89</v>
      </c>
      <c r="C201" s="7">
        <v>61</v>
      </c>
      <c r="D201" s="7">
        <v>1</v>
      </c>
      <c r="E201" s="8">
        <v>85400</v>
      </c>
      <c r="F201" s="9"/>
      <c r="G201" s="9">
        <v>7500</v>
      </c>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spans="1:38" hidden="1">
      <c r="B202" s="6" t="s">
        <v>89</v>
      </c>
      <c r="C202" s="7">
        <v>61</v>
      </c>
      <c r="D202" s="7">
        <v>1</v>
      </c>
      <c r="E202" s="8">
        <v>99500</v>
      </c>
      <c r="F202" s="9"/>
      <c r="G202" s="9">
        <v>8300</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spans="1:38" hidden="1">
      <c r="B203" s="6" t="s">
        <v>89</v>
      </c>
      <c r="C203" s="7">
        <v>61</v>
      </c>
      <c r="D203" s="7">
        <v>1</v>
      </c>
      <c r="E203" s="8">
        <v>101200</v>
      </c>
      <c r="F203" s="9"/>
      <c r="G203" s="9">
        <v>9800</v>
      </c>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spans="1:38" hidden="1">
      <c r="B204" s="6" t="s">
        <v>89</v>
      </c>
      <c r="C204" s="7">
        <v>61</v>
      </c>
      <c r="D204" s="7">
        <v>1</v>
      </c>
      <c r="E204" s="8">
        <v>108300</v>
      </c>
      <c r="F204" s="9"/>
      <c r="G204" s="9">
        <v>9400</v>
      </c>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spans="1:38" hidden="1">
      <c r="A205" s="7" t="s">
        <v>42</v>
      </c>
      <c r="B205" s="6" t="s">
        <v>89</v>
      </c>
      <c r="C205" s="7" t="s">
        <v>43</v>
      </c>
      <c r="D205" s="7">
        <v>1</v>
      </c>
      <c r="E205" s="8">
        <v>87896</v>
      </c>
      <c r="F205" s="10"/>
      <c r="G205" s="9">
        <v>8965</v>
      </c>
      <c r="H205" s="9">
        <v>1380</v>
      </c>
      <c r="I205" s="9">
        <v>4480</v>
      </c>
      <c r="J205" s="9">
        <v>71080</v>
      </c>
      <c r="K205" s="9">
        <v>84.3</v>
      </c>
      <c r="L205" s="9"/>
      <c r="M205" s="9">
        <v>1220</v>
      </c>
      <c r="N205" s="9">
        <v>271</v>
      </c>
      <c r="O205" s="9">
        <v>4032</v>
      </c>
      <c r="P205" s="9">
        <v>4032</v>
      </c>
      <c r="Q205" s="9">
        <v>639</v>
      </c>
      <c r="R205" s="9">
        <v>1353</v>
      </c>
      <c r="S205" s="9">
        <v>63482</v>
      </c>
      <c r="T205" s="9"/>
      <c r="U205" s="9"/>
      <c r="V205" s="9"/>
      <c r="W205" s="9"/>
      <c r="X205" s="9"/>
      <c r="Y205" s="9"/>
      <c r="Z205" s="9"/>
      <c r="AA205" s="9"/>
      <c r="AB205" s="9"/>
      <c r="AC205" s="9">
        <v>158</v>
      </c>
      <c r="AD205" s="9"/>
      <c r="AE205" s="9"/>
      <c r="AF205" s="9"/>
      <c r="AG205" s="9"/>
      <c r="AH205" s="9"/>
      <c r="AI205" s="9"/>
      <c r="AJ205" s="9"/>
      <c r="AK205" s="9"/>
      <c r="AL205" s="9"/>
    </row>
    <row r="206" spans="1:38" hidden="1">
      <c r="B206" s="6" t="s">
        <v>89</v>
      </c>
      <c r="C206" s="7" t="s">
        <v>40</v>
      </c>
      <c r="D206" s="7">
        <v>1</v>
      </c>
      <c r="E206" s="8">
        <v>65760</v>
      </c>
      <c r="F206" s="9"/>
      <c r="G206" s="9"/>
      <c r="H206" s="9"/>
      <c r="I206" s="9"/>
      <c r="J206" s="9"/>
      <c r="K206" s="9"/>
      <c r="L206" s="9"/>
      <c r="M206" s="9"/>
      <c r="N206" s="9"/>
      <c r="O206" s="9"/>
      <c r="P206" s="9"/>
      <c r="Q206" s="9"/>
      <c r="R206" s="9"/>
      <c r="S206" s="9">
        <v>46890</v>
      </c>
      <c r="T206" s="9">
        <v>30540</v>
      </c>
      <c r="U206" s="9"/>
      <c r="V206" s="9"/>
      <c r="W206" s="9"/>
      <c r="X206" s="9"/>
      <c r="Y206" s="9"/>
      <c r="Z206" s="9"/>
      <c r="AA206" s="9"/>
      <c r="AB206" s="9">
        <v>3260</v>
      </c>
      <c r="AC206" s="9"/>
      <c r="AD206" s="9"/>
      <c r="AE206" s="9"/>
      <c r="AF206" s="9"/>
      <c r="AG206" s="9"/>
      <c r="AH206" s="9"/>
      <c r="AI206" s="9"/>
      <c r="AJ206" s="9"/>
      <c r="AK206" s="9"/>
      <c r="AL206" s="9"/>
    </row>
    <row r="207" spans="1:38" hidden="1">
      <c r="B207" s="6" t="s">
        <v>89</v>
      </c>
      <c r="C207" s="7" t="s">
        <v>55</v>
      </c>
      <c r="D207" s="7">
        <v>4</v>
      </c>
      <c r="E207" s="8">
        <v>79100</v>
      </c>
      <c r="F207" s="9"/>
      <c r="G207" s="9">
        <v>7100</v>
      </c>
      <c r="H207" s="9"/>
      <c r="I207" s="9"/>
      <c r="J207" s="9"/>
      <c r="K207" s="9"/>
      <c r="L207" s="9"/>
      <c r="M207" s="9"/>
      <c r="N207" s="9"/>
      <c r="O207" s="9"/>
      <c r="P207" s="9"/>
      <c r="Q207" s="9"/>
      <c r="R207" s="9"/>
      <c r="S207" s="9">
        <v>55700</v>
      </c>
      <c r="T207" s="9">
        <v>36500</v>
      </c>
      <c r="U207" s="9"/>
      <c r="V207" s="9"/>
      <c r="W207" s="9"/>
      <c r="X207" s="9"/>
      <c r="Y207" s="9"/>
      <c r="Z207" s="9"/>
      <c r="AA207" s="9"/>
      <c r="AB207" s="9"/>
      <c r="AC207" s="9"/>
      <c r="AD207" s="9"/>
      <c r="AE207" s="9"/>
      <c r="AF207" s="9"/>
      <c r="AG207" s="9"/>
      <c r="AH207" s="9"/>
      <c r="AI207" s="9"/>
      <c r="AJ207" s="9"/>
      <c r="AK207" s="9"/>
      <c r="AL207" s="9"/>
    </row>
    <row r="208" spans="1:38" hidden="1">
      <c r="B208" s="6" t="s">
        <v>90</v>
      </c>
      <c r="C208" s="7" t="s">
        <v>40</v>
      </c>
      <c r="D208" s="7">
        <v>1</v>
      </c>
      <c r="E208" s="8">
        <v>127610</v>
      </c>
      <c r="F208" s="9"/>
      <c r="G208" s="9"/>
      <c r="H208" s="9"/>
      <c r="I208" s="9"/>
      <c r="J208" s="9"/>
      <c r="K208" s="9"/>
      <c r="L208" s="9"/>
      <c r="M208" s="9"/>
      <c r="N208" s="9"/>
      <c r="O208" s="9"/>
      <c r="P208" s="9"/>
      <c r="Q208" s="9"/>
      <c r="R208" s="9"/>
      <c r="S208" s="9">
        <v>99260</v>
      </c>
      <c r="T208" s="9">
        <v>71330</v>
      </c>
      <c r="U208" s="9"/>
      <c r="V208" s="9"/>
      <c r="W208" s="9"/>
      <c r="X208" s="9"/>
      <c r="Y208" s="9"/>
      <c r="Z208" s="9"/>
      <c r="AA208" s="9"/>
      <c r="AB208" s="9"/>
      <c r="AC208" s="9"/>
      <c r="AD208" s="9"/>
      <c r="AE208" s="9"/>
      <c r="AF208" s="9"/>
      <c r="AG208" s="9"/>
      <c r="AH208" s="9"/>
      <c r="AI208" s="9"/>
      <c r="AJ208" s="9"/>
      <c r="AK208" s="9"/>
      <c r="AL208" s="9"/>
    </row>
    <row r="209" spans="1:38" hidden="1">
      <c r="B209" s="6" t="s">
        <v>91</v>
      </c>
      <c r="C209" s="7">
        <v>34</v>
      </c>
      <c r="D209" s="7">
        <v>5</v>
      </c>
      <c r="E209" s="8">
        <v>1716.001716001716</v>
      </c>
      <c r="F209" s="9"/>
      <c r="G209" s="9"/>
      <c r="H209" s="9"/>
      <c r="I209" s="9"/>
      <c r="J209" s="9"/>
      <c r="K209" s="9"/>
      <c r="L209" s="9"/>
      <c r="M209" s="9"/>
      <c r="N209" s="9"/>
      <c r="O209" s="9"/>
      <c r="P209" s="9"/>
      <c r="Q209" s="9"/>
      <c r="R209" s="9"/>
      <c r="S209" s="9"/>
      <c r="T209" s="9"/>
      <c r="U209" s="9"/>
      <c r="V209" s="9"/>
      <c r="W209" s="9"/>
      <c r="X209" s="9"/>
      <c r="Y209" s="9"/>
      <c r="Z209" s="9"/>
      <c r="AA209" s="9"/>
      <c r="AB209" s="9">
        <v>136</v>
      </c>
      <c r="AC209" s="9"/>
      <c r="AD209" s="9"/>
      <c r="AE209" s="9"/>
      <c r="AF209" s="9"/>
      <c r="AG209" s="9"/>
      <c r="AH209" s="9"/>
      <c r="AI209" s="9"/>
      <c r="AJ209" s="9"/>
      <c r="AK209" s="9"/>
      <c r="AL209" s="9"/>
    </row>
    <row r="210" spans="1:38" hidden="1">
      <c r="B210" s="6" t="s">
        <v>91</v>
      </c>
      <c r="C210" s="7">
        <v>53</v>
      </c>
      <c r="D210" s="7">
        <v>6</v>
      </c>
      <c r="E210" s="8">
        <v>1680</v>
      </c>
      <c r="F210" s="9">
        <v>99.03</v>
      </c>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v>0.26</v>
      </c>
      <c r="AG210" s="9">
        <v>0.57999999999999996</v>
      </c>
      <c r="AH210" s="9">
        <v>0.5</v>
      </c>
      <c r="AI210" s="9"/>
      <c r="AJ210" s="9"/>
      <c r="AK210" s="9"/>
      <c r="AL210" s="9"/>
    </row>
    <row r="211" spans="1:38">
      <c r="A211" s="7" t="s">
        <v>42</v>
      </c>
      <c r="B211" s="6" t="s">
        <v>91</v>
      </c>
      <c r="C211" s="7" t="s">
        <v>43</v>
      </c>
      <c r="D211" s="7">
        <v>6</v>
      </c>
      <c r="E211" s="8">
        <v>1680</v>
      </c>
      <c r="F211" s="10"/>
      <c r="G211" s="9">
        <v>234</v>
      </c>
      <c r="H211" s="9">
        <v>85.2</v>
      </c>
      <c r="I211" s="9">
        <v>134</v>
      </c>
      <c r="J211" s="9">
        <v>1129</v>
      </c>
      <c r="K211" s="9">
        <v>43</v>
      </c>
      <c r="L211" s="9">
        <v>1.62</v>
      </c>
      <c r="M211" s="9">
        <v>103</v>
      </c>
      <c r="N211" s="9">
        <v>15.3</v>
      </c>
      <c r="O211" s="9">
        <v>85.7</v>
      </c>
      <c r="P211" s="9">
        <v>85.7</v>
      </c>
      <c r="Q211" s="9">
        <v>40.1</v>
      </c>
      <c r="R211" s="9">
        <v>100</v>
      </c>
      <c r="S211" s="9">
        <v>740</v>
      </c>
      <c r="T211" s="9"/>
      <c r="U211" s="9">
        <v>1.44</v>
      </c>
      <c r="V211" s="9">
        <v>78.3</v>
      </c>
      <c r="W211" s="9">
        <v>29.8</v>
      </c>
      <c r="X211" s="9">
        <v>11.4</v>
      </c>
      <c r="Y211" s="9">
        <v>10.7</v>
      </c>
      <c r="Z211" s="9">
        <v>0.65</v>
      </c>
      <c r="AA211" s="9">
        <v>6.17</v>
      </c>
      <c r="AB211" s="9"/>
      <c r="AC211" s="9">
        <v>7.03</v>
      </c>
      <c r="AD211" s="9">
        <v>66.8</v>
      </c>
      <c r="AE211" s="9">
        <v>36.4</v>
      </c>
      <c r="AF211" s="9"/>
      <c r="AG211" s="9"/>
      <c r="AH211" s="9"/>
      <c r="AI211" s="9"/>
      <c r="AJ211" s="9"/>
      <c r="AK211" s="9"/>
      <c r="AL211" s="9"/>
    </row>
    <row r="212" spans="1:38" hidden="1">
      <c r="B212" s="6" t="s">
        <v>91</v>
      </c>
      <c r="C212" s="7" t="s">
        <v>40</v>
      </c>
      <c r="D212" s="7">
        <v>1</v>
      </c>
      <c r="E212" s="8">
        <v>1650</v>
      </c>
      <c r="F212" s="9"/>
      <c r="G212" s="9"/>
      <c r="H212" s="9"/>
      <c r="I212" s="9"/>
      <c r="J212" s="9"/>
      <c r="K212" s="9"/>
      <c r="L212" s="9"/>
      <c r="M212" s="9"/>
      <c r="N212" s="9"/>
      <c r="O212" s="9"/>
      <c r="P212" s="9"/>
      <c r="Q212" s="9"/>
      <c r="R212" s="9"/>
      <c r="S212" s="9">
        <v>690</v>
      </c>
      <c r="T212" s="9">
        <v>590</v>
      </c>
      <c r="U212" s="9"/>
      <c r="V212" s="9"/>
      <c r="W212" s="9"/>
      <c r="X212" s="9"/>
      <c r="Y212" s="9"/>
      <c r="Z212" s="9"/>
      <c r="AA212" s="9"/>
      <c r="AB212" s="9">
        <v>110</v>
      </c>
      <c r="AC212" s="9">
        <v>10</v>
      </c>
      <c r="AD212" s="9"/>
      <c r="AE212" s="9"/>
      <c r="AF212" s="9"/>
      <c r="AG212" s="9"/>
      <c r="AH212" s="9"/>
      <c r="AI212" s="9"/>
      <c r="AJ212" s="9"/>
      <c r="AK212" s="9"/>
      <c r="AL212" s="9"/>
    </row>
    <row r="213" spans="1:38" hidden="1">
      <c r="B213" s="6" t="s">
        <v>92</v>
      </c>
      <c r="C213" s="7">
        <v>34</v>
      </c>
      <c r="D213" s="7">
        <v>1</v>
      </c>
      <c r="E213" s="8">
        <v>38711.643974801875</v>
      </c>
      <c r="F213" s="9"/>
      <c r="G213" s="9"/>
      <c r="H213" s="9"/>
      <c r="I213" s="9"/>
      <c r="J213" s="9"/>
      <c r="K213" s="9"/>
      <c r="L213" s="9"/>
      <c r="M213" s="9"/>
      <c r="N213" s="9"/>
      <c r="O213" s="9"/>
      <c r="P213" s="9"/>
      <c r="Q213" s="9"/>
      <c r="R213" s="9"/>
      <c r="S213" s="9"/>
      <c r="T213" s="9"/>
      <c r="U213" s="9"/>
      <c r="V213" s="9"/>
      <c r="W213" s="9"/>
      <c r="X213" s="9"/>
      <c r="Y213" s="9"/>
      <c r="Z213" s="9"/>
      <c r="AA213" s="9"/>
      <c r="AB213" s="9">
        <v>2339</v>
      </c>
      <c r="AC213" s="9"/>
      <c r="AD213" s="9"/>
      <c r="AE213" s="9"/>
      <c r="AF213" s="9"/>
      <c r="AG213" s="9"/>
      <c r="AH213" s="9"/>
      <c r="AI213" s="9"/>
      <c r="AJ213" s="9"/>
      <c r="AK213" s="9"/>
      <c r="AL213" s="9"/>
    </row>
    <row r="214" spans="1:38" hidden="1">
      <c r="B214" s="6" t="s">
        <v>92</v>
      </c>
      <c r="C214" s="7">
        <v>53</v>
      </c>
      <c r="D214" s="7">
        <v>2</v>
      </c>
      <c r="E214" s="8">
        <v>37775.960999999996</v>
      </c>
      <c r="F214" s="9">
        <v>1034.79</v>
      </c>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v>2.94</v>
      </c>
      <c r="AG214" s="9">
        <v>3.72</v>
      </c>
      <c r="AH214" s="9">
        <v>2.44</v>
      </c>
      <c r="AI214" s="9"/>
      <c r="AJ214" s="9"/>
      <c r="AK214" s="9"/>
      <c r="AL214" s="9"/>
    </row>
    <row r="215" spans="1:38" hidden="1">
      <c r="A215" s="7" t="s">
        <v>42</v>
      </c>
      <c r="B215" s="6" t="s">
        <v>92</v>
      </c>
      <c r="C215" s="7" t="s">
        <v>43</v>
      </c>
      <c r="D215" s="7">
        <v>2</v>
      </c>
      <c r="E215" s="8">
        <v>37776</v>
      </c>
      <c r="F215" s="10"/>
      <c r="G215" s="9">
        <v>3374</v>
      </c>
      <c r="H215" s="9">
        <v>826</v>
      </c>
      <c r="I215" s="9">
        <v>2375</v>
      </c>
      <c r="J215" s="9">
        <v>30166</v>
      </c>
      <c r="K215" s="9">
        <v>27.8</v>
      </c>
      <c r="L215" s="9"/>
      <c r="M215" s="9">
        <v>706</v>
      </c>
      <c r="N215" s="9">
        <v>133</v>
      </c>
      <c r="O215" s="9">
        <v>1908</v>
      </c>
      <c r="P215" s="9">
        <v>1908</v>
      </c>
      <c r="Q215" s="9">
        <v>259</v>
      </c>
      <c r="R215" s="9">
        <v>705</v>
      </c>
      <c r="S215" s="9">
        <v>26427</v>
      </c>
      <c r="T215" s="9"/>
      <c r="U215" s="9"/>
      <c r="V215" s="9"/>
      <c r="W215" s="9"/>
      <c r="X215" s="9"/>
      <c r="Y215" s="9"/>
      <c r="Z215" s="9"/>
      <c r="AA215" s="9"/>
      <c r="AB215" s="9"/>
      <c r="AC215" s="9">
        <v>116</v>
      </c>
      <c r="AD215" s="9"/>
      <c r="AE215" s="9"/>
      <c r="AF215" s="9"/>
      <c r="AG215" s="9"/>
      <c r="AH215" s="9"/>
      <c r="AI215" s="9"/>
      <c r="AJ215" s="9"/>
      <c r="AK215" s="9"/>
      <c r="AL215" s="9"/>
    </row>
    <row r="216" spans="1:38" hidden="1">
      <c r="B216" s="6" t="s">
        <v>93</v>
      </c>
      <c r="C216" s="7">
        <v>53</v>
      </c>
      <c r="D216" s="7">
        <v>1</v>
      </c>
      <c r="E216" s="8">
        <v>92796.732000000004</v>
      </c>
      <c r="F216" s="9">
        <v>2945.18</v>
      </c>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v>5.64</v>
      </c>
      <c r="AG216" s="9">
        <v>8.82</v>
      </c>
      <c r="AH216" s="9">
        <v>4.3600000000000003</v>
      </c>
      <c r="AI216" s="9"/>
      <c r="AJ216" s="9"/>
      <c r="AK216" s="9"/>
      <c r="AL216" s="9"/>
    </row>
    <row r="217" spans="1:38">
      <c r="A217" s="7" t="s">
        <v>42</v>
      </c>
      <c r="B217" s="6" t="s">
        <v>93</v>
      </c>
      <c r="C217" s="7" t="s">
        <v>43</v>
      </c>
      <c r="D217" s="7">
        <v>1</v>
      </c>
      <c r="E217" s="8">
        <v>92797</v>
      </c>
      <c r="F217" s="10"/>
      <c r="G217" s="9">
        <v>12113</v>
      </c>
      <c r="H217" s="9">
        <v>1556</v>
      </c>
      <c r="I217" s="9">
        <v>5310</v>
      </c>
      <c r="J217" s="9">
        <v>70873</v>
      </c>
      <c r="K217" s="9">
        <v>30.3</v>
      </c>
      <c r="L217" s="9"/>
      <c r="M217" s="9">
        <v>1268</v>
      </c>
      <c r="N217" s="9">
        <v>333</v>
      </c>
      <c r="O217" s="9">
        <v>3735</v>
      </c>
      <c r="P217" s="9">
        <v>3735</v>
      </c>
      <c r="Q217" s="9">
        <v>855</v>
      </c>
      <c r="R217" s="9">
        <v>1966</v>
      </c>
      <c r="S217" s="9">
        <v>62685</v>
      </c>
      <c r="T217" s="9"/>
      <c r="U217" s="9">
        <v>29.6</v>
      </c>
      <c r="V217" s="9">
        <v>3036</v>
      </c>
      <c r="W217" s="9">
        <v>671</v>
      </c>
      <c r="X217" s="9">
        <v>587</v>
      </c>
      <c r="Y217" s="9">
        <v>550</v>
      </c>
      <c r="Z217" s="9">
        <v>37.200000000000003</v>
      </c>
      <c r="AA217" s="9">
        <v>304</v>
      </c>
      <c r="AB217" s="9"/>
      <c r="AC217" s="9"/>
      <c r="AD217" s="9"/>
      <c r="AE217" s="9"/>
      <c r="AF217" s="9"/>
      <c r="AG217" s="9"/>
      <c r="AH217" s="9"/>
      <c r="AI217" s="9"/>
      <c r="AJ217" s="9"/>
      <c r="AK217" s="9"/>
      <c r="AL217" s="9"/>
    </row>
    <row r="218" spans="1:38" hidden="1">
      <c r="B218" s="6" t="s">
        <v>94</v>
      </c>
      <c r="C218" s="7" t="s">
        <v>75</v>
      </c>
      <c r="D218" s="7">
        <v>1</v>
      </c>
      <c r="E218" s="8">
        <v>115800</v>
      </c>
      <c r="F218" s="9"/>
      <c r="G218" s="9"/>
      <c r="H218" s="9"/>
      <c r="I218" s="9"/>
      <c r="J218" s="9"/>
      <c r="K218" s="9"/>
      <c r="L218" s="9"/>
      <c r="M218" s="9"/>
      <c r="N218" s="9"/>
      <c r="O218" s="9">
        <v>3988</v>
      </c>
      <c r="P218" s="9"/>
      <c r="Q218" s="9"/>
      <c r="R218" s="9">
        <v>1900</v>
      </c>
      <c r="S218" s="9"/>
      <c r="T218" s="9"/>
      <c r="U218" s="9"/>
      <c r="V218" s="9"/>
      <c r="W218" s="9"/>
      <c r="X218" s="9"/>
      <c r="Y218" s="9"/>
      <c r="Z218" s="9"/>
      <c r="AA218" s="9"/>
      <c r="AB218" s="9"/>
      <c r="AC218" s="9"/>
      <c r="AD218" s="9"/>
      <c r="AE218" s="9">
        <v>637</v>
      </c>
      <c r="AF218" s="9"/>
      <c r="AG218" s="9"/>
      <c r="AH218" s="9"/>
      <c r="AI218" s="9"/>
      <c r="AJ218" s="9"/>
      <c r="AK218" s="9"/>
      <c r="AL218" s="9"/>
    </row>
    <row r="219" spans="1:38" hidden="1">
      <c r="B219" s="6" t="s">
        <v>95</v>
      </c>
      <c r="C219" s="7">
        <v>34</v>
      </c>
      <c r="D219" s="7">
        <v>1</v>
      </c>
      <c r="E219" s="8">
        <v>12109.512109512109</v>
      </c>
      <c r="F219" s="9"/>
      <c r="G219" s="9"/>
      <c r="H219" s="9"/>
      <c r="I219" s="9"/>
      <c r="J219" s="9"/>
      <c r="K219" s="9"/>
      <c r="L219" s="9"/>
      <c r="M219" s="9"/>
      <c r="N219" s="9"/>
      <c r="O219" s="9"/>
      <c r="P219" s="9"/>
      <c r="Q219" s="9"/>
      <c r="R219" s="9"/>
      <c r="S219" s="9"/>
      <c r="T219" s="9"/>
      <c r="U219" s="9"/>
      <c r="V219" s="9"/>
      <c r="W219" s="9"/>
      <c r="X219" s="9"/>
      <c r="Y219" s="9"/>
      <c r="Z219" s="9"/>
      <c r="AA219" s="9"/>
      <c r="AB219" s="9">
        <v>696</v>
      </c>
      <c r="AC219" s="9"/>
      <c r="AD219" s="9"/>
      <c r="AE219" s="9"/>
      <c r="AF219" s="9"/>
      <c r="AG219" s="9"/>
      <c r="AH219" s="9"/>
      <c r="AI219" s="9"/>
      <c r="AJ219" s="9"/>
      <c r="AK219" s="9"/>
      <c r="AL219" s="9"/>
    </row>
    <row r="220" spans="1:38" hidden="1">
      <c r="B220" s="6" t="s">
        <v>95</v>
      </c>
      <c r="C220" s="7">
        <v>53</v>
      </c>
      <c r="D220" s="7">
        <v>2</v>
      </c>
      <c r="E220" s="8">
        <v>11755</v>
      </c>
      <c r="F220" s="9">
        <v>528.14</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v>2.08</v>
      </c>
      <c r="AG220" s="9">
        <v>1.9</v>
      </c>
      <c r="AH220" s="9">
        <v>1.52</v>
      </c>
      <c r="AI220" s="9"/>
      <c r="AJ220" s="9"/>
      <c r="AK220" s="9"/>
      <c r="AL220" s="9"/>
    </row>
    <row r="221" spans="1:38" hidden="1">
      <c r="A221" s="7" t="s">
        <v>42</v>
      </c>
      <c r="B221" s="6" t="s">
        <v>95</v>
      </c>
      <c r="C221" s="7" t="s">
        <v>43</v>
      </c>
      <c r="D221" s="7">
        <v>2</v>
      </c>
      <c r="E221" s="8">
        <v>11755</v>
      </c>
      <c r="F221" s="10"/>
      <c r="G221" s="9">
        <v>1310</v>
      </c>
      <c r="H221" s="9">
        <v>345</v>
      </c>
      <c r="I221" s="9">
        <v>1077</v>
      </c>
      <c r="J221" s="9">
        <v>8495</v>
      </c>
      <c r="K221" s="9">
        <v>159</v>
      </c>
      <c r="L221" s="9">
        <v>4.28</v>
      </c>
      <c r="M221" s="9">
        <v>510</v>
      </c>
      <c r="N221" s="9">
        <v>92</v>
      </c>
      <c r="O221" s="9">
        <v>760</v>
      </c>
      <c r="P221" s="9">
        <v>760</v>
      </c>
      <c r="Q221" s="9">
        <v>212</v>
      </c>
      <c r="R221" s="9">
        <v>566</v>
      </c>
      <c r="S221" s="9">
        <v>6192</v>
      </c>
      <c r="T221" s="9"/>
      <c r="U221" s="9"/>
      <c r="V221" s="9"/>
      <c r="W221" s="9"/>
      <c r="X221" s="9"/>
      <c r="Y221" s="9"/>
      <c r="Z221" s="9"/>
      <c r="AA221" s="9"/>
      <c r="AB221" s="9"/>
      <c r="AC221" s="9">
        <v>37.299999999999997</v>
      </c>
      <c r="AD221" s="9"/>
      <c r="AE221" s="9"/>
      <c r="AF221" s="9"/>
      <c r="AG221" s="9"/>
      <c r="AH221" s="9"/>
      <c r="AI221" s="9"/>
      <c r="AJ221" s="9"/>
      <c r="AK221" s="9"/>
      <c r="AL221" s="9"/>
    </row>
    <row r="222" spans="1:38" hidden="1">
      <c r="B222" s="6" t="s">
        <v>95</v>
      </c>
      <c r="C222" s="7" t="s">
        <v>40</v>
      </c>
      <c r="D222" s="7">
        <v>1</v>
      </c>
      <c r="E222" s="8">
        <v>11270</v>
      </c>
      <c r="F222" s="9"/>
      <c r="G222" s="9"/>
      <c r="H222" s="9"/>
      <c r="I222" s="9"/>
      <c r="J222" s="9"/>
      <c r="K222" s="9"/>
      <c r="L222" s="9"/>
      <c r="M222" s="9"/>
      <c r="N222" s="9"/>
      <c r="O222" s="9"/>
      <c r="P222" s="9"/>
      <c r="Q222" s="9"/>
      <c r="R222" s="9"/>
      <c r="S222" s="9">
        <v>5470.0000000000009</v>
      </c>
      <c r="T222" s="9">
        <v>4400</v>
      </c>
      <c r="U222" s="9"/>
      <c r="V222" s="9"/>
      <c r="W222" s="9"/>
      <c r="X222" s="9"/>
      <c r="Y222" s="9"/>
      <c r="Z222" s="9"/>
      <c r="AA222" s="9"/>
      <c r="AB222" s="9">
        <v>580</v>
      </c>
      <c r="AC222" s="9">
        <v>30</v>
      </c>
      <c r="AD222" s="9"/>
      <c r="AE222" s="9"/>
      <c r="AF222" s="9"/>
      <c r="AG222" s="9"/>
      <c r="AH222" s="9"/>
      <c r="AI222" s="9"/>
      <c r="AJ222" s="9"/>
      <c r="AK222" s="9"/>
      <c r="AL222" s="9"/>
    </row>
    <row r="223" spans="1:38" hidden="1">
      <c r="B223" s="6" t="s">
        <v>96</v>
      </c>
      <c r="C223" s="7">
        <v>34</v>
      </c>
      <c r="D223" s="7">
        <v>1</v>
      </c>
      <c r="E223" s="8">
        <v>9980.3307350477153</v>
      </c>
      <c r="F223" s="9"/>
      <c r="G223" s="9"/>
      <c r="H223" s="9"/>
      <c r="I223" s="9"/>
      <c r="J223" s="9"/>
      <c r="K223" s="9"/>
      <c r="L223" s="9"/>
      <c r="M223" s="9"/>
      <c r="N223" s="9"/>
      <c r="O223" s="9"/>
      <c r="P223" s="9"/>
      <c r="Q223" s="9"/>
      <c r="R223" s="9"/>
      <c r="S223" s="9"/>
      <c r="T223" s="9"/>
      <c r="U223" s="9"/>
      <c r="V223" s="9"/>
      <c r="W223" s="9"/>
      <c r="X223" s="9"/>
      <c r="Y223" s="9"/>
      <c r="Z223" s="9"/>
      <c r="AA223" s="9"/>
      <c r="AB223" s="9">
        <v>479</v>
      </c>
      <c r="AC223" s="9"/>
      <c r="AD223" s="9"/>
      <c r="AE223" s="9"/>
      <c r="AF223" s="9"/>
      <c r="AG223" s="9"/>
      <c r="AH223" s="9"/>
      <c r="AI223" s="9"/>
      <c r="AJ223" s="9"/>
      <c r="AK223" s="9"/>
      <c r="AL223" s="9"/>
    </row>
    <row r="224" spans="1:38" hidden="1">
      <c r="B224" s="6" t="s">
        <v>96</v>
      </c>
      <c r="C224" s="7">
        <v>53</v>
      </c>
      <c r="D224" s="7">
        <v>2</v>
      </c>
      <c r="E224" s="8">
        <v>9668</v>
      </c>
      <c r="F224" s="9">
        <v>539.87</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v>1.74</v>
      </c>
      <c r="AG224" s="9">
        <v>2.82</v>
      </c>
      <c r="AH224" s="9">
        <v>1.62</v>
      </c>
      <c r="AI224" s="9"/>
      <c r="AJ224" s="9"/>
      <c r="AK224" s="9"/>
      <c r="AL224" s="9"/>
    </row>
    <row r="225" spans="1:38">
      <c r="A225" s="7" t="s">
        <v>42</v>
      </c>
      <c r="B225" s="6" t="s">
        <v>96</v>
      </c>
      <c r="C225" s="7" t="s">
        <v>43</v>
      </c>
      <c r="D225" s="7">
        <v>2</v>
      </c>
      <c r="E225" s="8">
        <v>9668</v>
      </c>
      <c r="F225" s="10"/>
      <c r="G225" s="9">
        <v>1414</v>
      </c>
      <c r="H225" s="9">
        <v>384</v>
      </c>
      <c r="I225" s="9">
        <v>785</v>
      </c>
      <c r="J225" s="9">
        <v>6545</v>
      </c>
      <c r="K225" s="9">
        <v>166</v>
      </c>
      <c r="L225" s="9">
        <v>2.52</v>
      </c>
      <c r="M225" s="9">
        <v>386</v>
      </c>
      <c r="N225" s="9">
        <v>70</v>
      </c>
      <c r="O225" s="9">
        <v>556</v>
      </c>
      <c r="P225" s="9">
        <v>556</v>
      </c>
      <c r="Q225" s="9">
        <v>181</v>
      </c>
      <c r="R225" s="9">
        <v>461</v>
      </c>
      <c r="S225" s="9">
        <v>4723</v>
      </c>
      <c r="T225" s="9"/>
      <c r="U225" s="9">
        <v>5.71</v>
      </c>
      <c r="V225" s="9">
        <v>437</v>
      </c>
      <c r="W225" s="9">
        <v>127</v>
      </c>
      <c r="X225" s="9">
        <v>67.400000000000006</v>
      </c>
      <c r="Y225" s="9">
        <v>63.3</v>
      </c>
      <c r="Z225" s="9">
        <v>4.0999999999999996</v>
      </c>
      <c r="AA225" s="9">
        <v>33.9</v>
      </c>
      <c r="AB225" s="9"/>
      <c r="AC225" s="9">
        <v>22.1</v>
      </c>
      <c r="AD225" s="9"/>
      <c r="AE225" s="9"/>
      <c r="AF225" s="9"/>
      <c r="AG225" s="9"/>
      <c r="AH225" s="9"/>
      <c r="AI225" s="9"/>
      <c r="AJ225" s="9"/>
      <c r="AK225" s="9"/>
      <c r="AL225" s="9"/>
    </row>
    <row r="226" spans="1:38" hidden="1">
      <c r="B226" s="6" t="s">
        <v>96</v>
      </c>
      <c r="C226" s="7" t="s">
        <v>40</v>
      </c>
      <c r="D226" s="7">
        <v>1</v>
      </c>
      <c r="E226" s="8">
        <v>7110</v>
      </c>
      <c r="F226" s="9"/>
      <c r="G226" s="9"/>
      <c r="H226" s="9"/>
      <c r="I226" s="9"/>
      <c r="J226" s="9"/>
      <c r="K226" s="9"/>
      <c r="L226" s="9"/>
      <c r="M226" s="9"/>
      <c r="N226" s="9"/>
      <c r="O226" s="9"/>
      <c r="P226" s="9"/>
      <c r="Q226" s="9"/>
      <c r="R226" s="9"/>
      <c r="S226" s="9">
        <v>3670</v>
      </c>
      <c r="T226" s="9">
        <v>3100</v>
      </c>
      <c r="U226" s="9"/>
      <c r="V226" s="9"/>
      <c r="W226" s="9"/>
      <c r="X226" s="9"/>
      <c r="Y226" s="9"/>
      <c r="Z226" s="9"/>
      <c r="AA226" s="9"/>
      <c r="AB226" s="9">
        <v>450</v>
      </c>
      <c r="AC226" s="9">
        <v>20</v>
      </c>
      <c r="AD226" s="9"/>
      <c r="AE226" s="9"/>
      <c r="AF226" s="9"/>
      <c r="AG226" s="9"/>
      <c r="AH226" s="9"/>
      <c r="AI226" s="9"/>
      <c r="AJ226" s="9"/>
      <c r="AK226" s="9"/>
      <c r="AL226" s="9"/>
    </row>
    <row r="227" spans="1:38" hidden="1">
      <c r="B227" s="6" t="s">
        <v>97</v>
      </c>
      <c r="C227" s="7">
        <v>43</v>
      </c>
      <c r="D227" s="7">
        <v>1</v>
      </c>
      <c r="E227" s="8">
        <v>381270</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v>477</v>
      </c>
      <c r="AJ227" s="9">
        <v>1499</v>
      </c>
      <c r="AK227" s="9">
        <v>878</v>
      </c>
      <c r="AL227" s="9">
        <v>3174</v>
      </c>
    </row>
    <row r="228" spans="1:38" hidden="1">
      <c r="B228" s="6" t="s">
        <v>97</v>
      </c>
      <c r="C228" s="7">
        <v>43</v>
      </c>
      <c r="D228" s="7">
        <v>1</v>
      </c>
      <c r="E228" s="8">
        <v>325290</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v>517</v>
      </c>
      <c r="AJ228" s="9">
        <v>1823</v>
      </c>
      <c r="AK228" s="9">
        <v>657.99999999999989</v>
      </c>
      <c r="AL228" s="9">
        <v>3245</v>
      </c>
    </row>
    <row r="229" spans="1:38" hidden="1">
      <c r="B229" s="6" t="s">
        <v>97</v>
      </c>
      <c r="C229" s="7">
        <v>43</v>
      </c>
      <c r="D229" s="7">
        <v>1</v>
      </c>
      <c r="E229" s="8">
        <v>312740</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v>600</v>
      </c>
      <c r="AJ229" s="9">
        <v>1867</v>
      </c>
      <c r="AK229" s="9">
        <v>621</v>
      </c>
      <c r="AL229" s="9">
        <v>3418</v>
      </c>
    </row>
    <row r="230" spans="1:38" hidden="1">
      <c r="B230" s="6" t="s">
        <v>97</v>
      </c>
      <c r="C230" s="7">
        <v>53</v>
      </c>
      <c r="D230" s="7">
        <v>2</v>
      </c>
      <c r="E230" s="8">
        <v>345550</v>
      </c>
      <c r="F230" s="9">
        <v>4152.0200000000004</v>
      </c>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v>5.78</v>
      </c>
      <c r="AG230" s="9">
        <v>15</v>
      </c>
      <c r="AH230" s="9">
        <v>8.18</v>
      </c>
      <c r="AI230" s="9"/>
      <c r="AJ230" s="9"/>
      <c r="AK230" s="9"/>
      <c r="AL230" s="9"/>
    </row>
    <row r="231" spans="1:38" hidden="1">
      <c r="B231" s="6" t="s">
        <v>97</v>
      </c>
      <c r="C231" s="7">
        <v>58</v>
      </c>
      <c r="D231" s="7">
        <v>1</v>
      </c>
      <c r="E231" s="9">
        <v>341023.16602316604</v>
      </c>
      <c r="AE231" s="6">
        <v>1486.4599999999998</v>
      </c>
    </row>
    <row r="232" spans="1:38" hidden="1">
      <c r="B232" s="6" t="s">
        <v>97</v>
      </c>
      <c r="C232" s="7">
        <v>58</v>
      </c>
      <c r="D232" s="7">
        <v>1</v>
      </c>
      <c r="E232" s="9">
        <v>325289.57528957527</v>
      </c>
      <c r="AE232" s="6">
        <v>1512.6399999999999</v>
      </c>
    </row>
    <row r="233" spans="1:38" hidden="1">
      <c r="B233" s="6" t="s">
        <v>97</v>
      </c>
      <c r="C233" s="7">
        <v>58</v>
      </c>
      <c r="D233" s="7">
        <v>1</v>
      </c>
      <c r="E233" s="9">
        <v>296718.14671814669</v>
      </c>
      <c r="AE233" s="6">
        <v>1327.1399999999999</v>
      </c>
    </row>
    <row r="234" spans="1:38" hidden="1">
      <c r="B234" s="6" t="s">
        <v>97</v>
      </c>
      <c r="C234" s="7">
        <v>58</v>
      </c>
      <c r="D234" s="7">
        <v>1</v>
      </c>
      <c r="E234" s="9">
        <v>315347.49034749035</v>
      </c>
      <c r="AE234" s="6">
        <v>1564.74</v>
      </c>
    </row>
    <row r="235" spans="1:38" hidden="1">
      <c r="B235" s="6" t="s">
        <v>97</v>
      </c>
      <c r="C235" s="7">
        <v>58</v>
      </c>
      <c r="D235" s="7">
        <v>1</v>
      </c>
      <c r="E235" s="9">
        <v>302316.60231660231</v>
      </c>
      <c r="AE235" s="6">
        <v>1291.3399999999999</v>
      </c>
    </row>
    <row r="236" spans="1:38" hidden="1">
      <c r="B236" s="6" t="s">
        <v>97</v>
      </c>
      <c r="C236" s="7">
        <v>58</v>
      </c>
      <c r="D236" s="7">
        <v>1</v>
      </c>
      <c r="E236" s="9">
        <v>294498.06949806953</v>
      </c>
      <c r="AE236" s="6">
        <v>1202.76</v>
      </c>
    </row>
    <row r="237" spans="1:38" hidden="1">
      <c r="B237" s="6" t="s">
        <v>97</v>
      </c>
      <c r="C237" s="7">
        <v>60</v>
      </c>
      <c r="D237" s="7">
        <v>1</v>
      </c>
      <c r="E237" s="8">
        <v>312700</v>
      </c>
      <c r="F237" s="9"/>
      <c r="G237" s="9"/>
      <c r="H237" s="9"/>
      <c r="I237" s="9"/>
      <c r="J237" s="9"/>
      <c r="K237" s="9"/>
      <c r="L237" s="9"/>
      <c r="M237" s="9"/>
      <c r="N237" s="9"/>
      <c r="O237" s="9"/>
      <c r="P237" s="9"/>
      <c r="Q237" s="9"/>
      <c r="R237" s="9"/>
      <c r="S237" s="9">
        <v>214400</v>
      </c>
      <c r="T237" s="9"/>
      <c r="U237" s="9"/>
      <c r="V237" s="9"/>
      <c r="W237" s="9"/>
      <c r="X237" s="9"/>
      <c r="Y237" s="9"/>
      <c r="Z237" s="9"/>
      <c r="AA237" s="9"/>
      <c r="AB237" s="9">
        <v>11400</v>
      </c>
      <c r="AC237" s="9"/>
      <c r="AD237" s="9"/>
      <c r="AE237" s="9"/>
      <c r="AF237" s="9"/>
      <c r="AG237" s="9"/>
      <c r="AH237" s="9"/>
      <c r="AI237" s="9"/>
      <c r="AJ237" s="9"/>
      <c r="AK237" s="9"/>
      <c r="AL237" s="9"/>
    </row>
    <row r="238" spans="1:38" hidden="1">
      <c r="B238" s="6" t="s">
        <v>97</v>
      </c>
      <c r="C238" s="7">
        <v>60</v>
      </c>
      <c r="D238" s="7">
        <v>1</v>
      </c>
      <c r="E238" s="8">
        <v>325300</v>
      </c>
      <c r="F238" s="9"/>
      <c r="G238" s="9"/>
      <c r="H238" s="9"/>
      <c r="I238" s="9"/>
      <c r="J238" s="9"/>
      <c r="K238" s="9"/>
      <c r="L238" s="9"/>
      <c r="M238" s="9"/>
      <c r="N238" s="9"/>
      <c r="O238" s="9"/>
      <c r="P238" s="9"/>
      <c r="Q238" s="9"/>
      <c r="R238" s="9"/>
      <c r="S238" s="9"/>
      <c r="T238" s="9"/>
      <c r="U238" s="9"/>
      <c r="V238" s="9"/>
      <c r="W238" s="9"/>
      <c r="X238" s="9"/>
      <c r="Y238" s="9"/>
      <c r="Z238" s="9"/>
      <c r="AA238" s="9"/>
      <c r="AB238" s="9">
        <v>8800</v>
      </c>
      <c r="AC238" s="9"/>
      <c r="AD238" s="9"/>
      <c r="AE238" s="9"/>
      <c r="AF238" s="9"/>
      <c r="AG238" s="9"/>
      <c r="AH238" s="9"/>
      <c r="AI238" s="9"/>
      <c r="AJ238" s="9"/>
      <c r="AK238" s="9"/>
      <c r="AL238" s="9"/>
    </row>
    <row r="239" spans="1:38" hidden="1">
      <c r="B239" s="6" t="s">
        <v>97</v>
      </c>
      <c r="C239" s="7">
        <v>60</v>
      </c>
      <c r="D239" s="7">
        <v>1</v>
      </c>
      <c r="E239" s="8">
        <v>378400</v>
      </c>
      <c r="F239" s="9"/>
      <c r="G239" s="9"/>
      <c r="H239" s="9"/>
      <c r="I239" s="9"/>
      <c r="J239" s="9"/>
      <c r="K239" s="9"/>
      <c r="L239" s="9"/>
      <c r="M239" s="9"/>
      <c r="N239" s="9"/>
      <c r="O239" s="9"/>
      <c r="P239" s="9"/>
      <c r="Q239" s="9"/>
      <c r="R239" s="9"/>
      <c r="S239" s="9">
        <v>279000</v>
      </c>
      <c r="T239" s="9"/>
      <c r="U239" s="9"/>
      <c r="V239" s="9"/>
      <c r="W239" s="9"/>
      <c r="X239" s="9"/>
      <c r="Y239" s="9"/>
      <c r="Z239" s="9"/>
      <c r="AA239" s="9"/>
      <c r="AB239" s="9">
        <v>14600</v>
      </c>
      <c r="AC239" s="9"/>
      <c r="AD239" s="9"/>
      <c r="AE239" s="9"/>
      <c r="AF239" s="9"/>
      <c r="AG239" s="9"/>
      <c r="AH239" s="9"/>
      <c r="AI239" s="9"/>
      <c r="AJ239" s="9"/>
      <c r="AK239" s="9"/>
      <c r="AL239" s="9"/>
    </row>
    <row r="240" spans="1:38" hidden="1">
      <c r="B240" s="6" t="s">
        <v>97</v>
      </c>
      <c r="C240" s="7">
        <v>60</v>
      </c>
      <c r="D240" s="11">
        <v>3</v>
      </c>
      <c r="E240" s="8">
        <v>338800</v>
      </c>
      <c r="F240" s="9"/>
      <c r="G240" s="9"/>
      <c r="H240" s="9"/>
      <c r="I240" s="9"/>
      <c r="J240" s="9"/>
      <c r="K240" s="9"/>
      <c r="L240" s="9"/>
      <c r="M240" s="9"/>
      <c r="N240" s="9"/>
      <c r="O240" s="9"/>
      <c r="P240" s="9"/>
      <c r="Q240" s="9"/>
      <c r="R240" s="9"/>
      <c r="S240" s="9"/>
      <c r="T240" s="9"/>
      <c r="U240" s="9"/>
      <c r="V240" s="9"/>
      <c r="W240" s="9"/>
      <c r="X240" s="9"/>
      <c r="Y240" s="9"/>
      <c r="Z240" s="9"/>
      <c r="AA240" s="9"/>
      <c r="AB240" s="9"/>
      <c r="AC240" s="9">
        <v>275</v>
      </c>
      <c r="AD240" s="9"/>
      <c r="AE240" s="9"/>
      <c r="AF240" s="9"/>
      <c r="AG240" s="9"/>
      <c r="AH240" s="9"/>
      <c r="AI240" s="9"/>
      <c r="AJ240" s="9"/>
      <c r="AK240" s="9"/>
      <c r="AL240" s="9"/>
    </row>
    <row r="241" spans="2:38" hidden="1">
      <c r="B241" s="6" t="s">
        <v>97</v>
      </c>
      <c r="C241" s="7">
        <v>61</v>
      </c>
      <c r="D241" s="7">
        <v>1</v>
      </c>
      <c r="E241" s="8">
        <v>281400</v>
      </c>
      <c r="F241" s="9"/>
      <c r="G241" s="9">
        <v>39500</v>
      </c>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spans="2:38" hidden="1">
      <c r="B242" s="6" t="s">
        <v>97</v>
      </c>
      <c r="C242" s="7">
        <v>61</v>
      </c>
      <c r="D242" s="7">
        <v>1</v>
      </c>
      <c r="E242" s="8">
        <v>309200</v>
      </c>
      <c r="F242" s="9"/>
      <c r="G242" s="9">
        <v>39700</v>
      </c>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spans="2:38" hidden="1">
      <c r="B243" s="6" t="s">
        <v>97</v>
      </c>
      <c r="C243" s="7">
        <v>61</v>
      </c>
      <c r="D243" s="7">
        <v>1</v>
      </c>
      <c r="E243" s="8">
        <v>312700</v>
      </c>
      <c r="F243" s="9"/>
      <c r="G243" s="9">
        <v>53000</v>
      </c>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spans="2:38" hidden="1">
      <c r="B244" s="6" t="s">
        <v>97</v>
      </c>
      <c r="C244" s="7">
        <v>61</v>
      </c>
      <c r="D244" s="7">
        <v>1</v>
      </c>
      <c r="E244" s="8">
        <v>322400</v>
      </c>
      <c r="F244" s="9"/>
      <c r="G244" s="9">
        <v>46100</v>
      </c>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spans="2:38" hidden="1">
      <c r="B245" s="6" t="s">
        <v>97</v>
      </c>
      <c r="C245" s="7">
        <v>61</v>
      </c>
      <c r="D245" s="7">
        <v>1</v>
      </c>
      <c r="E245" s="8">
        <v>331800</v>
      </c>
      <c r="F245" s="9"/>
      <c r="G245" s="9">
        <v>51400</v>
      </c>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spans="2:38" hidden="1">
      <c r="B246" s="6" t="s">
        <v>97</v>
      </c>
      <c r="C246" s="7">
        <v>61</v>
      </c>
      <c r="D246" s="7">
        <v>1</v>
      </c>
      <c r="E246" s="8">
        <v>378400</v>
      </c>
      <c r="F246" s="9"/>
      <c r="G246" s="9">
        <v>54100</v>
      </c>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spans="2:38" hidden="1">
      <c r="B247" s="6" t="s">
        <v>97</v>
      </c>
      <c r="C247" s="7" t="s">
        <v>75</v>
      </c>
      <c r="D247" s="7">
        <v>1</v>
      </c>
      <c r="E247" s="8">
        <v>378400</v>
      </c>
      <c r="F247" s="9"/>
      <c r="G247" s="9"/>
      <c r="H247" s="9"/>
      <c r="I247" s="9"/>
      <c r="J247" s="9"/>
      <c r="K247" s="9"/>
      <c r="L247" s="9"/>
      <c r="M247" s="9"/>
      <c r="N247" s="9"/>
      <c r="O247" s="9">
        <v>11290</v>
      </c>
      <c r="P247" s="9"/>
      <c r="Q247" s="9"/>
      <c r="R247" s="9">
        <v>3420</v>
      </c>
      <c r="S247" s="9"/>
      <c r="T247" s="9"/>
      <c r="U247" s="9"/>
      <c r="V247" s="9"/>
      <c r="W247" s="9"/>
      <c r="X247" s="9"/>
      <c r="Y247" s="9"/>
      <c r="Z247" s="9"/>
      <c r="AA247" s="9"/>
      <c r="AB247" s="9"/>
      <c r="AC247" s="9"/>
      <c r="AD247" s="9"/>
      <c r="AE247" s="9">
        <v>1288</v>
      </c>
      <c r="AF247" s="9"/>
      <c r="AG247" s="9"/>
      <c r="AH247" s="9"/>
      <c r="AI247" s="9"/>
      <c r="AJ247" s="9"/>
      <c r="AK247" s="9"/>
      <c r="AL247" s="9"/>
    </row>
    <row r="248" spans="2:38" hidden="1">
      <c r="B248" s="6" t="s">
        <v>97</v>
      </c>
      <c r="C248" s="7" t="s">
        <v>75</v>
      </c>
      <c r="D248" s="7">
        <v>1</v>
      </c>
      <c r="E248" s="8">
        <v>312700</v>
      </c>
      <c r="F248" s="9"/>
      <c r="G248" s="9"/>
      <c r="H248" s="9"/>
      <c r="I248" s="9"/>
      <c r="J248" s="9"/>
      <c r="K248" s="9"/>
      <c r="L248" s="9"/>
      <c r="M248" s="9"/>
      <c r="N248" s="9"/>
      <c r="O248" s="9">
        <v>8800</v>
      </c>
      <c r="P248" s="9"/>
      <c r="Q248" s="9"/>
      <c r="R248" s="9">
        <v>3190</v>
      </c>
      <c r="S248" s="9"/>
      <c r="T248" s="9"/>
      <c r="U248" s="9"/>
      <c r="V248" s="9"/>
      <c r="W248" s="9"/>
      <c r="X248" s="9"/>
      <c r="Y248" s="9"/>
      <c r="Z248" s="9"/>
      <c r="AA248" s="9"/>
      <c r="AB248" s="9"/>
      <c r="AC248" s="9"/>
      <c r="AD248" s="9"/>
      <c r="AE248" s="9">
        <v>1283</v>
      </c>
      <c r="AF248" s="9"/>
      <c r="AG248" s="9"/>
      <c r="AH248" s="9"/>
      <c r="AI248" s="9"/>
      <c r="AJ248" s="9"/>
      <c r="AK248" s="9"/>
      <c r="AL248" s="9"/>
    </row>
    <row r="249" spans="2:38" hidden="1">
      <c r="B249" s="6" t="s">
        <v>97</v>
      </c>
      <c r="C249" s="7" t="s">
        <v>55</v>
      </c>
      <c r="D249" s="7">
        <v>4</v>
      </c>
      <c r="E249" s="8">
        <v>311200</v>
      </c>
      <c r="F249" s="9"/>
      <c r="G249" s="9">
        <v>41300</v>
      </c>
      <c r="H249" s="9"/>
      <c r="I249" s="9"/>
      <c r="J249" s="9"/>
      <c r="K249" s="9"/>
      <c r="L249" s="9"/>
      <c r="M249" s="9"/>
      <c r="N249" s="9"/>
      <c r="O249" s="9"/>
      <c r="P249" s="9"/>
      <c r="Q249" s="9"/>
      <c r="R249" s="9"/>
      <c r="S249" s="9">
        <v>218500</v>
      </c>
      <c r="T249" s="9">
        <v>142900</v>
      </c>
      <c r="U249" s="9"/>
      <c r="V249" s="9"/>
      <c r="W249" s="9"/>
      <c r="X249" s="9"/>
      <c r="Y249" s="9"/>
      <c r="Z249" s="9"/>
      <c r="AA249" s="9"/>
      <c r="AB249" s="9"/>
      <c r="AC249" s="9"/>
      <c r="AD249" s="9"/>
      <c r="AE249" s="9"/>
      <c r="AF249" s="9"/>
      <c r="AG249" s="9"/>
      <c r="AH249" s="9"/>
      <c r="AI249" s="9"/>
      <c r="AJ249" s="9"/>
      <c r="AK249" s="9"/>
      <c r="AL249" s="9"/>
    </row>
    <row r="250" spans="2:38" hidden="1">
      <c r="B250" s="6" t="s">
        <v>98</v>
      </c>
      <c r="C250" s="7">
        <v>34</v>
      </c>
      <c r="D250" s="7">
        <v>1</v>
      </c>
      <c r="E250" s="8">
        <v>391382.45388245385</v>
      </c>
      <c r="F250" s="9"/>
      <c r="G250" s="9"/>
      <c r="H250" s="9"/>
      <c r="I250" s="9"/>
      <c r="J250" s="9"/>
      <c r="K250" s="9"/>
      <c r="L250" s="9"/>
      <c r="M250" s="9"/>
      <c r="N250" s="9"/>
      <c r="O250" s="9"/>
      <c r="P250" s="9"/>
      <c r="Q250" s="9"/>
      <c r="R250" s="9"/>
      <c r="S250" s="9"/>
      <c r="T250" s="9"/>
      <c r="U250" s="9"/>
      <c r="V250" s="9"/>
      <c r="W250" s="9"/>
      <c r="X250" s="9"/>
      <c r="Y250" s="9"/>
      <c r="Z250" s="9"/>
      <c r="AA250" s="9"/>
      <c r="AB250" s="9">
        <v>10593</v>
      </c>
      <c r="AC250" s="9"/>
      <c r="AD250" s="9"/>
      <c r="AE250" s="9"/>
      <c r="AF250" s="9"/>
      <c r="AG250" s="9"/>
      <c r="AH250" s="9"/>
      <c r="AI250" s="9"/>
      <c r="AJ250" s="9"/>
      <c r="AK250" s="9"/>
      <c r="AL250" s="9"/>
    </row>
    <row r="251" spans="2:38" hidden="1">
      <c r="B251" s="6" t="s">
        <v>98</v>
      </c>
      <c r="C251" s="7">
        <v>43</v>
      </c>
      <c r="D251" s="7">
        <v>1</v>
      </c>
      <c r="E251" s="8">
        <v>361000</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v>703</v>
      </c>
      <c r="AJ251" s="9">
        <v>1569</v>
      </c>
      <c r="AK251" s="9">
        <v>371</v>
      </c>
      <c r="AL251" s="9">
        <v>2855</v>
      </c>
    </row>
    <row r="252" spans="2:38" hidden="1">
      <c r="B252" s="6" t="s">
        <v>98</v>
      </c>
      <c r="C252" s="7">
        <v>43</v>
      </c>
      <c r="D252" s="7">
        <v>1</v>
      </c>
      <c r="E252" s="8">
        <v>329340</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v>1772</v>
      </c>
      <c r="AJ252" s="9">
        <v>1514</v>
      </c>
      <c r="AK252" s="9">
        <v>406</v>
      </c>
      <c r="AL252" s="9">
        <v>3884</v>
      </c>
    </row>
    <row r="253" spans="2:38" hidden="1">
      <c r="B253" s="6" t="s">
        <v>98</v>
      </c>
      <c r="C253" s="7">
        <v>43</v>
      </c>
      <c r="D253" s="7">
        <v>1</v>
      </c>
      <c r="E253" s="8">
        <v>302030</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v>1343.9999999999998</v>
      </c>
      <c r="AJ253" s="9">
        <v>967</v>
      </c>
      <c r="AK253" s="9">
        <v>235</v>
      </c>
      <c r="AL253" s="9">
        <v>2661</v>
      </c>
    </row>
    <row r="254" spans="2:38" hidden="1">
      <c r="B254" s="6" t="s">
        <v>98</v>
      </c>
      <c r="C254" s="7">
        <v>53</v>
      </c>
      <c r="D254" s="7">
        <v>3</v>
      </c>
      <c r="E254" s="8">
        <v>331367.69800000003</v>
      </c>
      <c r="F254" s="9">
        <v>6027.39</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v>10.18</v>
      </c>
      <c r="AG254" s="9">
        <v>24.64</v>
      </c>
      <c r="AH254" s="9">
        <v>15.68</v>
      </c>
      <c r="AI254" s="9"/>
      <c r="AJ254" s="9"/>
      <c r="AK254" s="9"/>
      <c r="AL254" s="9"/>
    </row>
    <row r="255" spans="2:38" hidden="1">
      <c r="B255" s="6" t="s">
        <v>98</v>
      </c>
      <c r="C255" s="7">
        <v>58</v>
      </c>
      <c r="D255" s="7">
        <v>1</v>
      </c>
      <c r="E255" s="9">
        <v>329343.62934362935</v>
      </c>
      <c r="AE255" s="6">
        <v>2130.7599999999998</v>
      </c>
    </row>
    <row r="256" spans="2:38" hidden="1">
      <c r="B256" s="6" t="s">
        <v>98</v>
      </c>
      <c r="C256" s="7">
        <v>58</v>
      </c>
      <c r="D256" s="7">
        <v>1</v>
      </c>
      <c r="E256" s="9">
        <v>334555.98455598461</v>
      </c>
      <c r="AE256" s="6">
        <v>1925.88</v>
      </c>
    </row>
    <row r="257" spans="2:38" hidden="1">
      <c r="B257" s="6" t="s">
        <v>98</v>
      </c>
      <c r="C257" s="7">
        <v>58</v>
      </c>
      <c r="D257" s="7">
        <v>1</v>
      </c>
      <c r="E257" s="9">
        <v>387837.83783783781</v>
      </c>
      <c r="AE257" s="6">
        <v>1403.02</v>
      </c>
    </row>
    <row r="258" spans="2:38" hidden="1">
      <c r="B258" s="6" t="s">
        <v>98</v>
      </c>
      <c r="C258" s="7">
        <v>58</v>
      </c>
      <c r="D258" s="7">
        <v>1</v>
      </c>
      <c r="E258" s="9">
        <v>316409.26640926645</v>
      </c>
      <c r="AE258" s="6">
        <v>1918.42</v>
      </c>
    </row>
    <row r="259" spans="2:38" hidden="1">
      <c r="B259" s="6" t="s">
        <v>98</v>
      </c>
      <c r="C259" s="7">
        <v>58</v>
      </c>
      <c r="D259" s="7">
        <v>1</v>
      </c>
      <c r="E259" s="9">
        <v>362451.7374517374</v>
      </c>
      <c r="AE259" s="6">
        <v>1714.14</v>
      </c>
    </row>
    <row r="260" spans="2:38" hidden="1">
      <c r="B260" s="6" t="s">
        <v>98</v>
      </c>
      <c r="C260" s="7">
        <v>58</v>
      </c>
      <c r="D260" s="7">
        <v>1</v>
      </c>
      <c r="E260" s="9">
        <v>336003.86100386101</v>
      </c>
      <c r="AE260" s="6">
        <v>1380.32</v>
      </c>
    </row>
    <row r="261" spans="2:38" hidden="1">
      <c r="B261" s="6" t="s">
        <v>98</v>
      </c>
      <c r="C261" s="7">
        <v>58</v>
      </c>
      <c r="D261" s="7">
        <v>1</v>
      </c>
      <c r="E261" s="9">
        <v>302027.02702702698</v>
      </c>
      <c r="AE261" s="6">
        <v>1445.1799999999998</v>
      </c>
    </row>
    <row r="262" spans="2:38" hidden="1">
      <c r="B262" s="6" t="s">
        <v>98</v>
      </c>
      <c r="C262" s="7">
        <v>60</v>
      </c>
      <c r="D262" s="7">
        <v>1</v>
      </c>
      <c r="E262" s="8">
        <v>257700</v>
      </c>
      <c r="F262" s="9"/>
      <c r="G262" s="9"/>
      <c r="H262" s="9"/>
      <c r="I262" s="9"/>
      <c r="J262" s="9"/>
      <c r="K262" s="9"/>
      <c r="L262" s="9"/>
      <c r="M262" s="9"/>
      <c r="N262" s="9"/>
      <c r="O262" s="9"/>
      <c r="P262" s="9"/>
      <c r="Q262" s="9"/>
      <c r="R262" s="9"/>
      <c r="S262" s="9"/>
      <c r="T262" s="9"/>
      <c r="U262" s="9"/>
      <c r="V262" s="9"/>
      <c r="W262" s="9"/>
      <c r="X262" s="9"/>
      <c r="Y262" s="9"/>
      <c r="Z262" s="9"/>
      <c r="AA262" s="9"/>
      <c r="AB262" s="9">
        <v>7400</v>
      </c>
      <c r="AC262" s="9"/>
      <c r="AD262" s="9"/>
      <c r="AE262" s="9"/>
      <c r="AF262" s="9"/>
      <c r="AG262" s="9"/>
      <c r="AH262" s="9"/>
      <c r="AI262" s="9"/>
      <c r="AJ262" s="9"/>
      <c r="AK262" s="9"/>
      <c r="AL262" s="9"/>
    </row>
    <row r="263" spans="2:38" hidden="1">
      <c r="B263" s="6" t="s">
        <v>98</v>
      </c>
      <c r="C263" s="7">
        <v>60</v>
      </c>
      <c r="D263" s="7">
        <v>1</v>
      </c>
      <c r="E263" s="8">
        <v>261100.00000000003</v>
      </c>
      <c r="F263" s="9"/>
      <c r="G263" s="9"/>
      <c r="H263" s="9"/>
      <c r="I263" s="9"/>
      <c r="J263" s="9"/>
      <c r="K263" s="9"/>
      <c r="L263" s="9"/>
      <c r="M263" s="9"/>
      <c r="N263" s="9"/>
      <c r="O263" s="9"/>
      <c r="P263" s="9"/>
      <c r="Q263" s="9"/>
      <c r="R263" s="9"/>
      <c r="S263" s="9"/>
      <c r="T263" s="9"/>
      <c r="U263" s="9"/>
      <c r="V263" s="9"/>
      <c r="W263" s="9"/>
      <c r="X263" s="9"/>
      <c r="Y263" s="9"/>
      <c r="Z263" s="9"/>
      <c r="AA263" s="9"/>
      <c r="AB263" s="9">
        <v>8000</v>
      </c>
      <c r="AC263" s="9"/>
      <c r="AD263" s="9"/>
      <c r="AE263" s="9"/>
      <c r="AF263" s="9"/>
      <c r="AG263" s="9"/>
      <c r="AH263" s="9"/>
      <c r="AI263" s="9"/>
      <c r="AJ263" s="9"/>
      <c r="AK263" s="9"/>
      <c r="AL263" s="9"/>
    </row>
    <row r="264" spans="2:38" hidden="1">
      <c r="B264" s="6" t="s">
        <v>98</v>
      </c>
      <c r="C264" s="7">
        <v>60</v>
      </c>
      <c r="D264" s="7">
        <v>1</v>
      </c>
      <c r="E264" s="8">
        <v>265000</v>
      </c>
      <c r="F264" s="9"/>
      <c r="G264" s="9"/>
      <c r="H264" s="9"/>
      <c r="I264" s="9"/>
      <c r="J264" s="9"/>
      <c r="K264" s="9"/>
      <c r="L264" s="9"/>
      <c r="M264" s="9"/>
      <c r="N264" s="9"/>
      <c r="O264" s="9"/>
      <c r="P264" s="9"/>
      <c r="Q264" s="9"/>
      <c r="R264" s="9"/>
      <c r="S264" s="9">
        <v>198300</v>
      </c>
      <c r="T264" s="9"/>
      <c r="U264" s="9"/>
      <c r="V264" s="9"/>
      <c r="W264" s="9"/>
      <c r="X264" s="9"/>
      <c r="Y264" s="9"/>
      <c r="Z264" s="9"/>
      <c r="AA264" s="9"/>
      <c r="AB264" s="9">
        <v>5600</v>
      </c>
      <c r="AC264" s="9"/>
      <c r="AD264" s="9"/>
      <c r="AE264" s="9"/>
      <c r="AF264" s="9"/>
      <c r="AG264" s="9"/>
      <c r="AH264" s="9"/>
      <c r="AI264" s="9"/>
      <c r="AJ264" s="9"/>
      <c r="AK264" s="9"/>
      <c r="AL264" s="9"/>
    </row>
    <row r="265" spans="2:38" hidden="1">
      <c r="B265" s="6" t="s">
        <v>98</v>
      </c>
      <c r="C265" s="7">
        <v>60</v>
      </c>
      <c r="D265" s="7">
        <v>1</v>
      </c>
      <c r="E265" s="8">
        <v>276800</v>
      </c>
      <c r="F265" s="9"/>
      <c r="G265" s="9"/>
      <c r="H265" s="9"/>
      <c r="I265" s="9"/>
      <c r="J265" s="9"/>
      <c r="K265" s="9"/>
      <c r="L265" s="9"/>
      <c r="M265" s="9"/>
      <c r="N265" s="9"/>
      <c r="O265" s="9"/>
      <c r="P265" s="9"/>
      <c r="Q265" s="9"/>
      <c r="R265" s="9"/>
      <c r="S265" s="9"/>
      <c r="T265" s="9"/>
      <c r="U265" s="9"/>
      <c r="V265" s="9"/>
      <c r="W265" s="9"/>
      <c r="X265" s="9"/>
      <c r="Y265" s="9"/>
      <c r="Z265" s="9"/>
      <c r="AA265" s="9"/>
      <c r="AB265" s="9">
        <v>7600</v>
      </c>
      <c r="AC265" s="9"/>
      <c r="AD265" s="9"/>
      <c r="AE265" s="9"/>
      <c r="AF265" s="9"/>
      <c r="AG265" s="9"/>
      <c r="AH265" s="9"/>
      <c r="AI265" s="9"/>
      <c r="AJ265" s="9"/>
      <c r="AK265" s="9"/>
      <c r="AL265" s="9"/>
    </row>
    <row r="266" spans="2:38" hidden="1">
      <c r="B266" s="6" t="s">
        <v>98</v>
      </c>
      <c r="C266" s="7">
        <v>60</v>
      </c>
      <c r="D266" s="7">
        <v>1</v>
      </c>
      <c r="E266" s="8">
        <v>347000</v>
      </c>
      <c r="F266" s="9"/>
      <c r="G266" s="9"/>
      <c r="H266" s="9"/>
      <c r="I266" s="9"/>
      <c r="J266" s="9"/>
      <c r="K266" s="9"/>
      <c r="L266" s="9"/>
      <c r="M266" s="9"/>
      <c r="N266" s="9"/>
      <c r="O266" s="9"/>
      <c r="P266" s="9"/>
      <c r="Q266" s="9"/>
      <c r="R266" s="9"/>
      <c r="S266" s="9">
        <v>262800</v>
      </c>
      <c r="T266" s="9"/>
      <c r="U266" s="9"/>
      <c r="V266" s="9"/>
      <c r="W266" s="9"/>
      <c r="X266" s="9"/>
      <c r="Y266" s="9"/>
      <c r="Z266" s="9"/>
      <c r="AA266" s="9"/>
      <c r="AB266" s="9">
        <v>9400</v>
      </c>
      <c r="AC266" s="9"/>
      <c r="AD266" s="9"/>
      <c r="AE266" s="9"/>
      <c r="AF266" s="9"/>
      <c r="AG266" s="9"/>
      <c r="AH266" s="9"/>
      <c r="AI266" s="9"/>
      <c r="AJ266" s="9"/>
      <c r="AK266" s="9"/>
      <c r="AL266" s="9"/>
    </row>
    <row r="267" spans="2:38" hidden="1">
      <c r="B267" s="6" t="s">
        <v>98</v>
      </c>
      <c r="C267" s="7">
        <v>60</v>
      </c>
      <c r="D267" s="7">
        <v>1</v>
      </c>
      <c r="E267" s="8">
        <v>405400</v>
      </c>
      <c r="F267" s="9"/>
      <c r="G267" s="9"/>
      <c r="H267" s="9"/>
      <c r="I267" s="9"/>
      <c r="J267" s="9"/>
      <c r="K267" s="9"/>
      <c r="L267" s="9"/>
      <c r="M267" s="9"/>
      <c r="N267" s="9"/>
      <c r="O267" s="9"/>
      <c r="P267" s="9"/>
      <c r="Q267" s="9"/>
      <c r="R267" s="9"/>
      <c r="S267" s="9">
        <v>300100</v>
      </c>
      <c r="T267" s="9"/>
      <c r="U267" s="9"/>
      <c r="V267" s="9"/>
      <c r="W267" s="9"/>
      <c r="X267" s="9"/>
      <c r="Y267" s="9"/>
      <c r="Z267" s="9"/>
      <c r="AA267" s="9"/>
      <c r="AB267" s="9">
        <v>10400</v>
      </c>
      <c r="AC267" s="9"/>
      <c r="AD267" s="9"/>
      <c r="AE267" s="9"/>
      <c r="AF267" s="9"/>
      <c r="AG267" s="9"/>
      <c r="AH267" s="9"/>
      <c r="AI267" s="9"/>
      <c r="AJ267" s="9"/>
      <c r="AK267" s="9"/>
      <c r="AL267" s="9"/>
    </row>
    <row r="268" spans="2:38" hidden="1">
      <c r="B268" s="6" t="s">
        <v>98</v>
      </c>
      <c r="C268" s="7">
        <v>60</v>
      </c>
      <c r="D268" s="7">
        <v>1</v>
      </c>
      <c r="E268" s="8">
        <v>424700</v>
      </c>
      <c r="F268" s="9"/>
      <c r="G268" s="9"/>
      <c r="H268" s="9"/>
      <c r="I268" s="9"/>
      <c r="J268" s="9"/>
      <c r="K268" s="9"/>
      <c r="L268" s="9"/>
      <c r="M268" s="9"/>
      <c r="N268" s="9"/>
      <c r="O268" s="9"/>
      <c r="P268" s="9"/>
      <c r="Q268" s="9"/>
      <c r="R268" s="9"/>
      <c r="S268" s="9">
        <v>297400</v>
      </c>
      <c r="T268" s="9"/>
      <c r="U268" s="9"/>
      <c r="V268" s="9"/>
      <c r="W268" s="9"/>
      <c r="X268" s="9"/>
      <c r="Y268" s="9"/>
      <c r="Z268" s="9"/>
      <c r="AA268" s="9"/>
      <c r="AB268" s="9">
        <v>9600</v>
      </c>
      <c r="AC268" s="9"/>
      <c r="AD268" s="9"/>
      <c r="AE268" s="9"/>
      <c r="AF268" s="9"/>
      <c r="AG268" s="9"/>
      <c r="AH268" s="9"/>
      <c r="AI268" s="9"/>
      <c r="AJ268" s="9"/>
      <c r="AK268" s="9"/>
      <c r="AL268" s="9"/>
    </row>
    <row r="269" spans="2:38" hidden="1">
      <c r="B269" s="6" t="s">
        <v>98</v>
      </c>
      <c r="C269" s="7">
        <v>60</v>
      </c>
      <c r="D269" s="11">
        <v>6</v>
      </c>
      <c r="E269" s="8">
        <v>330000</v>
      </c>
      <c r="F269" s="9"/>
      <c r="G269" s="9"/>
      <c r="H269" s="9"/>
      <c r="I269" s="9"/>
      <c r="J269" s="9"/>
      <c r="K269" s="9"/>
      <c r="L269" s="9"/>
      <c r="M269" s="9"/>
      <c r="N269" s="9"/>
      <c r="O269" s="9"/>
      <c r="P269" s="9"/>
      <c r="Q269" s="9"/>
      <c r="R269" s="9"/>
      <c r="S269" s="9"/>
      <c r="T269" s="9"/>
      <c r="U269" s="9"/>
      <c r="V269" s="9"/>
      <c r="W269" s="9"/>
      <c r="X269" s="9"/>
      <c r="Y269" s="9"/>
      <c r="Z269" s="9"/>
      <c r="AA269" s="9"/>
      <c r="AB269" s="9"/>
      <c r="AC269" s="9">
        <v>251</v>
      </c>
      <c r="AD269" s="9"/>
      <c r="AE269" s="9"/>
      <c r="AF269" s="9"/>
      <c r="AG269" s="9"/>
      <c r="AH269" s="9"/>
      <c r="AI269" s="9"/>
      <c r="AJ269" s="9"/>
      <c r="AK269" s="9"/>
      <c r="AL269" s="9"/>
    </row>
    <row r="270" spans="2:38" hidden="1">
      <c r="B270" s="6" t="s">
        <v>98</v>
      </c>
      <c r="C270" s="7">
        <v>61</v>
      </c>
      <c r="D270" s="7">
        <v>1</v>
      </c>
      <c r="E270" s="8">
        <v>265000</v>
      </c>
      <c r="F270" s="9"/>
      <c r="G270" s="9">
        <v>28200</v>
      </c>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spans="2:38" hidden="1">
      <c r="B271" s="6" t="s">
        <v>98</v>
      </c>
      <c r="C271" s="7">
        <v>61</v>
      </c>
      <c r="D271" s="7">
        <v>1</v>
      </c>
      <c r="E271" s="8">
        <v>282700</v>
      </c>
      <c r="F271" s="9"/>
      <c r="G271" s="9">
        <v>45000</v>
      </c>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spans="2:38" hidden="1">
      <c r="B272" s="6" t="s">
        <v>98</v>
      </c>
      <c r="C272" s="7">
        <v>61</v>
      </c>
      <c r="D272" s="7">
        <v>1</v>
      </c>
      <c r="E272" s="8">
        <v>311400</v>
      </c>
      <c r="F272" s="9"/>
      <c r="G272" s="9">
        <v>51800</v>
      </c>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spans="2:38" hidden="1">
      <c r="B273" s="6" t="s">
        <v>98</v>
      </c>
      <c r="C273" s="7">
        <v>61</v>
      </c>
      <c r="D273" s="7">
        <v>1</v>
      </c>
      <c r="E273" s="8">
        <v>317900</v>
      </c>
      <c r="F273" s="9"/>
      <c r="G273" s="9">
        <v>46100</v>
      </c>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spans="2:38" hidden="1">
      <c r="B274" s="6" t="s">
        <v>98</v>
      </c>
      <c r="C274" s="7">
        <v>61</v>
      </c>
      <c r="D274" s="7">
        <v>1</v>
      </c>
      <c r="E274" s="8">
        <v>328600</v>
      </c>
      <c r="F274" s="9"/>
      <c r="G274" s="9">
        <v>39600</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spans="2:38" hidden="1">
      <c r="B275" s="6" t="s">
        <v>98</v>
      </c>
      <c r="C275" s="7">
        <v>61</v>
      </c>
      <c r="D275" s="7">
        <v>1</v>
      </c>
      <c r="E275" s="8">
        <v>333500</v>
      </c>
      <c r="F275" s="9"/>
      <c r="G275" s="9">
        <v>40600</v>
      </c>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spans="2:38" hidden="1">
      <c r="B276" s="6" t="s">
        <v>98</v>
      </c>
      <c r="C276" s="7">
        <v>61</v>
      </c>
      <c r="D276" s="7">
        <v>1</v>
      </c>
      <c r="E276" s="8">
        <v>343800</v>
      </c>
      <c r="F276" s="9"/>
      <c r="G276" s="9">
        <v>50100</v>
      </c>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spans="2:38" hidden="1">
      <c r="B277" s="6" t="s">
        <v>98</v>
      </c>
      <c r="C277" s="7">
        <v>61</v>
      </c>
      <c r="D277" s="7">
        <v>1</v>
      </c>
      <c r="E277" s="8">
        <v>347000</v>
      </c>
      <c r="F277" s="9"/>
      <c r="G277" s="9">
        <v>47800</v>
      </c>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spans="2:38" hidden="1">
      <c r="B278" s="6" t="s">
        <v>98</v>
      </c>
      <c r="C278" s="7">
        <v>61</v>
      </c>
      <c r="D278" s="7">
        <v>1</v>
      </c>
      <c r="E278" s="8">
        <v>365900</v>
      </c>
      <c r="F278" s="9"/>
      <c r="G278" s="9">
        <v>45700</v>
      </c>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spans="2:38" hidden="1">
      <c r="B279" s="6" t="s">
        <v>98</v>
      </c>
      <c r="C279" s="7">
        <v>61</v>
      </c>
      <c r="D279" s="7">
        <v>1</v>
      </c>
      <c r="E279" s="8">
        <v>391200</v>
      </c>
      <c r="F279" s="9"/>
      <c r="G279" s="9">
        <v>51400</v>
      </c>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spans="2:38" hidden="1">
      <c r="B280" s="6" t="s">
        <v>98</v>
      </c>
      <c r="C280" s="7">
        <v>61</v>
      </c>
      <c r="D280" s="7">
        <v>1</v>
      </c>
      <c r="E280" s="8">
        <v>405400</v>
      </c>
      <c r="F280" s="9"/>
      <c r="G280" s="9">
        <v>53500</v>
      </c>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spans="2:38" hidden="1">
      <c r="B281" s="6" t="s">
        <v>98</v>
      </c>
      <c r="C281" s="7">
        <v>61</v>
      </c>
      <c r="D281" s="7">
        <v>1</v>
      </c>
      <c r="E281" s="8">
        <v>405400</v>
      </c>
      <c r="F281" s="9"/>
      <c r="G281" s="9">
        <v>53300</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spans="2:38" hidden="1">
      <c r="B282" s="6" t="s">
        <v>98</v>
      </c>
      <c r="C282" s="7">
        <v>61</v>
      </c>
      <c r="D282" s="7">
        <v>1</v>
      </c>
      <c r="E282" s="8">
        <v>424700</v>
      </c>
      <c r="F282" s="9"/>
      <c r="G282" s="9">
        <v>56500</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spans="2:38" hidden="1">
      <c r="B283" s="6" t="s">
        <v>98</v>
      </c>
      <c r="C283" s="7">
        <v>61</v>
      </c>
      <c r="D283" s="7">
        <v>1</v>
      </c>
      <c r="E283" s="8">
        <v>445000</v>
      </c>
      <c r="F283" s="9"/>
      <c r="G283" s="9">
        <v>45300</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spans="2:38">
      <c r="B284" s="6" t="s">
        <v>98</v>
      </c>
      <c r="C284" s="7">
        <v>64</v>
      </c>
      <c r="D284" s="7">
        <v>1</v>
      </c>
      <c r="E284" s="8">
        <v>299000</v>
      </c>
      <c r="F284" s="9"/>
      <c r="G284" s="9">
        <v>42000</v>
      </c>
      <c r="H284" s="9"/>
      <c r="I284" s="9"/>
      <c r="J284" s="9"/>
      <c r="K284" s="9"/>
      <c r="L284" s="9"/>
      <c r="M284" s="9"/>
      <c r="N284" s="9"/>
      <c r="O284" s="9">
        <v>6800</v>
      </c>
      <c r="P284" s="9"/>
      <c r="Q284" s="9"/>
      <c r="R284" s="9">
        <v>2700</v>
      </c>
      <c r="S284" s="9"/>
      <c r="T284" s="9">
        <v>142800</v>
      </c>
      <c r="U284" s="9"/>
      <c r="V284" s="9">
        <v>6700</v>
      </c>
      <c r="W284" s="9"/>
      <c r="X284" s="9"/>
      <c r="Y284" s="9"/>
      <c r="Z284" s="9"/>
      <c r="AA284" s="9"/>
      <c r="AB284" s="9"/>
      <c r="AC284" s="9"/>
      <c r="AD284" s="9"/>
      <c r="AE284" s="9"/>
      <c r="AF284" s="9"/>
      <c r="AG284" s="9"/>
      <c r="AH284" s="9"/>
      <c r="AI284" s="9"/>
      <c r="AJ284" s="9"/>
      <c r="AK284" s="9"/>
      <c r="AL284" s="9"/>
    </row>
    <row r="285" spans="2:38">
      <c r="B285" s="6" t="s">
        <v>98</v>
      </c>
      <c r="C285" s="7">
        <v>64</v>
      </c>
      <c r="D285" s="7">
        <v>1</v>
      </c>
      <c r="E285" s="8">
        <v>262000</v>
      </c>
      <c r="F285" s="9"/>
      <c r="G285" s="9">
        <v>43800</v>
      </c>
      <c r="H285" s="9"/>
      <c r="I285" s="9"/>
      <c r="J285" s="9"/>
      <c r="K285" s="9"/>
      <c r="L285" s="9"/>
      <c r="M285" s="9"/>
      <c r="N285" s="9"/>
      <c r="O285" s="9">
        <v>5800</v>
      </c>
      <c r="P285" s="9"/>
      <c r="Q285" s="9"/>
      <c r="R285" s="9">
        <v>2000</v>
      </c>
      <c r="S285" s="9"/>
      <c r="T285" s="9">
        <v>108000</v>
      </c>
      <c r="U285" s="9"/>
      <c r="V285" s="9">
        <v>7200</v>
      </c>
      <c r="W285" s="9"/>
      <c r="X285" s="9"/>
      <c r="Y285" s="9"/>
      <c r="Z285" s="9"/>
      <c r="AA285" s="9"/>
      <c r="AB285" s="9"/>
      <c r="AC285" s="9"/>
      <c r="AD285" s="9"/>
      <c r="AE285" s="9"/>
      <c r="AF285" s="9"/>
      <c r="AG285" s="9"/>
      <c r="AH285" s="9"/>
      <c r="AI285" s="9"/>
      <c r="AJ285" s="9"/>
      <c r="AK285" s="9"/>
      <c r="AL285" s="9"/>
    </row>
    <row r="286" spans="2:38">
      <c r="B286" s="6" t="s">
        <v>98</v>
      </c>
      <c r="C286" s="7">
        <v>64</v>
      </c>
      <c r="D286" s="7">
        <v>1</v>
      </c>
      <c r="E286" s="8">
        <v>343900</v>
      </c>
      <c r="F286" s="9"/>
      <c r="G286" s="9">
        <v>44400</v>
      </c>
      <c r="H286" s="9"/>
      <c r="I286" s="9"/>
      <c r="J286" s="9"/>
      <c r="K286" s="9"/>
      <c r="L286" s="9"/>
      <c r="M286" s="9"/>
      <c r="N286" s="9"/>
      <c r="O286" s="9">
        <v>6300</v>
      </c>
      <c r="P286" s="9"/>
      <c r="Q286" s="9"/>
      <c r="R286" s="9">
        <v>2500</v>
      </c>
      <c r="S286" s="9"/>
      <c r="T286" s="9">
        <v>154700</v>
      </c>
      <c r="U286" s="9"/>
      <c r="V286" s="9">
        <v>7600</v>
      </c>
      <c r="W286" s="9"/>
      <c r="X286" s="9"/>
      <c r="Y286" s="9"/>
      <c r="Z286" s="9"/>
      <c r="AA286" s="9"/>
      <c r="AB286" s="9"/>
      <c r="AC286" s="9"/>
      <c r="AD286" s="9"/>
      <c r="AE286" s="9"/>
      <c r="AF286" s="9"/>
      <c r="AG286" s="9"/>
      <c r="AH286" s="9"/>
      <c r="AI286" s="9"/>
      <c r="AJ286" s="9"/>
      <c r="AK286" s="9"/>
      <c r="AL286" s="9"/>
    </row>
    <row r="287" spans="2:38">
      <c r="B287" s="6" t="s">
        <v>98</v>
      </c>
      <c r="C287" s="7">
        <v>64</v>
      </c>
      <c r="D287" s="7">
        <v>1</v>
      </c>
      <c r="E287" s="8">
        <v>229200</v>
      </c>
      <c r="F287" s="9"/>
      <c r="G287" s="9">
        <v>35600</v>
      </c>
      <c r="H287" s="9"/>
      <c r="I287" s="9"/>
      <c r="J287" s="9"/>
      <c r="K287" s="9"/>
      <c r="L287" s="9"/>
      <c r="M287" s="9"/>
      <c r="N287" s="9"/>
      <c r="O287" s="9">
        <v>4600</v>
      </c>
      <c r="P287" s="9"/>
      <c r="Q287" s="9"/>
      <c r="R287" s="9">
        <v>2500</v>
      </c>
      <c r="S287" s="9"/>
      <c r="T287" s="9">
        <v>142100</v>
      </c>
      <c r="U287" s="9"/>
      <c r="V287" s="9">
        <v>5900</v>
      </c>
      <c r="W287" s="9"/>
      <c r="X287" s="9"/>
      <c r="Y287" s="9"/>
      <c r="Z287" s="9"/>
      <c r="AA287" s="9"/>
      <c r="AB287" s="9"/>
      <c r="AC287" s="9"/>
      <c r="AD287" s="9"/>
      <c r="AE287" s="9"/>
      <c r="AF287" s="9"/>
      <c r="AG287" s="9"/>
      <c r="AH287" s="9"/>
      <c r="AI287" s="9"/>
      <c r="AJ287" s="9"/>
      <c r="AK287" s="9"/>
      <c r="AL287" s="9"/>
    </row>
    <row r="288" spans="2:38">
      <c r="B288" s="6" t="s">
        <v>98</v>
      </c>
      <c r="C288" s="7">
        <v>64</v>
      </c>
      <c r="D288" s="7">
        <v>1</v>
      </c>
      <c r="E288" s="8">
        <v>354300</v>
      </c>
      <c r="F288" s="9"/>
      <c r="G288" s="9">
        <v>44200</v>
      </c>
      <c r="H288" s="9"/>
      <c r="I288" s="9"/>
      <c r="J288" s="9"/>
      <c r="K288" s="9"/>
      <c r="L288" s="9"/>
      <c r="M288" s="9"/>
      <c r="N288" s="9"/>
      <c r="O288" s="9">
        <v>7900</v>
      </c>
      <c r="P288" s="9"/>
      <c r="Q288" s="9"/>
      <c r="R288" s="9">
        <v>3100</v>
      </c>
      <c r="S288" s="9"/>
      <c r="T288" s="9">
        <v>166600</v>
      </c>
      <c r="U288" s="9"/>
      <c r="V288" s="9">
        <v>6800</v>
      </c>
      <c r="W288" s="9"/>
      <c r="X288" s="9"/>
      <c r="Y288" s="9"/>
      <c r="Z288" s="9"/>
      <c r="AA288" s="9"/>
      <c r="AB288" s="9"/>
      <c r="AC288" s="9"/>
      <c r="AD288" s="9"/>
      <c r="AE288" s="9"/>
      <c r="AF288" s="9"/>
      <c r="AG288" s="9"/>
      <c r="AH288" s="9"/>
      <c r="AI288" s="9"/>
      <c r="AJ288" s="9"/>
      <c r="AK288" s="9"/>
      <c r="AL288" s="9"/>
    </row>
    <row r="289" spans="2:38">
      <c r="B289" s="6" t="s">
        <v>98</v>
      </c>
      <c r="C289" s="7">
        <v>64</v>
      </c>
      <c r="D289" s="7">
        <v>1</v>
      </c>
      <c r="E289" s="8">
        <v>314300</v>
      </c>
      <c r="F289" s="9"/>
      <c r="G289" s="9">
        <v>45200</v>
      </c>
      <c r="H289" s="9"/>
      <c r="I289" s="9"/>
      <c r="J289" s="9"/>
      <c r="K289" s="9"/>
      <c r="L289" s="9"/>
      <c r="M289" s="9"/>
      <c r="N289" s="9"/>
      <c r="O289" s="9">
        <v>6400</v>
      </c>
      <c r="P289" s="9"/>
      <c r="Q289" s="9"/>
      <c r="R289" s="9">
        <v>3100</v>
      </c>
      <c r="S289" s="9"/>
      <c r="T289" s="9">
        <v>154000</v>
      </c>
      <c r="U289" s="9"/>
      <c r="V289" s="9">
        <v>7400</v>
      </c>
      <c r="W289" s="9"/>
      <c r="X289" s="9"/>
      <c r="Y289" s="9"/>
      <c r="Z289" s="9"/>
      <c r="AA289" s="9"/>
      <c r="AB289" s="9"/>
      <c r="AC289" s="9"/>
      <c r="AD289" s="9"/>
      <c r="AE289" s="9"/>
      <c r="AF289" s="9"/>
      <c r="AG289" s="9"/>
      <c r="AH289" s="9"/>
      <c r="AI289" s="9"/>
      <c r="AJ289" s="9"/>
      <c r="AK289" s="9"/>
      <c r="AL289" s="9"/>
    </row>
    <row r="290" spans="2:38">
      <c r="B290" s="6" t="s">
        <v>98</v>
      </c>
      <c r="C290" s="7">
        <v>64</v>
      </c>
      <c r="D290" s="7">
        <v>1</v>
      </c>
      <c r="E290" s="8">
        <v>373500</v>
      </c>
      <c r="F290" s="9"/>
      <c r="G290" s="9">
        <v>50200</v>
      </c>
      <c r="H290" s="9"/>
      <c r="I290" s="9"/>
      <c r="J290" s="9"/>
      <c r="K290" s="9"/>
      <c r="L290" s="9"/>
      <c r="M290" s="9"/>
      <c r="N290" s="9"/>
      <c r="O290" s="9">
        <v>7900</v>
      </c>
      <c r="P290" s="9"/>
      <c r="Q290" s="9"/>
      <c r="R290" s="9">
        <v>3100</v>
      </c>
      <c r="S290" s="9"/>
      <c r="T290" s="9">
        <v>165600</v>
      </c>
      <c r="U290" s="9"/>
      <c r="V290" s="9">
        <v>7700</v>
      </c>
      <c r="W290" s="9"/>
      <c r="X290" s="9"/>
      <c r="Y290" s="9"/>
      <c r="Z290" s="9"/>
      <c r="AA290" s="9"/>
      <c r="AB290" s="9"/>
      <c r="AC290" s="9"/>
      <c r="AD290" s="9"/>
      <c r="AE290" s="9"/>
      <c r="AF290" s="9"/>
      <c r="AG290" s="9"/>
      <c r="AH290" s="9"/>
      <c r="AI290" s="9"/>
      <c r="AJ290" s="9"/>
      <c r="AK290" s="9"/>
      <c r="AL290" s="9"/>
    </row>
    <row r="291" spans="2:38">
      <c r="B291" s="6" t="s">
        <v>98</v>
      </c>
      <c r="C291" s="7">
        <v>64</v>
      </c>
      <c r="D291" s="7">
        <v>1</v>
      </c>
      <c r="E291" s="8">
        <v>348100</v>
      </c>
      <c r="F291" s="9"/>
      <c r="G291" s="9">
        <v>50600</v>
      </c>
      <c r="H291" s="9"/>
      <c r="I291" s="9"/>
      <c r="J291" s="9"/>
      <c r="K291" s="9"/>
      <c r="L291" s="9"/>
      <c r="M291" s="9"/>
      <c r="N291" s="9"/>
      <c r="O291" s="9">
        <v>6200</v>
      </c>
      <c r="P291" s="9"/>
      <c r="Q291" s="9"/>
      <c r="R291" s="9">
        <v>2900</v>
      </c>
      <c r="S291" s="9"/>
      <c r="T291" s="9">
        <v>184800</v>
      </c>
      <c r="U291" s="9"/>
      <c r="V291" s="9">
        <v>9000</v>
      </c>
      <c r="W291" s="9"/>
      <c r="X291" s="9"/>
      <c r="Y291" s="9"/>
      <c r="Z291" s="9"/>
      <c r="AA291" s="9"/>
      <c r="AB291" s="9"/>
      <c r="AC291" s="9"/>
      <c r="AD291" s="9"/>
      <c r="AE291" s="9"/>
      <c r="AF291" s="9"/>
      <c r="AG291" s="9"/>
      <c r="AH291" s="9"/>
      <c r="AI291" s="9"/>
      <c r="AJ291" s="9"/>
      <c r="AK291" s="9"/>
      <c r="AL291" s="9"/>
    </row>
    <row r="292" spans="2:38">
      <c r="B292" s="6" t="s">
        <v>98</v>
      </c>
      <c r="C292" s="7">
        <v>64</v>
      </c>
      <c r="D292" s="7">
        <v>1</v>
      </c>
      <c r="E292" s="8">
        <v>355900</v>
      </c>
      <c r="F292" s="9"/>
      <c r="G292" s="9">
        <v>48000</v>
      </c>
      <c r="H292" s="9"/>
      <c r="I292" s="9"/>
      <c r="J292" s="9"/>
      <c r="K292" s="9"/>
      <c r="L292" s="9"/>
      <c r="M292" s="9"/>
      <c r="N292" s="9"/>
      <c r="O292" s="9">
        <v>6600</v>
      </c>
      <c r="P292" s="9"/>
      <c r="Q292" s="9"/>
      <c r="R292" s="9">
        <v>2300</v>
      </c>
      <c r="S292" s="9"/>
      <c r="T292" s="9">
        <v>166600</v>
      </c>
      <c r="U292" s="9"/>
      <c r="V292" s="9">
        <v>6500</v>
      </c>
      <c r="W292" s="9"/>
      <c r="X292" s="9"/>
      <c r="Y292" s="9"/>
      <c r="Z292" s="9"/>
      <c r="AA292" s="9"/>
      <c r="AB292" s="9"/>
      <c r="AC292" s="9"/>
      <c r="AD292" s="9"/>
      <c r="AE292" s="9"/>
      <c r="AF292" s="9"/>
      <c r="AG292" s="9"/>
      <c r="AH292" s="9"/>
      <c r="AI292" s="9"/>
      <c r="AJ292" s="9"/>
      <c r="AK292" s="9"/>
      <c r="AL292" s="9"/>
    </row>
    <row r="293" spans="2:38">
      <c r="B293" s="6" t="s">
        <v>98</v>
      </c>
      <c r="C293" s="7">
        <v>64</v>
      </c>
      <c r="D293" s="7">
        <v>1</v>
      </c>
      <c r="E293" s="8">
        <v>297700</v>
      </c>
      <c r="F293" s="9"/>
      <c r="G293" s="9">
        <v>40000</v>
      </c>
      <c r="H293" s="9"/>
      <c r="I293" s="9"/>
      <c r="J293" s="9"/>
      <c r="K293" s="9"/>
      <c r="L293" s="9"/>
      <c r="M293" s="9"/>
      <c r="N293" s="9"/>
      <c r="O293" s="9">
        <v>5500</v>
      </c>
      <c r="P293" s="9"/>
      <c r="Q293" s="9"/>
      <c r="R293" s="9">
        <v>2500</v>
      </c>
      <c r="S293" s="9"/>
      <c r="T293" s="9">
        <v>129500</v>
      </c>
      <c r="U293" s="9"/>
      <c r="V293" s="9">
        <v>6400</v>
      </c>
      <c r="W293" s="9"/>
      <c r="X293" s="9"/>
      <c r="Y293" s="9"/>
      <c r="Z293" s="9"/>
      <c r="AA293" s="9"/>
      <c r="AB293" s="9"/>
      <c r="AC293" s="9"/>
      <c r="AD293" s="9"/>
      <c r="AE293" s="9"/>
      <c r="AF293" s="9"/>
      <c r="AG293" s="9"/>
      <c r="AH293" s="9"/>
      <c r="AI293" s="9"/>
      <c r="AJ293" s="9"/>
      <c r="AK293" s="9"/>
      <c r="AL293" s="9"/>
    </row>
    <row r="294" spans="2:38">
      <c r="B294" s="6" t="s">
        <v>98</v>
      </c>
      <c r="C294" s="7">
        <v>64</v>
      </c>
      <c r="D294" s="7">
        <v>1</v>
      </c>
      <c r="E294" s="8">
        <v>370700</v>
      </c>
      <c r="F294" s="9"/>
      <c r="G294" s="9">
        <v>42800</v>
      </c>
      <c r="H294" s="9"/>
      <c r="I294" s="9"/>
      <c r="J294" s="9"/>
      <c r="K294" s="9"/>
      <c r="L294" s="9"/>
      <c r="M294" s="9"/>
      <c r="N294" s="9"/>
      <c r="O294" s="9">
        <v>6700</v>
      </c>
      <c r="P294" s="9"/>
      <c r="Q294" s="9"/>
      <c r="R294" s="9">
        <v>3300</v>
      </c>
      <c r="S294" s="9"/>
      <c r="T294" s="9">
        <v>174300</v>
      </c>
      <c r="U294" s="9"/>
      <c r="V294" s="9">
        <v>7700</v>
      </c>
      <c r="W294" s="9"/>
      <c r="X294" s="9"/>
      <c r="Y294" s="9"/>
      <c r="Z294" s="9"/>
      <c r="AA294" s="9"/>
      <c r="AB294" s="9"/>
      <c r="AC294" s="9"/>
      <c r="AD294" s="9"/>
      <c r="AE294" s="9"/>
      <c r="AF294" s="9"/>
      <c r="AG294" s="9"/>
      <c r="AH294" s="9"/>
      <c r="AI294" s="9"/>
      <c r="AJ294" s="9"/>
      <c r="AK294" s="9"/>
      <c r="AL294" s="9"/>
    </row>
    <row r="295" spans="2:38">
      <c r="B295" s="6" t="s">
        <v>98</v>
      </c>
      <c r="C295" s="7">
        <v>64</v>
      </c>
      <c r="D295" s="7">
        <v>1</v>
      </c>
      <c r="E295" s="8">
        <v>345300</v>
      </c>
      <c r="F295" s="9"/>
      <c r="G295" s="9">
        <v>43600</v>
      </c>
      <c r="H295" s="9"/>
      <c r="I295" s="9"/>
      <c r="J295" s="9"/>
      <c r="K295" s="9"/>
      <c r="L295" s="9"/>
      <c r="M295" s="9"/>
      <c r="N295" s="9"/>
      <c r="O295" s="9">
        <v>7500</v>
      </c>
      <c r="P295" s="9"/>
      <c r="Q295" s="9"/>
      <c r="R295" s="9">
        <v>3600</v>
      </c>
      <c r="S295" s="9"/>
      <c r="T295" s="9">
        <v>155400</v>
      </c>
      <c r="U295" s="9"/>
      <c r="V295" s="9">
        <v>6800</v>
      </c>
      <c r="W295" s="9"/>
      <c r="X295" s="9"/>
      <c r="Y295" s="9"/>
      <c r="Z295" s="9"/>
      <c r="AA295" s="9"/>
      <c r="AB295" s="9"/>
      <c r="AC295" s="9"/>
      <c r="AD295" s="9"/>
      <c r="AE295" s="9"/>
      <c r="AF295" s="9"/>
      <c r="AG295" s="9"/>
      <c r="AH295" s="9"/>
      <c r="AI295" s="9"/>
      <c r="AJ295" s="9"/>
      <c r="AK295" s="9"/>
      <c r="AL295" s="9"/>
    </row>
    <row r="296" spans="2:38">
      <c r="B296" s="6" t="s">
        <v>98</v>
      </c>
      <c r="C296" s="7">
        <v>64</v>
      </c>
      <c r="D296" s="7">
        <v>1</v>
      </c>
      <c r="E296" s="8">
        <v>327800</v>
      </c>
      <c r="F296" s="9"/>
      <c r="G296" s="9">
        <v>47800</v>
      </c>
      <c r="H296" s="9"/>
      <c r="I296" s="9"/>
      <c r="J296" s="9"/>
      <c r="K296" s="9"/>
      <c r="L296" s="9"/>
      <c r="M296" s="9"/>
      <c r="N296" s="9"/>
      <c r="O296" s="9">
        <v>6800</v>
      </c>
      <c r="P296" s="9"/>
      <c r="Q296" s="9"/>
      <c r="R296" s="9">
        <v>2900</v>
      </c>
      <c r="S296" s="9"/>
      <c r="T296" s="9">
        <v>152600</v>
      </c>
      <c r="U296" s="9"/>
      <c r="V296" s="9">
        <v>9100</v>
      </c>
      <c r="W296" s="9"/>
      <c r="X296" s="9"/>
      <c r="Y296" s="9"/>
      <c r="Z296" s="9"/>
      <c r="AA296" s="9"/>
      <c r="AB296" s="9"/>
      <c r="AC296" s="9"/>
      <c r="AD296" s="9"/>
      <c r="AE296" s="9"/>
      <c r="AF296" s="9"/>
      <c r="AG296" s="9"/>
      <c r="AH296" s="9"/>
      <c r="AI296" s="9"/>
      <c r="AJ296" s="9"/>
      <c r="AK296" s="9"/>
      <c r="AL296" s="9"/>
    </row>
    <row r="297" spans="2:38">
      <c r="B297" s="6" t="s">
        <v>98</v>
      </c>
      <c r="C297" s="7">
        <v>64</v>
      </c>
      <c r="D297" s="7">
        <v>1</v>
      </c>
      <c r="E297" s="8">
        <v>324200</v>
      </c>
      <c r="F297" s="9"/>
      <c r="G297" s="9">
        <v>48800</v>
      </c>
      <c r="H297" s="9"/>
      <c r="I297" s="9"/>
      <c r="J297" s="9"/>
      <c r="K297" s="9"/>
      <c r="L297" s="9"/>
      <c r="M297" s="9"/>
      <c r="N297" s="9"/>
      <c r="O297" s="9">
        <v>5800</v>
      </c>
      <c r="P297" s="9"/>
      <c r="Q297" s="9"/>
      <c r="R297" s="9">
        <v>3400</v>
      </c>
      <c r="S297" s="9"/>
      <c r="T297" s="9">
        <v>149100</v>
      </c>
      <c r="U297" s="9"/>
      <c r="V297" s="9">
        <v>7400</v>
      </c>
      <c r="W297" s="9"/>
      <c r="X297" s="9"/>
      <c r="Y297" s="9"/>
      <c r="Z297" s="9"/>
      <c r="AA297" s="9"/>
      <c r="AB297" s="9"/>
      <c r="AC297" s="9"/>
      <c r="AD297" s="9"/>
      <c r="AE297" s="9"/>
      <c r="AF297" s="9"/>
      <c r="AG297" s="9"/>
      <c r="AH297" s="9"/>
      <c r="AI297" s="9"/>
      <c r="AJ297" s="9"/>
      <c r="AK297" s="9"/>
      <c r="AL297" s="9"/>
    </row>
    <row r="298" spans="2:38">
      <c r="B298" s="6" t="s">
        <v>98</v>
      </c>
      <c r="C298" s="7">
        <v>64</v>
      </c>
      <c r="D298" s="7">
        <v>1</v>
      </c>
      <c r="E298" s="8">
        <v>332900</v>
      </c>
      <c r="F298" s="9"/>
      <c r="G298" s="9">
        <v>50800</v>
      </c>
      <c r="H298" s="9"/>
      <c r="I298" s="9"/>
      <c r="J298" s="9"/>
      <c r="K298" s="9"/>
      <c r="L298" s="9"/>
      <c r="M298" s="9"/>
      <c r="N298" s="9"/>
      <c r="O298" s="9">
        <v>6400</v>
      </c>
      <c r="P298" s="9"/>
      <c r="Q298" s="9"/>
      <c r="R298" s="9">
        <v>3400</v>
      </c>
      <c r="S298" s="9"/>
      <c r="T298" s="9">
        <v>163100</v>
      </c>
      <c r="U298" s="9"/>
      <c r="V298" s="9">
        <v>7000</v>
      </c>
      <c r="W298" s="9"/>
      <c r="X298" s="9"/>
      <c r="Y298" s="9"/>
      <c r="Z298" s="9"/>
      <c r="AA298" s="9"/>
      <c r="AB298" s="9"/>
      <c r="AC298" s="9"/>
      <c r="AD298" s="9"/>
      <c r="AE298" s="9"/>
      <c r="AF298" s="9"/>
      <c r="AG298" s="9"/>
      <c r="AH298" s="9"/>
      <c r="AI298" s="9"/>
      <c r="AJ298" s="9"/>
      <c r="AK298" s="9"/>
      <c r="AL298" s="9"/>
    </row>
    <row r="299" spans="2:38">
      <c r="B299" s="6" t="s">
        <v>98</v>
      </c>
      <c r="C299" s="7">
        <v>64</v>
      </c>
      <c r="D299" s="7">
        <v>1</v>
      </c>
      <c r="E299" s="8">
        <v>312900</v>
      </c>
      <c r="F299" s="9"/>
      <c r="G299" s="9">
        <v>41000</v>
      </c>
      <c r="H299" s="9"/>
      <c r="I299" s="9"/>
      <c r="J299" s="9"/>
      <c r="K299" s="9"/>
      <c r="L299" s="9"/>
      <c r="M299" s="9"/>
      <c r="N299" s="9"/>
      <c r="O299" s="9">
        <v>5200</v>
      </c>
      <c r="P299" s="9"/>
      <c r="Q299" s="9"/>
      <c r="R299" s="9">
        <v>2800</v>
      </c>
      <c r="S299" s="9"/>
      <c r="T299" s="9">
        <v>168700</v>
      </c>
      <c r="U299" s="9"/>
      <c r="V299" s="9">
        <v>6700</v>
      </c>
      <c r="W299" s="9"/>
      <c r="X299" s="9"/>
      <c r="Y299" s="9"/>
      <c r="Z299" s="9"/>
      <c r="AA299" s="9"/>
      <c r="AB299" s="9"/>
      <c r="AC299" s="9"/>
      <c r="AD299" s="9"/>
      <c r="AE299" s="9"/>
      <c r="AF299" s="9"/>
      <c r="AG299" s="9"/>
      <c r="AH299" s="9"/>
      <c r="AI299" s="9"/>
      <c r="AJ299" s="9"/>
      <c r="AK299" s="9"/>
      <c r="AL299" s="9"/>
    </row>
    <row r="300" spans="2:38">
      <c r="B300" s="6" t="s">
        <v>98</v>
      </c>
      <c r="C300" s="7">
        <v>64</v>
      </c>
      <c r="D300" s="7">
        <v>1</v>
      </c>
      <c r="E300" s="8">
        <v>344600</v>
      </c>
      <c r="F300" s="9"/>
      <c r="G300" s="9">
        <v>45200</v>
      </c>
      <c r="H300" s="9"/>
      <c r="I300" s="9"/>
      <c r="J300" s="9"/>
      <c r="K300" s="9"/>
      <c r="L300" s="9"/>
      <c r="M300" s="9"/>
      <c r="N300" s="9"/>
      <c r="O300" s="9">
        <v>6500</v>
      </c>
      <c r="P300" s="9"/>
      <c r="Q300" s="9"/>
      <c r="R300" s="9">
        <v>3100</v>
      </c>
      <c r="S300" s="9"/>
      <c r="T300" s="9">
        <v>159600</v>
      </c>
      <c r="U300" s="9"/>
      <c r="V300" s="9">
        <v>6800</v>
      </c>
      <c r="W300" s="9"/>
      <c r="X300" s="9"/>
      <c r="Y300" s="9"/>
      <c r="Z300" s="9"/>
      <c r="AA300" s="9"/>
      <c r="AB300" s="9"/>
      <c r="AC300" s="9"/>
      <c r="AD300" s="9"/>
      <c r="AE300" s="9"/>
      <c r="AF300" s="9"/>
      <c r="AG300" s="9"/>
      <c r="AH300" s="9"/>
      <c r="AI300" s="9"/>
      <c r="AJ300" s="9"/>
      <c r="AK300" s="9"/>
      <c r="AL300" s="9"/>
    </row>
    <row r="301" spans="2:38">
      <c r="B301" s="6" t="s">
        <v>98</v>
      </c>
      <c r="C301" s="7">
        <v>64</v>
      </c>
      <c r="D301" s="7">
        <v>1</v>
      </c>
      <c r="E301" s="8">
        <v>353500</v>
      </c>
      <c r="F301" s="9"/>
      <c r="G301" s="9">
        <v>47800</v>
      </c>
      <c r="H301" s="9"/>
      <c r="I301" s="9"/>
      <c r="J301" s="9"/>
      <c r="K301" s="9"/>
      <c r="L301" s="9"/>
      <c r="M301" s="9"/>
      <c r="N301" s="9"/>
      <c r="O301" s="9">
        <v>7700</v>
      </c>
      <c r="P301" s="9"/>
      <c r="Q301" s="9"/>
      <c r="R301" s="9">
        <v>3000</v>
      </c>
      <c r="S301" s="9"/>
      <c r="T301" s="9">
        <v>162400</v>
      </c>
      <c r="U301" s="9"/>
      <c r="V301" s="9">
        <v>7400</v>
      </c>
      <c r="W301" s="9"/>
      <c r="X301" s="9"/>
      <c r="Y301" s="9"/>
      <c r="Z301" s="9"/>
      <c r="AA301" s="9"/>
      <c r="AB301" s="9"/>
      <c r="AC301" s="9"/>
      <c r="AD301" s="9"/>
      <c r="AE301" s="9"/>
      <c r="AF301" s="9"/>
      <c r="AG301" s="9"/>
      <c r="AH301" s="9"/>
      <c r="AI301" s="9"/>
      <c r="AJ301" s="9"/>
      <c r="AK301" s="9"/>
      <c r="AL301" s="9"/>
    </row>
    <row r="302" spans="2:38">
      <c r="B302" s="6" t="s">
        <v>98</v>
      </c>
      <c r="C302" s="7">
        <v>64</v>
      </c>
      <c r="D302" s="7">
        <v>1</v>
      </c>
      <c r="E302" s="8">
        <v>384000</v>
      </c>
      <c r="F302" s="9"/>
      <c r="G302" s="9">
        <v>59800</v>
      </c>
      <c r="H302" s="9"/>
      <c r="I302" s="9"/>
      <c r="J302" s="9"/>
      <c r="K302" s="9"/>
      <c r="L302" s="9"/>
      <c r="M302" s="9"/>
      <c r="N302" s="9"/>
      <c r="O302" s="9">
        <v>7500</v>
      </c>
      <c r="P302" s="9"/>
      <c r="Q302" s="9"/>
      <c r="R302" s="9">
        <v>3100</v>
      </c>
      <c r="S302" s="9"/>
      <c r="T302" s="9">
        <v>200900</v>
      </c>
      <c r="U302" s="9"/>
      <c r="V302" s="9">
        <v>7900</v>
      </c>
      <c r="W302" s="9"/>
      <c r="X302" s="9"/>
      <c r="Y302" s="9"/>
      <c r="Z302" s="9"/>
      <c r="AA302" s="9"/>
      <c r="AB302" s="9"/>
      <c r="AC302" s="9"/>
      <c r="AD302" s="9"/>
      <c r="AE302" s="9"/>
      <c r="AF302" s="9"/>
      <c r="AG302" s="9"/>
      <c r="AH302" s="9"/>
      <c r="AI302" s="9"/>
      <c r="AJ302" s="9"/>
      <c r="AK302" s="9"/>
      <c r="AL302" s="9"/>
    </row>
    <row r="303" spans="2:38">
      <c r="B303" s="6" t="s">
        <v>98</v>
      </c>
      <c r="C303" s="7">
        <v>64</v>
      </c>
      <c r="D303" s="7">
        <v>1</v>
      </c>
      <c r="E303" s="8">
        <v>364600</v>
      </c>
      <c r="F303" s="9"/>
      <c r="G303" s="9">
        <v>60600</v>
      </c>
      <c r="H303" s="9"/>
      <c r="I303" s="9"/>
      <c r="J303" s="9"/>
      <c r="K303" s="9"/>
      <c r="L303" s="9"/>
      <c r="M303" s="9"/>
      <c r="N303" s="9"/>
      <c r="O303" s="9">
        <v>6500</v>
      </c>
      <c r="P303" s="9"/>
      <c r="Q303" s="9"/>
      <c r="R303" s="9">
        <v>3200</v>
      </c>
      <c r="S303" s="9"/>
      <c r="T303" s="9">
        <v>172900</v>
      </c>
      <c r="U303" s="9"/>
      <c r="V303" s="9">
        <v>8400</v>
      </c>
      <c r="W303" s="9"/>
      <c r="X303" s="9"/>
      <c r="Y303" s="9"/>
      <c r="Z303" s="9"/>
      <c r="AA303" s="9"/>
      <c r="AB303" s="9"/>
      <c r="AC303" s="9"/>
      <c r="AD303" s="9"/>
      <c r="AE303" s="9"/>
      <c r="AF303" s="9"/>
      <c r="AG303" s="9"/>
      <c r="AH303" s="9"/>
      <c r="AI303" s="9"/>
      <c r="AJ303" s="9"/>
      <c r="AK303" s="9"/>
      <c r="AL303" s="9"/>
    </row>
    <row r="304" spans="2:38">
      <c r="B304" s="6" t="s">
        <v>98</v>
      </c>
      <c r="C304" s="7">
        <v>64</v>
      </c>
      <c r="D304" s="7">
        <v>1</v>
      </c>
      <c r="E304" s="8">
        <v>414300</v>
      </c>
      <c r="F304" s="9"/>
      <c r="G304" s="9">
        <v>58600</v>
      </c>
      <c r="H304" s="9"/>
      <c r="I304" s="9"/>
      <c r="J304" s="9"/>
      <c r="K304" s="9"/>
      <c r="L304" s="9"/>
      <c r="M304" s="9"/>
      <c r="N304" s="9"/>
      <c r="O304" s="9">
        <v>9600</v>
      </c>
      <c r="P304" s="9"/>
      <c r="Q304" s="9"/>
      <c r="R304" s="9">
        <v>2700</v>
      </c>
      <c r="S304" s="9"/>
      <c r="T304" s="9">
        <v>180600</v>
      </c>
      <c r="U304" s="9"/>
      <c r="V304" s="9">
        <v>11000</v>
      </c>
      <c r="W304" s="9"/>
      <c r="X304" s="9"/>
      <c r="Y304" s="9"/>
      <c r="Z304" s="9"/>
      <c r="AA304" s="9"/>
      <c r="AB304" s="9"/>
      <c r="AC304" s="9"/>
      <c r="AD304" s="9"/>
      <c r="AE304" s="9"/>
      <c r="AF304" s="9"/>
      <c r="AG304" s="9"/>
      <c r="AH304" s="9"/>
      <c r="AI304" s="9"/>
      <c r="AJ304" s="9"/>
      <c r="AK304" s="9"/>
      <c r="AL304" s="9"/>
    </row>
    <row r="305" spans="1:38">
      <c r="B305" s="6" t="s">
        <v>98</v>
      </c>
      <c r="C305" s="7">
        <v>64</v>
      </c>
      <c r="D305" s="7">
        <v>1</v>
      </c>
      <c r="E305" s="8">
        <v>345400</v>
      </c>
      <c r="F305" s="9"/>
      <c r="G305" s="9">
        <v>50400</v>
      </c>
      <c r="H305" s="9"/>
      <c r="I305" s="9"/>
      <c r="J305" s="9"/>
      <c r="K305" s="9"/>
      <c r="L305" s="9"/>
      <c r="M305" s="9"/>
      <c r="N305" s="9"/>
      <c r="O305" s="9">
        <v>6400</v>
      </c>
      <c r="P305" s="9"/>
      <c r="Q305" s="9"/>
      <c r="R305" s="9">
        <v>3000</v>
      </c>
      <c r="S305" s="9"/>
      <c r="T305" s="9">
        <v>149800</v>
      </c>
      <c r="U305" s="9"/>
      <c r="V305" s="9">
        <v>7700</v>
      </c>
      <c r="W305" s="9"/>
      <c r="X305" s="9"/>
      <c r="Y305" s="9"/>
      <c r="Z305" s="9"/>
      <c r="AA305" s="9"/>
      <c r="AB305" s="9"/>
      <c r="AC305" s="9"/>
      <c r="AD305" s="9"/>
      <c r="AE305" s="9"/>
      <c r="AF305" s="9"/>
      <c r="AG305" s="9"/>
      <c r="AH305" s="9"/>
      <c r="AI305" s="9"/>
      <c r="AJ305" s="9"/>
      <c r="AK305" s="9"/>
      <c r="AL305" s="9"/>
    </row>
    <row r="306" spans="1:38">
      <c r="B306" s="6" t="s">
        <v>98</v>
      </c>
      <c r="C306" s="7">
        <v>64</v>
      </c>
      <c r="D306" s="7">
        <v>1</v>
      </c>
      <c r="E306" s="8">
        <v>341200</v>
      </c>
      <c r="F306" s="9"/>
      <c r="G306" s="9">
        <v>41400</v>
      </c>
      <c r="H306" s="9"/>
      <c r="I306" s="9"/>
      <c r="J306" s="9"/>
      <c r="K306" s="9"/>
      <c r="L306" s="9"/>
      <c r="M306" s="9"/>
      <c r="N306" s="9"/>
      <c r="O306" s="9">
        <v>7200</v>
      </c>
      <c r="P306" s="9"/>
      <c r="Q306" s="9"/>
      <c r="R306" s="9">
        <v>3200</v>
      </c>
      <c r="S306" s="9"/>
      <c r="T306" s="9">
        <v>155400</v>
      </c>
      <c r="U306" s="9"/>
      <c r="V306" s="9">
        <v>8000</v>
      </c>
      <c r="W306" s="9"/>
      <c r="X306" s="9"/>
      <c r="Y306" s="9"/>
      <c r="Z306" s="9"/>
      <c r="AA306" s="9"/>
      <c r="AB306" s="9"/>
      <c r="AC306" s="9"/>
      <c r="AD306" s="9"/>
      <c r="AE306" s="9"/>
      <c r="AF306" s="9"/>
      <c r="AG306" s="9"/>
      <c r="AH306" s="9"/>
      <c r="AI306" s="9"/>
      <c r="AJ306" s="9"/>
      <c r="AK306" s="9"/>
      <c r="AL306" s="9"/>
    </row>
    <row r="307" spans="1:38">
      <c r="B307" s="6" t="s">
        <v>98</v>
      </c>
      <c r="C307" s="7">
        <v>64</v>
      </c>
      <c r="D307" s="7">
        <v>1</v>
      </c>
      <c r="E307" s="8">
        <v>377200</v>
      </c>
      <c r="F307" s="9"/>
      <c r="G307" s="9">
        <v>46800</v>
      </c>
      <c r="H307" s="9"/>
      <c r="I307" s="9"/>
      <c r="J307" s="9"/>
      <c r="K307" s="9"/>
      <c r="L307" s="9"/>
      <c r="M307" s="9"/>
      <c r="N307" s="9"/>
      <c r="O307" s="9">
        <v>7600</v>
      </c>
      <c r="P307" s="9"/>
      <c r="Q307" s="9"/>
      <c r="R307" s="9">
        <v>3500</v>
      </c>
      <c r="S307" s="9"/>
      <c r="T307" s="9">
        <v>167300</v>
      </c>
      <c r="U307" s="9"/>
      <c r="V307" s="9">
        <v>7500</v>
      </c>
      <c r="W307" s="9"/>
      <c r="X307" s="9"/>
      <c r="Y307" s="9"/>
      <c r="Z307" s="9"/>
      <c r="AA307" s="9"/>
      <c r="AB307" s="9"/>
      <c r="AC307" s="9"/>
      <c r="AD307" s="9"/>
      <c r="AE307" s="9"/>
      <c r="AF307" s="9"/>
      <c r="AG307" s="9"/>
      <c r="AH307" s="9"/>
      <c r="AI307" s="9"/>
      <c r="AJ307" s="9"/>
      <c r="AK307" s="9"/>
      <c r="AL307" s="9"/>
    </row>
    <row r="308" spans="1:38">
      <c r="A308" s="7" t="s">
        <v>78</v>
      </c>
      <c r="B308" s="6" t="s">
        <v>98</v>
      </c>
      <c r="C308" s="7" t="s">
        <v>43</v>
      </c>
      <c r="D308" s="7">
        <v>1</v>
      </c>
      <c r="E308" s="8">
        <v>382103</v>
      </c>
      <c r="F308" s="10"/>
      <c r="G308" s="10"/>
      <c r="H308" s="9">
        <v>3739</v>
      </c>
      <c r="I308" s="9">
        <v>15392</v>
      </c>
      <c r="J308" s="9">
        <v>313493</v>
      </c>
      <c r="K308" s="9">
        <v>257</v>
      </c>
      <c r="L308" s="9"/>
      <c r="M308" s="9">
        <v>2750</v>
      </c>
      <c r="N308" s="9">
        <v>851</v>
      </c>
      <c r="O308" s="9">
        <v>12246</v>
      </c>
      <c r="P308" s="9">
        <v>12246</v>
      </c>
      <c r="Q308" s="9">
        <v>2018</v>
      </c>
      <c r="R308" s="9">
        <v>3779</v>
      </c>
      <c r="S308" s="9">
        <v>291592</v>
      </c>
      <c r="T308" s="9"/>
      <c r="U308" s="9">
        <v>53.6</v>
      </c>
      <c r="V308" s="9">
        <v>7987</v>
      </c>
      <c r="W308" s="9">
        <v>1739</v>
      </c>
      <c r="X308" s="9">
        <v>2078</v>
      </c>
      <c r="Y308" s="9">
        <v>1951</v>
      </c>
      <c r="Z308" s="9">
        <v>127</v>
      </c>
      <c r="AA308" s="9">
        <v>630</v>
      </c>
      <c r="AB308" s="9"/>
      <c r="AC308" s="9">
        <v>356</v>
      </c>
      <c r="AD308" s="9"/>
      <c r="AE308" s="9"/>
      <c r="AF308" s="9"/>
      <c r="AG308" s="9"/>
      <c r="AH308" s="9"/>
      <c r="AI308" s="9"/>
      <c r="AJ308" s="9"/>
      <c r="AK308" s="9"/>
      <c r="AL308" s="9"/>
    </row>
    <row r="309" spans="1:38" hidden="1">
      <c r="B309" s="6" t="s">
        <v>98</v>
      </c>
      <c r="C309" s="7" t="s">
        <v>40</v>
      </c>
      <c r="D309" s="7">
        <v>1</v>
      </c>
      <c r="E309" s="8">
        <v>364140</v>
      </c>
      <c r="F309" s="9"/>
      <c r="G309" s="9"/>
      <c r="H309" s="9"/>
      <c r="I309" s="9"/>
      <c r="J309" s="9"/>
      <c r="K309" s="9"/>
      <c r="L309" s="9"/>
      <c r="M309" s="9"/>
      <c r="N309" s="9"/>
      <c r="O309" s="9"/>
      <c r="P309" s="9"/>
      <c r="Q309" s="9"/>
      <c r="R309" s="9"/>
      <c r="S309" s="9">
        <v>266950</v>
      </c>
      <c r="T309" s="9">
        <v>163180</v>
      </c>
      <c r="U309" s="9"/>
      <c r="V309" s="9"/>
      <c r="W309" s="9"/>
      <c r="X309" s="9"/>
      <c r="Y309" s="9"/>
      <c r="Z309" s="9"/>
      <c r="AA309" s="9"/>
      <c r="AB309" s="9">
        <v>11030</v>
      </c>
      <c r="AC309" s="9">
        <v>290</v>
      </c>
      <c r="AD309" s="9"/>
      <c r="AE309" s="9"/>
      <c r="AF309" s="9"/>
      <c r="AG309" s="9"/>
      <c r="AH309" s="9"/>
      <c r="AI309" s="9"/>
      <c r="AJ309" s="9"/>
      <c r="AK309" s="9"/>
      <c r="AL309" s="9"/>
    </row>
    <row r="310" spans="1:38" hidden="1">
      <c r="B310" s="6" t="s">
        <v>98</v>
      </c>
      <c r="C310" s="7" t="s">
        <v>75</v>
      </c>
      <c r="D310" s="7">
        <v>1</v>
      </c>
      <c r="E310" s="8">
        <v>424700</v>
      </c>
      <c r="F310" s="9"/>
      <c r="G310" s="9"/>
      <c r="H310" s="9"/>
      <c r="I310" s="9"/>
      <c r="J310" s="9"/>
      <c r="K310" s="9"/>
      <c r="L310" s="9"/>
      <c r="M310" s="9"/>
      <c r="N310" s="9"/>
      <c r="O310" s="9">
        <v>10318</v>
      </c>
      <c r="P310" s="9"/>
      <c r="Q310" s="9"/>
      <c r="R310" s="9">
        <v>3544</v>
      </c>
      <c r="S310" s="9"/>
      <c r="T310" s="9"/>
      <c r="U310" s="9"/>
      <c r="V310" s="9"/>
      <c r="W310" s="9"/>
      <c r="X310" s="9"/>
      <c r="Y310" s="9"/>
      <c r="Z310" s="9"/>
      <c r="AA310" s="9"/>
      <c r="AB310" s="9"/>
      <c r="AC310" s="9"/>
      <c r="AD310" s="9"/>
      <c r="AE310" s="9">
        <v>1418.0000000000002</v>
      </c>
      <c r="AF310" s="9"/>
      <c r="AG310" s="9"/>
      <c r="AH310" s="9"/>
      <c r="AI310" s="9"/>
      <c r="AJ310" s="9"/>
      <c r="AK310" s="9"/>
      <c r="AL310" s="9"/>
    </row>
    <row r="311" spans="1:38" hidden="1">
      <c r="B311" s="6" t="s">
        <v>98</v>
      </c>
      <c r="C311" s="7" t="s">
        <v>75</v>
      </c>
      <c r="D311" s="7">
        <v>1</v>
      </c>
      <c r="E311" s="8">
        <v>347000</v>
      </c>
      <c r="F311" s="9"/>
      <c r="G311" s="9"/>
      <c r="H311" s="9"/>
      <c r="I311" s="9"/>
      <c r="J311" s="9"/>
      <c r="K311" s="9"/>
      <c r="L311" s="9"/>
      <c r="M311" s="9"/>
      <c r="N311" s="9"/>
      <c r="O311" s="9">
        <v>8746</v>
      </c>
      <c r="P311" s="9"/>
      <c r="Q311" s="9"/>
      <c r="R311" s="9">
        <v>3040</v>
      </c>
      <c r="S311" s="9"/>
      <c r="T311" s="9"/>
      <c r="U311" s="9"/>
      <c r="V311" s="9"/>
      <c r="W311" s="9"/>
      <c r="X311" s="9"/>
      <c r="Y311" s="9"/>
      <c r="Z311" s="9"/>
      <c r="AA311" s="9"/>
      <c r="AB311" s="9"/>
      <c r="AC311" s="9"/>
      <c r="AD311" s="9"/>
      <c r="AE311" s="9">
        <v>1145</v>
      </c>
      <c r="AF311" s="9"/>
      <c r="AG311" s="9"/>
      <c r="AH311" s="9"/>
      <c r="AI311" s="9"/>
      <c r="AJ311" s="9"/>
      <c r="AK311" s="9"/>
      <c r="AL311" s="9"/>
    </row>
    <row r="312" spans="1:38" hidden="1">
      <c r="B312" s="6" t="s">
        <v>98</v>
      </c>
      <c r="C312" s="7" t="s">
        <v>75</v>
      </c>
      <c r="D312" s="7">
        <v>1</v>
      </c>
      <c r="E312" s="8">
        <v>405400</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v>1382.0000000000002</v>
      </c>
      <c r="AF312" s="9"/>
      <c r="AG312" s="9"/>
      <c r="AH312" s="9"/>
      <c r="AI312" s="9"/>
      <c r="AJ312" s="9"/>
      <c r="AK312" s="9"/>
      <c r="AL312" s="9"/>
    </row>
    <row r="313" spans="1:38" hidden="1">
      <c r="B313" s="6" t="s">
        <v>98</v>
      </c>
      <c r="C313" s="7" t="s">
        <v>55</v>
      </c>
      <c r="D313" s="7">
        <v>6</v>
      </c>
      <c r="E313" s="8">
        <v>337300</v>
      </c>
      <c r="F313" s="9"/>
      <c r="G313" s="9">
        <v>46400</v>
      </c>
      <c r="H313" s="9"/>
      <c r="I313" s="9"/>
      <c r="J313" s="9"/>
      <c r="K313" s="9"/>
      <c r="L313" s="9"/>
      <c r="M313" s="9"/>
      <c r="N313" s="9"/>
      <c r="O313" s="9"/>
      <c r="P313" s="9"/>
      <c r="Q313" s="9"/>
      <c r="R313" s="9"/>
      <c r="S313" s="9">
        <v>238000</v>
      </c>
      <c r="T313" s="9">
        <v>147100</v>
      </c>
      <c r="U313" s="9"/>
      <c r="V313" s="9"/>
      <c r="W313" s="9"/>
      <c r="X313" s="9"/>
      <c r="Y313" s="9"/>
      <c r="Z313" s="9"/>
      <c r="AA313" s="9"/>
      <c r="AB313" s="9"/>
      <c r="AC313" s="9"/>
      <c r="AD313" s="9"/>
      <c r="AE313" s="9"/>
      <c r="AF313" s="9"/>
      <c r="AG313" s="9"/>
      <c r="AH313" s="9"/>
      <c r="AI313" s="9"/>
      <c r="AJ313" s="9"/>
      <c r="AK313" s="9"/>
      <c r="AL313" s="9"/>
    </row>
    <row r="314" spans="1:38" hidden="1">
      <c r="B314" s="6" t="s">
        <v>99</v>
      </c>
      <c r="C314" s="7">
        <v>34</v>
      </c>
      <c r="D314" s="7">
        <v>1</v>
      </c>
      <c r="E314" s="8">
        <v>195051.66931637519</v>
      </c>
      <c r="F314" s="9"/>
      <c r="G314" s="9"/>
      <c r="H314" s="9"/>
      <c r="I314" s="9"/>
      <c r="J314" s="9"/>
      <c r="K314" s="9"/>
      <c r="L314" s="9"/>
      <c r="M314" s="9"/>
      <c r="N314" s="9"/>
      <c r="O314" s="9"/>
      <c r="P314" s="9"/>
      <c r="Q314" s="9"/>
      <c r="R314" s="9"/>
      <c r="S314" s="9"/>
      <c r="T314" s="9"/>
      <c r="U314" s="9"/>
      <c r="V314" s="9"/>
      <c r="W314" s="9"/>
      <c r="X314" s="9"/>
      <c r="Y314" s="9"/>
      <c r="Z314" s="9"/>
      <c r="AA314" s="9"/>
      <c r="AB314" s="9">
        <v>10001</v>
      </c>
      <c r="AC314" s="9"/>
      <c r="AD314" s="9"/>
      <c r="AE314" s="9"/>
      <c r="AF314" s="9"/>
      <c r="AG314" s="9"/>
      <c r="AH314" s="9"/>
      <c r="AI314" s="9"/>
      <c r="AJ314" s="9"/>
      <c r="AK314" s="9"/>
      <c r="AL314" s="9"/>
    </row>
    <row r="315" spans="1:38" hidden="1">
      <c r="B315" s="6" t="s">
        <v>99</v>
      </c>
      <c r="C315" s="7">
        <v>53</v>
      </c>
      <c r="D315" s="7">
        <v>1</v>
      </c>
      <c r="E315" s="8">
        <v>191340.58100000001</v>
      </c>
      <c r="F315" s="9">
        <v>5171.17</v>
      </c>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v>12.32</v>
      </c>
      <c r="AG315" s="9">
        <v>14.88</v>
      </c>
      <c r="AH315" s="9">
        <v>9.24</v>
      </c>
      <c r="AI315" s="9"/>
      <c r="AJ315" s="9"/>
      <c r="AK315" s="9"/>
      <c r="AL315" s="9"/>
    </row>
    <row r="316" spans="1:38">
      <c r="A316" s="7" t="s">
        <v>42</v>
      </c>
      <c r="B316" s="6" t="s">
        <v>99</v>
      </c>
      <c r="C316" s="7" t="s">
        <v>43</v>
      </c>
      <c r="D316" s="7">
        <v>2</v>
      </c>
      <c r="E316" s="8">
        <v>190957</v>
      </c>
      <c r="F316" s="10"/>
      <c r="G316" s="9">
        <v>18683</v>
      </c>
      <c r="H316" s="9">
        <v>2711</v>
      </c>
      <c r="I316" s="9">
        <v>9280</v>
      </c>
      <c r="J316" s="9">
        <v>154987</v>
      </c>
      <c r="K316" s="9">
        <v>287</v>
      </c>
      <c r="L316" s="9"/>
      <c r="M316" s="9">
        <v>2111</v>
      </c>
      <c r="N316" s="9">
        <v>559</v>
      </c>
      <c r="O316" s="9">
        <v>7182</v>
      </c>
      <c r="P316" s="9">
        <v>7182</v>
      </c>
      <c r="Q316" s="9">
        <v>1309</v>
      </c>
      <c r="R316" s="9">
        <v>3398</v>
      </c>
      <c r="S316" s="9">
        <v>140142</v>
      </c>
      <c r="T316" s="9"/>
      <c r="U316" s="9">
        <v>65.400000000000006</v>
      </c>
      <c r="V316" s="9">
        <v>4788</v>
      </c>
      <c r="W316" s="9">
        <v>1076</v>
      </c>
      <c r="X316" s="9">
        <v>1241</v>
      </c>
      <c r="Y316" s="9">
        <v>1147</v>
      </c>
      <c r="Z316" s="9">
        <v>94.7</v>
      </c>
      <c r="AA316" s="9">
        <v>601</v>
      </c>
      <c r="AB316" s="9"/>
      <c r="AC316" s="9"/>
      <c r="AD316" s="9"/>
      <c r="AE316" s="9"/>
      <c r="AF316" s="9"/>
      <c r="AG316" s="9"/>
      <c r="AH316" s="9"/>
      <c r="AI316" s="9"/>
      <c r="AJ316" s="9"/>
      <c r="AK316" s="9"/>
      <c r="AL316" s="9"/>
    </row>
    <row r="317" spans="1:38" hidden="1">
      <c r="B317" s="6" t="s">
        <v>100</v>
      </c>
      <c r="C317" s="7">
        <v>61</v>
      </c>
      <c r="D317" s="7">
        <v>1</v>
      </c>
      <c r="E317" s="8">
        <v>127400</v>
      </c>
      <c r="F317" s="9"/>
      <c r="G317" s="9">
        <v>12400</v>
      </c>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spans="1:38" hidden="1">
      <c r="B318" s="6" t="s">
        <v>100</v>
      </c>
      <c r="C318" s="7">
        <v>61</v>
      </c>
      <c r="D318" s="7">
        <v>1</v>
      </c>
      <c r="E318" s="8">
        <v>141900</v>
      </c>
      <c r="F318" s="9"/>
      <c r="G318" s="9">
        <v>12800</v>
      </c>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spans="1:38" hidden="1">
      <c r="B319" s="6" t="s">
        <v>100</v>
      </c>
      <c r="C319" s="7">
        <v>61</v>
      </c>
      <c r="D319" s="7">
        <v>1</v>
      </c>
      <c r="E319" s="8">
        <v>150700</v>
      </c>
      <c r="F319" s="9"/>
      <c r="G319" s="9">
        <v>15300</v>
      </c>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spans="1:38" hidden="1">
      <c r="B320" s="6" t="s">
        <v>100</v>
      </c>
      <c r="C320" s="7">
        <v>61</v>
      </c>
      <c r="D320" s="7">
        <v>1</v>
      </c>
      <c r="E320" s="8">
        <v>159200</v>
      </c>
      <c r="F320" s="9"/>
      <c r="G320" s="9">
        <v>14800</v>
      </c>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spans="1:38" hidden="1">
      <c r="B321" s="6" t="s">
        <v>100</v>
      </c>
      <c r="C321" s="7" t="s">
        <v>55</v>
      </c>
      <c r="D321" s="7">
        <v>2</v>
      </c>
      <c r="E321" s="8">
        <v>143300</v>
      </c>
      <c r="F321" s="9"/>
      <c r="G321" s="9">
        <v>13700</v>
      </c>
      <c r="H321" s="9"/>
      <c r="I321" s="9"/>
      <c r="J321" s="9"/>
      <c r="K321" s="9"/>
      <c r="L321" s="9"/>
      <c r="M321" s="9"/>
      <c r="N321" s="9"/>
      <c r="O321" s="9"/>
      <c r="P321" s="9"/>
      <c r="Q321" s="9"/>
      <c r="R321" s="9"/>
      <c r="S321" s="9">
        <v>100100</v>
      </c>
      <c r="T321" s="9">
        <v>65000</v>
      </c>
      <c r="U321" s="9"/>
      <c r="V321" s="9"/>
      <c r="W321" s="9"/>
      <c r="X321" s="9"/>
      <c r="Y321" s="9"/>
      <c r="Z321" s="9"/>
      <c r="AA321" s="9"/>
      <c r="AB321" s="9"/>
      <c r="AC321" s="9"/>
      <c r="AD321" s="9"/>
      <c r="AE321" s="9"/>
      <c r="AF321" s="9"/>
      <c r="AG321" s="9"/>
      <c r="AH321" s="9"/>
      <c r="AI321" s="9"/>
      <c r="AJ321" s="9"/>
      <c r="AK321" s="9"/>
      <c r="AL321" s="9"/>
    </row>
    <row r="322" spans="1:38" hidden="1">
      <c r="B322" s="6" t="s">
        <v>101</v>
      </c>
      <c r="C322" s="7" t="s">
        <v>40</v>
      </c>
      <c r="D322" s="7">
        <v>1</v>
      </c>
      <c r="E322" s="8">
        <v>159110</v>
      </c>
      <c r="F322" s="9"/>
      <c r="G322" s="9"/>
      <c r="H322" s="9"/>
      <c r="I322" s="9"/>
      <c r="J322" s="9"/>
      <c r="K322" s="9"/>
      <c r="L322" s="9"/>
      <c r="M322" s="9"/>
      <c r="N322" s="9"/>
      <c r="O322" s="9"/>
      <c r="P322" s="9"/>
      <c r="Q322" s="9"/>
      <c r="R322" s="9"/>
      <c r="S322" s="9">
        <v>118780</v>
      </c>
      <c r="T322" s="9">
        <v>79100</v>
      </c>
      <c r="U322" s="9"/>
      <c r="V322" s="9"/>
      <c r="W322" s="9"/>
      <c r="X322" s="9"/>
      <c r="Y322" s="9"/>
      <c r="Z322" s="9"/>
      <c r="AA322" s="9"/>
      <c r="AB322" s="9">
        <v>7700</v>
      </c>
      <c r="AC322" s="9">
        <v>220</v>
      </c>
      <c r="AD322" s="9"/>
      <c r="AE322" s="9"/>
      <c r="AF322" s="9"/>
      <c r="AG322" s="9"/>
      <c r="AH322" s="9"/>
      <c r="AI322" s="9"/>
      <c r="AJ322" s="9"/>
      <c r="AK322" s="9"/>
      <c r="AL322" s="9"/>
    </row>
    <row r="323" spans="1:38" hidden="1">
      <c r="B323" s="6" t="s">
        <v>102</v>
      </c>
      <c r="C323" s="7">
        <v>34</v>
      </c>
      <c r="D323" s="7">
        <v>2</v>
      </c>
      <c r="E323" s="8">
        <v>13662.013662013662</v>
      </c>
      <c r="F323" s="9"/>
      <c r="G323" s="9"/>
      <c r="H323" s="9"/>
      <c r="I323" s="9"/>
      <c r="J323" s="9"/>
      <c r="K323" s="9"/>
      <c r="L323" s="9"/>
      <c r="M323" s="9"/>
      <c r="N323" s="9"/>
      <c r="O323" s="9"/>
      <c r="P323" s="9"/>
      <c r="Q323" s="9"/>
      <c r="R323" s="9"/>
      <c r="S323" s="9"/>
      <c r="T323" s="9"/>
      <c r="U323" s="9"/>
      <c r="V323" s="9"/>
      <c r="W323" s="9"/>
      <c r="X323" s="9"/>
      <c r="Y323" s="9"/>
      <c r="Z323" s="9"/>
      <c r="AA323" s="9"/>
      <c r="AB323" s="9">
        <v>495</v>
      </c>
      <c r="AC323" s="9"/>
      <c r="AD323" s="9"/>
      <c r="AE323" s="9"/>
      <c r="AF323" s="9"/>
      <c r="AG323" s="9"/>
      <c r="AH323" s="9"/>
      <c r="AI323" s="9"/>
      <c r="AJ323" s="9"/>
      <c r="AK323" s="9"/>
      <c r="AL323" s="9"/>
    </row>
    <row r="324" spans="1:38" hidden="1">
      <c r="B324" s="6" t="s">
        <v>102</v>
      </c>
      <c r="C324" s="7">
        <v>43</v>
      </c>
      <c r="D324" s="7">
        <v>1</v>
      </c>
      <c r="E324" s="8">
        <v>11100</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v>32</v>
      </c>
      <c r="AJ324" s="9">
        <v>20</v>
      </c>
      <c r="AK324" s="9">
        <v>8</v>
      </c>
      <c r="AL324" s="9">
        <v>62</v>
      </c>
    </row>
    <row r="325" spans="1:38" hidden="1">
      <c r="B325" s="6" t="s">
        <v>102</v>
      </c>
      <c r="C325" s="7">
        <v>53</v>
      </c>
      <c r="D325" s="7">
        <v>2</v>
      </c>
      <c r="E325" s="8">
        <v>13212</v>
      </c>
      <c r="F325" s="9">
        <v>679.74</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v>2.2200000000000002</v>
      </c>
      <c r="AG325" s="9">
        <v>2.58</v>
      </c>
      <c r="AH325" s="9">
        <v>2.56</v>
      </c>
      <c r="AI325" s="9"/>
      <c r="AJ325" s="9"/>
      <c r="AK325" s="9"/>
      <c r="AL325" s="9"/>
    </row>
    <row r="326" spans="1:38">
      <c r="A326" s="7" t="s">
        <v>42</v>
      </c>
      <c r="B326" s="6" t="s">
        <v>102</v>
      </c>
      <c r="C326" s="7" t="s">
        <v>43</v>
      </c>
      <c r="D326" s="7">
        <v>2</v>
      </c>
      <c r="E326" s="8">
        <v>13212</v>
      </c>
      <c r="F326" s="10"/>
      <c r="G326" s="9">
        <v>1699</v>
      </c>
      <c r="H326" s="9">
        <v>391</v>
      </c>
      <c r="I326" s="9">
        <v>1024</v>
      </c>
      <c r="J326" s="9">
        <v>9418</v>
      </c>
      <c r="K326" s="9">
        <v>310</v>
      </c>
      <c r="L326" s="9">
        <v>2.74</v>
      </c>
      <c r="M326" s="9">
        <v>661</v>
      </c>
      <c r="N326" s="9">
        <v>114</v>
      </c>
      <c r="O326" s="9">
        <v>712</v>
      </c>
      <c r="P326" s="9">
        <v>712</v>
      </c>
      <c r="Q326" s="9">
        <v>328</v>
      </c>
      <c r="R326" s="9">
        <v>607</v>
      </c>
      <c r="S326" s="9">
        <v>6683</v>
      </c>
      <c r="T326" s="9"/>
      <c r="U326" s="9">
        <v>10.4</v>
      </c>
      <c r="V326" s="9">
        <v>587</v>
      </c>
      <c r="W326" s="9">
        <v>160</v>
      </c>
      <c r="X326" s="9">
        <v>116</v>
      </c>
      <c r="Y326" s="9">
        <v>107</v>
      </c>
      <c r="Z326" s="9">
        <v>8.19</v>
      </c>
      <c r="AA326" s="9">
        <v>19.5</v>
      </c>
      <c r="AB326" s="9"/>
      <c r="AC326" s="9">
        <v>24.3</v>
      </c>
      <c r="AD326" s="9"/>
      <c r="AE326" s="9"/>
      <c r="AF326" s="9"/>
      <c r="AG326" s="9"/>
      <c r="AH326" s="9"/>
      <c r="AI326" s="9"/>
      <c r="AJ326" s="9"/>
      <c r="AK326" s="9"/>
      <c r="AL326" s="9"/>
    </row>
    <row r="327" spans="1:38" hidden="1">
      <c r="B327" s="6" t="s">
        <v>102</v>
      </c>
      <c r="C327" s="7" t="s">
        <v>40</v>
      </c>
      <c r="D327" s="7">
        <v>1</v>
      </c>
      <c r="E327" s="8">
        <v>10160</v>
      </c>
      <c r="F327" s="9"/>
      <c r="G327" s="9"/>
      <c r="H327" s="9"/>
      <c r="I327" s="9"/>
      <c r="J327" s="9"/>
      <c r="K327" s="9"/>
      <c r="L327" s="9"/>
      <c r="M327" s="9"/>
      <c r="N327" s="9"/>
      <c r="O327" s="9"/>
      <c r="P327" s="9"/>
      <c r="Q327" s="9"/>
      <c r="R327" s="9"/>
      <c r="S327" s="9">
        <v>4550</v>
      </c>
      <c r="T327" s="9">
        <v>3910</v>
      </c>
      <c r="U327" s="9"/>
      <c r="V327" s="9"/>
      <c r="W327" s="9"/>
      <c r="X327" s="9"/>
      <c r="Y327" s="9"/>
      <c r="Z327" s="9"/>
      <c r="AA327" s="9"/>
      <c r="AB327" s="9">
        <v>330</v>
      </c>
      <c r="AC327" s="9">
        <v>20</v>
      </c>
      <c r="AD327" s="9"/>
      <c r="AE327" s="9"/>
      <c r="AF327" s="9"/>
      <c r="AG327" s="9"/>
      <c r="AH327" s="9"/>
      <c r="AI327" s="9"/>
      <c r="AJ327" s="9"/>
      <c r="AK327" s="9"/>
      <c r="AL327" s="9"/>
    </row>
    <row r="328" spans="1:38" hidden="1">
      <c r="B328" s="6" t="s">
        <v>103</v>
      </c>
      <c r="C328" s="7">
        <v>34</v>
      </c>
      <c r="D328" s="7">
        <v>2</v>
      </c>
      <c r="E328" s="8">
        <v>75308.501779090016</v>
      </c>
      <c r="F328" s="9"/>
      <c r="G328" s="9"/>
      <c r="H328" s="9"/>
      <c r="I328" s="9"/>
      <c r="J328" s="9"/>
      <c r="K328" s="9"/>
      <c r="L328" s="9"/>
      <c r="M328" s="9"/>
      <c r="N328" s="9"/>
      <c r="O328" s="9"/>
      <c r="P328" s="9"/>
      <c r="Q328" s="9"/>
      <c r="R328" s="9"/>
      <c r="S328" s="9"/>
      <c r="T328" s="9"/>
      <c r="U328" s="9"/>
      <c r="V328" s="9"/>
      <c r="W328" s="9"/>
      <c r="X328" s="9"/>
      <c r="Y328" s="9"/>
      <c r="Z328" s="9"/>
      <c r="AA328" s="9"/>
      <c r="AB328" s="9">
        <v>3053</v>
      </c>
      <c r="AC328" s="9"/>
      <c r="AD328" s="9"/>
      <c r="AE328" s="9"/>
      <c r="AF328" s="9"/>
      <c r="AG328" s="9"/>
      <c r="AH328" s="9"/>
      <c r="AI328" s="9"/>
      <c r="AJ328" s="9"/>
      <c r="AK328" s="9"/>
      <c r="AL328" s="9"/>
    </row>
    <row r="329" spans="1:38" hidden="1">
      <c r="B329" s="6" t="s">
        <v>103</v>
      </c>
      <c r="C329" s="7">
        <v>43</v>
      </c>
      <c r="D329" s="7">
        <v>1</v>
      </c>
      <c r="E329" s="8">
        <v>72394</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v>144</v>
      </c>
      <c r="AJ329" s="9">
        <v>232</v>
      </c>
      <c r="AK329" s="9">
        <v>106</v>
      </c>
      <c r="AL329" s="9">
        <v>482</v>
      </c>
    </row>
    <row r="330" spans="1:38" hidden="1">
      <c r="B330" s="6" t="s">
        <v>103</v>
      </c>
      <c r="C330" s="7">
        <v>53</v>
      </c>
      <c r="D330" s="7">
        <v>2</v>
      </c>
      <c r="E330" s="8">
        <v>73818.356499999994</v>
      </c>
      <c r="F330" s="9">
        <v>2007.11</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v>4.46</v>
      </c>
      <c r="AG330" s="9">
        <v>4.5199999999999996</v>
      </c>
      <c r="AH330" s="9">
        <v>3.02</v>
      </c>
      <c r="AI330" s="9"/>
      <c r="AJ330" s="9"/>
      <c r="AK330" s="9"/>
      <c r="AL330" s="9"/>
    </row>
    <row r="331" spans="1:38">
      <c r="A331" s="7" t="s">
        <v>42</v>
      </c>
      <c r="B331" s="6" t="s">
        <v>103</v>
      </c>
      <c r="C331" s="7" t="s">
        <v>43</v>
      </c>
      <c r="D331" s="7">
        <v>2</v>
      </c>
      <c r="E331" s="8">
        <v>73818</v>
      </c>
      <c r="F331" s="10"/>
      <c r="G331" s="9">
        <v>8648</v>
      </c>
      <c r="H331" s="9">
        <v>1333</v>
      </c>
      <c r="I331" s="9">
        <v>3945</v>
      </c>
      <c r="J331" s="9">
        <v>57885</v>
      </c>
      <c r="K331" s="9">
        <v>51.3</v>
      </c>
      <c r="L331" s="9"/>
      <c r="M331" s="9">
        <v>937</v>
      </c>
      <c r="N331" s="9">
        <v>288</v>
      </c>
      <c r="O331" s="9">
        <v>3217</v>
      </c>
      <c r="P331" s="9">
        <v>3217</v>
      </c>
      <c r="Q331" s="9">
        <v>814</v>
      </c>
      <c r="R331" s="9">
        <v>1671</v>
      </c>
      <c r="S331" s="9">
        <v>50906</v>
      </c>
      <c r="T331" s="9"/>
      <c r="U331" s="9">
        <v>22.3</v>
      </c>
      <c r="V331" s="9">
        <v>2164</v>
      </c>
      <c r="W331" s="9">
        <v>484</v>
      </c>
      <c r="X331" s="9">
        <v>553</v>
      </c>
      <c r="Y331" s="9">
        <v>521</v>
      </c>
      <c r="Z331" s="9">
        <v>31.9</v>
      </c>
      <c r="AA331" s="9">
        <v>201</v>
      </c>
      <c r="AB331" s="9"/>
      <c r="AC331" s="9">
        <v>128</v>
      </c>
      <c r="AD331" s="9">
        <v>458</v>
      </c>
      <c r="AE331" s="9">
        <v>479</v>
      </c>
      <c r="AF331" s="9"/>
      <c r="AG331" s="9"/>
      <c r="AH331" s="9"/>
      <c r="AI331" s="9"/>
      <c r="AJ331" s="9"/>
      <c r="AK331" s="9"/>
      <c r="AL331" s="9"/>
    </row>
    <row r="332" spans="1:38" hidden="1">
      <c r="B332" s="6" t="s">
        <v>104</v>
      </c>
      <c r="C332" s="7">
        <v>34</v>
      </c>
      <c r="D332" s="7">
        <v>1</v>
      </c>
      <c r="E332" s="8">
        <v>33704.664852205839</v>
      </c>
      <c r="F332" s="9"/>
      <c r="G332" s="9"/>
      <c r="H332" s="9"/>
      <c r="I332" s="9"/>
      <c r="J332" s="9"/>
      <c r="K332" s="9"/>
      <c r="L332" s="9"/>
      <c r="M332" s="9"/>
      <c r="N332" s="9"/>
      <c r="O332" s="9"/>
      <c r="P332" s="9"/>
      <c r="Q332" s="9"/>
      <c r="R332" s="9"/>
      <c r="S332" s="9"/>
      <c r="T332" s="9"/>
      <c r="U332" s="9"/>
      <c r="V332" s="9"/>
      <c r="W332" s="9"/>
      <c r="X332" s="9"/>
      <c r="Y332" s="9"/>
      <c r="Z332" s="9"/>
      <c r="AA332" s="9"/>
      <c r="AB332" s="9">
        <v>1679</v>
      </c>
      <c r="AC332" s="9"/>
      <c r="AD332" s="9"/>
      <c r="AE332" s="9"/>
      <c r="AF332" s="9"/>
      <c r="AG332" s="9"/>
      <c r="AH332" s="9"/>
      <c r="AI332" s="9"/>
      <c r="AJ332" s="9"/>
      <c r="AK332" s="9"/>
      <c r="AL332" s="9"/>
    </row>
    <row r="333" spans="1:38" hidden="1">
      <c r="B333" s="6" t="s">
        <v>104</v>
      </c>
      <c r="C333" s="7">
        <v>53</v>
      </c>
      <c r="D333" s="7">
        <v>2</v>
      </c>
      <c r="E333" s="8">
        <v>32867</v>
      </c>
      <c r="F333" s="9">
        <v>1008.88</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v>2.64</v>
      </c>
      <c r="AG333" s="9">
        <v>2.68</v>
      </c>
      <c r="AH333" s="9">
        <v>2.72</v>
      </c>
      <c r="AI333" s="9"/>
      <c r="AJ333" s="9"/>
      <c r="AK333" s="9"/>
      <c r="AL333" s="9"/>
    </row>
    <row r="334" spans="1:38" hidden="1">
      <c r="A334" s="7" t="s">
        <v>42</v>
      </c>
      <c r="B334" s="6" t="s">
        <v>104</v>
      </c>
      <c r="C334" s="7" t="s">
        <v>43</v>
      </c>
      <c r="D334" s="7">
        <v>2</v>
      </c>
      <c r="E334" s="8">
        <v>32867</v>
      </c>
      <c r="F334" s="10"/>
      <c r="G334" s="9">
        <v>3908</v>
      </c>
      <c r="H334" s="9">
        <v>745</v>
      </c>
      <c r="I334" s="9">
        <v>2285</v>
      </c>
      <c r="J334" s="9">
        <v>24920</v>
      </c>
      <c r="K334" s="9">
        <v>34.799999999999997</v>
      </c>
      <c r="L334" s="9">
        <v>0.84599999999999997</v>
      </c>
      <c r="M334" s="9">
        <v>675</v>
      </c>
      <c r="N334" s="9">
        <v>140</v>
      </c>
      <c r="O334" s="9">
        <v>1918</v>
      </c>
      <c r="P334" s="9">
        <v>1918</v>
      </c>
      <c r="Q334" s="9">
        <v>289</v>
      </c>
      <c r="R334" s="9">
        <v>834</v>
      </c>
      <c r="S334" s="9">
        <v>21028</v>
      </c>
      <c r="T334" s="9"/>
      <c r="U334" s="9"/>
      <c r="V334" s="9"/>
      <c r="W334" s="9"/>
      <c r="X334" s="9"/>
      <c r="Y334" s="9"/>
      <c r="Z334" s="9"/>
      <c r="AA334" s="9"/>
      <c r="AB334" s="9"/>
      <c r="AC334" s="9">
        <v>72.3</v>
      </c>
      <c r="AD334" s="9"/>
      <c r="AE334" s="9"/>
      <c r="AF334" s="9"/>
      <c r="AG334" s="9"/>
      <c r="AH334" s="9"/>
      <c r="AI334" s="9"/>
      <c r="AJ334" s="9"/>
      <c r="AK334" s="9"/>
      <c r="AL334" s="9"/>
    </row>
    <row r="335" spans="1:38" hidden="1">
      <c r="B335" s="6" t="s">
        <v>105</v>
      </c>
      <c r="C335" s="7">
        <v>43</v>
      </c>
      <c r="D335" s="7">
        <v>1</v>
      </c>
      <c r="E335" s="8">
        <v>28958</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v>80</v>
      </c>
      <c r="AJ335" s="9">
        <v>270</v>
      </c>
      <c r="AK335" s="9">
        <v>208</v>
      </c>
      <c r="AL335" s="9">
        <v>558</v>
      </c>
    </row>
    <row r="336" spans="1:38" hidden="1">
      <c r="B336" s="6" t="s">
        <v>106</v>
      </c>
      <c r="C336" s="7">
        <v>43</v>
      </c>
      <c r="D336" s="7">
        <v>1</v>
      </c>
      <c r="E336" s="8">
        <v>345560</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v>452</v>
      </c>
      <c r="AJ336" s="9">
        <v>1274</v>
      </c>
      <c r="AK336" s="9">
        <v>677.99999999999989</v>
      </c>
      <c r="AL336" s="9">
        <v>2403</v>
      </c>
    </row>
    <row r="337" spans="2:38" hidden="1">
      <c r="B337" s="6" t="s">
        <v>106</v>
      </c>
      <c r="C337" s="7">
        <v>43</v>
      </c>
      <c r="D337" s="7">
        <v>1</v>
      </c>
      <c r="E337" s="8">
        <v>322200</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v>342</v>
      </c>
      <c r="AJ337" s="9">
        <v>1154</v>
      </c>
      <c r="AK337" s="9">
        <v>652</v>
      </c>
      <c r="AL337" s="9">
        <v>2224</v>
      </c>
    </row>
    <row r="338" spans="2:38" hidden="1">
      <c r="B338" s="6" t="s">
        <v>107</v>
      </c>
      <c r="C338" s="7">
        <v>43</v>
      </c>
      <c r="D338" s="7">
        <v>1</v>
      </c>
      <c r="E338" s="8">
        <v>362930</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v>626</v>
      </c>
      <c r="AJ338" s="9">
        <v>1994</v>
      </c>
      <c r="AK338" s="9">
        <v>948</v>
      </c>
      <c r="AL338" s="9">
        <v>3568</v>
      </c>
    </row>
    <row r="339" spans="2:38" hidden="1">
      <c r="B339" s="6" t="s">
        <v>107</v>
      </c>
      <c r="C339" s="7">
        <v>43</v>
      </c>
      <c r="D339" s="7">
        <v>1</v>
      </c>
      <c r="E339" s="8">
        <v>333010</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v>398</v>
      </c>
      <c r="AJ339" s="9">
        <v>2114</v>
      </c>
      <c r="AK339" s="9">
        <v>376</v>
      </c>
      <c r="AL339" s="9">
        <v>3010</v>
      </c>
    </row>
    <row r="340" spans="2:38" hidden="1">
      <c r="B340" s="6" t="s">
        <v>107</v>
      </c>
      <c r="C340" s="7">
        <v>53</v>
      </c>
      <c r="D340" s="7">
        <v>3</v>
      </c>
      <c r="E340" s="8">
        <v>328966.66666666669</v>
      </c>
      <c r="F340" s="9">
        <v>5172.05</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v>12.62</v>
      </c>
      <c r="AG340" s="9">
        <v>25.64</v>
      </c>
      <c r="AH340" s="9">
        <v>24.22</v>
      </c>
      <c r="AI340" s="9"/>
      <c r="AJ340" s="9"/>
      <c r="AK340" s="9"/>
      <c r="AL340" s="9"/>
    </row>
    <row r="341" spans="2:38" hidden="1">
      <c r="B341" s="6" t="s">
        <v>107</v>
      </c>
      <c r="C341" s="7">
        <v>59</v>
      </c>
      <c r="D341" s="7">
        <v>2</v>
      </c>
      <c r="E341" s="8">
        <v>308500</v>
      </c>
      <c r="F341" s="9">
        <v>5500</v>
      </c>
      <c r="G341" s="9">
        <v>42900</v>
      </c>
      <c r="H341" s="9">
        <v>4000</v>
      </c>
      <c r="I341" s="9">
        <v>13500</v>
      </c>
      <c r="J341" s="9">
        <v>238300</v>
      </c>
      <c r="K341" s="9"/>
      <c r="L341" s="9"/>
      <c r="M341" s="9"/>
      <c r="N341" s="9">
        <v>600</v>
      </c>
      <c r="O341" s="9">
        <v>11500</v>
      </c>
      <c r="P341" s="9"/>
      <c r="Q341" s="9"/>
      <c r="R341" s="9">
        <v>2700</v>
      </c>
      <c r="S341" s="9">
        <v>219800</v>
      </c>
      <c r="T341" s="9">
        <v>138300</v>
      </c>
      <c r="U341" s="9"/>
      <c r="V341" s="9"/>
      <c r="W341" s="9"/>
      <c r="X341" s="9"/>
      <c r="Y341" s="9"/>
      <c r="Z341" s="9"/>
      <c r="AA341" s="9"/>
      <c r="AB341" s="9">
        <v>8400</v>
      </c>
      <c r="AC341" s="9"/>
      <c r="AD341" s="9">
        <v>1000</v>
      </c>
      <c r="AE341" s="9">
        <v>1400</v>
      </c>
      <c r="AF341" s="9"/>
      <c r="AG341" s="9"/>
      <c r="AH341" s="9"/>
      <c r="AI341" s="9"/>
      <c r="AJ341" s="9"/>
      <c r="AK341" s="9"/>
      <c r="AL341" s="9"/>
    </row>
    <row r="342" spans="2:38" hidden="1">
      <c r="B342" s="6" t="s">
        <v>107</v>
      </c>
      <c r="C342" s="7">
        <v>60</v>
      </c>
      <c r="D342" s="7">
        <v>1</v>
      </c>
      <c r="E342" s="8">
        <v>333000</v>
      </c>
      <c r="F342" s="9"/>
      <c r="G342" s="9"/>
      <c r="H342" s="9"/>
      <c r="I342" s="9"/>
      <c r="J342" s="9"/>
      <c r="K342" s="9"/>
      <c r="L342" s="9"/>
      <c r="M342" s="9"/>
      <c r="N342" s="9"/>
      <c r="O342" s="9"/>
      <c r="P342" s="9"/>
      <c r="Q342" s="9"/>
      <c r="R342" s="9"/>
      <c r="S342" s="9">
        <v>240300</v>
      </c>
      <c r="T342" s="9"/>
      <c r="U342" s="9"/>
      <c r="V342" s="9"/>
      <c r="W342" s="9"/>
      <c r="X342" s="9"/>
      <c r="Y342" s="9"/>
      <c r="Z342" s="9"/>
      <c r="AA342" s="9"/>
      <c r="AB342" s="9">
        <v>9400</v>
      </c>
      <c r="AC342" s="9"/>
      <c r="AD342" s="9"/>
      <c r="AE342" s="9"/>
      <c r="AF342" s="9"/>
      <c r="AG342" s="9"/>
      <c r="AH342" s="9"/>
      <c r="AI342" s="9"/>
      <c r="AJ342" s="9"/>
      <c r="AK342" s="9"/>
      <c r="AL342" s="9"/>
    </row>
    <row r="343" spans="2:38" hidden="1">
      <c r="B343" s="6" t="s">
        <v>107</v>
      </c>
      <c r="C343" s="7">
        <v>60</v>
      </c>
      <c r="D343" s="7">
        <v>1</v>
      </c>
      <c r="E343" s="8">
        <v>356200</v>
      </c>
      <c r="F343" s="9"/>
      <c r="G343" s="9"/>
      <c r="H343" s="9"/>
      <c r="I343" s="9"/>
      <c r="J343" s="9"/>
      <c r="K343" s="9"/>
      <c r="L343" s="9"/>
      <c r="M343" s="9"/>
      <c r="N343" s="9"/>
      <c r="O343" s="9"/>
      <c r="P343" s="9"/>
      <c r="Q343" s="9"/>
      <c r="R343" s="9"/>
      <c r="S343" s="9">
        <v>268500</v>
      </c>
      <c r="T343" s="9"/>
      <c r="U343" s="9"/>
      <c r="V343" s="9"/>
      <c r="W343" s="9"/>
      <c r="X343" s="9"/>
      <c r="Y343" s="9"/>
      <c r="Z343" s="9"/>
      <c r="AA343" s="9"/>
      <c r="AB343" s="9">
        <v>7000</v>
      </c>
      <c r="AC343" s="9"/>
      <c r="AD343" s="9"/>
      <c r="AE343" s="9"/>
      <c r="AF343" s="9"/>
      <c r="AG343" s="9"/>
      <c r="AH343" s="9"/>
      <c r="AI343" s="9"/>
      <c r="AJ343" s="9"/>
      <c r="AK343" s="9"/>
      <c r="AL343" s="9"/>
    </row>
    <row r="344" spans="2:38" hidden="1">
      <c r="B344" s="6" t="s">
        <v>107</v>
      </c>
      <c r="C344" s="7">
        <v>60</v>
      </c>
      <c r="D344" s="7">
        <v>1</v>
      </c>
      <c r="E344" s="8">
        <v>424700</v>
      </c>
      <c r="F344" s="9"/>
      <c r="G344" s="9"/>
      <c r="H344" s="9"/>
      <c r="I344" s="9"/>
      <c r="J344" s="9"/>
      <c r="K344" s="9"/>
      <c r="L344" s="9"/>
      <c r="M344" s="9"/>
      <c r="N344" s="9"/>
      <c r="O344" s="9"/>
      <c r="P344" s="9"/>
      <c r="Q344" s="9"/>
      <c r="R344" s="9"/>
      <c r="S344" s="9">
        <v>298900</v>
      </c>
      <c r="T344" s="9"/>
      <c r="U344" s="9"/>
      <c r="V344" s="9"/>
      <c r="W344" s="9"/>
      <c r="X344" s="9"/>
      <c r="Y344" s="9"/>
      <c r="Z344" s="9"/>
      <c r="AA344" s="9"/>
      <c r="AB344" s="9">
        <v>8400</v>
      </c>
      <c r="AC344" s="9"/>
      <c r="AD344" s="9"/>
      <c r="AE344" s="9"/>
      <c r="AF344" s="9"/>
      <c r="AG344" s="9"/>
      <c r="AH344" s="9"/>
      <c r="AI344" s="9"/>
      <c r="AJ344" s="9"/>
      <c r="AK344" s="9"/>
      <c r="AL344" s="9"/>
    </row>
    <row r="345" spans="2:38" hidden="1">
      <c r="B345" s="6" t="s">
        <v>107</v>
      </c>
      <c r="C345" s="7">
        <v>60</v>
      </c>
      <c r="D345" s="11">
        <v>3</v>
      </c>
      <c r="E345" s="8">
        <v>371300</v>
      </c>
      <c r="F345" s="9"/>
      <c r="G345" s="9"/>
      <c r="H345" s="9"/>
      <c r="I345" s="9"/>
      <c r="J345" s="9"/>
      <c r="K345" s="9"/>
      <c r="L345" s="9"/>
      <c r="M345" s="9"/>
      <c r="N345" s="9"/>
      <c r="O345" s="9"/>
      <c r="P345" s="9"/>
      <c r="Q345" s="9"/>
      <c r="R345" s="9"/>
      <c r="S345" s="9"/>
      <c r="T345" s="9"/>
      <c r="U345" s="9"/>
      <c r="V345" s="9"/>
      <c r="W345" s="9"/>
      <c r="X345" s="9"/>
      <c r="Y345" s="9"/>
      <c r="Z345" s="9"/>
      <c r="AA345" s="9"/>
      <c r="AB345" s="9"/>
      <c r="AC345" s="9">
        <v>259</v>
      </c>
      <c r="AD345" s="9"/>
      <c r="AE345" s="9"/>
      <c r="AF345" s="9"/>
      <c r="AG345" s="9"/>
      <c r="AH345" s="9"/>
      <c r="AI345" s="9"/>
      <c r="AJ345" s="9"/>
      <c r="AK345" s="9"/>
      <c r="AL345" s="9"/>
    </row>
    <row r="346" spans="2:38" hidden="1">
      <c r="B346" s="6" t="s">
        <v>107</v>
      </c>
      <c r="C346" s="7">
        <v>61</v>
      </c>
      <c r="D346" s="7">
        <v>1</v>
      </c>
      <c r="E346" s="8">
        <v>221000</v>
      </c>
      <c r="F346" s="9"/>
      <c r="G346" s="9">
        <v>22400</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spans="2:38" hidden="1">
      <c r="B347" s="6" t="s">
        <v>107</v>
      </c>
      <c r="C347" s="7">
        <v>61</v>
      </c>
      <c r="D347" s="7">
        <v>1</v>
      </c>
      <c r="E347" s="8">
        <v>333000</v>
      </c>
      <c r="F347" s="9"/>
      <c r="G347" s="9">
        <v>39200</v>
      </c>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spans="2:38" hidden="1">
      <c r="B348" s="6" t="s">
        <v>107</v>
      </c>
      <c r="C348" s="7">
        <v>61</v>
      </c>
      <c r="D348" s="7">
        <v>1</v>
      </c>
      <c r="E348" s="8">
        <v>356200</v>
      </c>
      <c r="F348" s="9"/>
      <c r="G348" s="9">
        <v>41200</v>
      </c>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spans="2:38" hidden="1">
      <c r="B349" s="6" t="s">
        <v>107</v>
      </c>
      <c r="C349" s="7">
        <v>61</v>
      </c>
      <c r="D349" s="7">
        <v>1</v>
      </c>
      <c r="E349" s="8">
        <v>424700</v>
      </c>
      <c r="F349" s="9"/>
      <c r="G349" s="9">
        <v>54300</v>
      </c>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spans="2:38" hidden="1">
      <c r="B350" s="6" t="s">
        <v>107</v>
      </c>
      <c r="C350" s="7">
        <v>61</v>
      </c>
      <c r="D350" s="7">
        <v>1</v>
      </c>
      <c r="E350" s="8">
        <v>343000</v>
      </c>
      <c r="F350" s="9"/>
      <c r="G350" s="9">
        <v>42700</v>
      </c>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spans="2:38" hidden="1">
      <c r="B351" s="6" t="s">
        <v>107</v>
      </c>
      <c r="C351" s="7">
        <v>61</v>
      </c>
      <c r="D351" s="7">
        <v>1</v>
      </c>
      <c r="E351" s="8">
        <v>383200</v>
      </c>
      <c r="F351" s="9"/>
      <c r="G351" s="9">
        <v>45200</v>
      </c>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spans="2:38" hidden="1">
      <c r="B352" s="6" t="s">
        <v>107</v>
      </c>
      <c r="C352" s="7">
        <v>61</v>
      </c>
      <c r="D352" s="7">
        <v>1</v>
      </c>
      <c r="E352" s="8">
        <v>423800</v>
      </c>
      <c r="F352" s="9"/>
      <c r="G352" s="9">
        <v>59300</v>
      </c>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spans="1:38" hidden="1">
      <c r="B353" s="6" t="s">
        <v>107</v>
      </c>
      <c r="C353" s="7">
        <v>61</v>
      </c>
      <c r="D353" s="7">
        <v>1</v>
      </c>
      <c r="E353" s="8">
        <v>477500</v>
      </c>
      <c r="F353" s="9"/>
      <c r="G353" s="9">
        <v>52000</v>
      </c>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spans="1:38">
      <c r="B354" s="6" t="s">
        <v>107</v>
      </c>
      <c r="C354" s="7">
        <v>64</v>
      </c>
      <c r="D354" s="7">
        <v>1</v>
      </c>
      <c r="E354" s="8">
        <v>311200</v>
      </c>
      <c r="F354" s="9"/>
      <c r="G354" s="9">
        <v>46400</v>
      </c>
      <c r="H354" s="9"/>
      <c r="I354" s="9"/>
      <c r="J354" s="9"/>
      <c r="K354" s="9"/>
      <c r="L354" s="9"/>
      <c r="M354" s="9"/>
      <c r="N354" s="9"/>
      <c r="O354" s="9">
        <v>5500</v>
      </c>
      <c r="P354" s="9"/>
      <c r="Q354" s="9"/>
      <c r="R354" s="9">
        <v>2000</v>
      </c>
      <c r="S354" s="9"/>
      <c r="T354" s="9">
        <v>149800</v>
      </c>
      <c r="U354" s="9"/>
      <c r="V354" s="9">
        <v>6300</v>
      </c>
      <c r="W354" s="9"/>
      <c r="X354" s="9"/>
      <c r="Y354" s="9"/>
      <c r="Z354" s="9"/>
      <c r="AA354" s="9"/>
      <c r="AB354" s="9"/>
      <c r="AC354" s="9"/>
      <c r="AD354" s="9"/>
      <c r="AE354" s="9"/>
      <c r="AF354" s="9"/>
      <c r="AG354" s="9"/>
      <c r="AH354" s="9"/>
      <c r="AI354" s="9"/>
      <c r="AJ354" s="9"/>
      <c r="AK354" s="9"/>
      <c r="AL354" s="9"/>
    </row>
    <row r="355" spans="1:38">
      <c r="B355" s="6" t="s">
        <v>107</v>
      </c>
      <c r="C355" s="7">
        <v>64</v>
      </c>
      <c r="D355" s="7">
        <v>1</v>
      </c>
      <c r="E355" s="8">
        <v>394100</v>
      </c>
      <c r="F355" s="9"/>
      <c r="G355" s="9">
        <v>50200</v>
      </c>
      <c r="H355" s="9"/>
      <c r="I355" s="9"/>
      <c r="J355" s="9"/>
      <c r="K355" s="9"/>
      <c r="L355" s="9"/>
      <c r="M355" s="9"/>
      <c r="N355" s="9"/>
      <c r="O355" s="9">
        <v>9600</v>
      </c>
      <c r="P355" s="9"/>
      <c r="Q355" s="9"/>
      <c r="R355" s="9">
        <v>3100</v>
      </c>
      <c r="S355" s="9"/>
      <c r="T355" s="9">
        <v>170100</v>
      </c>
      <c r="U355" s="9"/>
      <c r="V355" s="9">
        <v>9700</v>
      </c>
      <c r="W355" s="9"/>
      <c r="X355" s="9"/>
      <c r="Y355" s="9"/>
      <c r="Z355" s="9"/>
      <c r="AA355" s="9"/>
      <c r="AB355" s="9"/>
      <c r="AC355" s="9"/>
      <c r="AD355" s="9"/>
      <c r="AE355" s="9"/>
      <c r="AF355" s="9"/>
      <c r="AG355" s="9"/>
      <c r="AH355" s="9"/>
      <c r="AI355" s="9"/>
      <c r="AJ355" s="9"/>
      <c r="AK355" s="9"/>
      <c r="AL355" s="9"/>
    </row>
    <row r="356" spans="1:38">
      <c r="B356" s="6" t="s">
        <v>107</v>
      </c>
      <c r="C356" s="7">
        <v>64</v>
      </c>
      <c r="D356" s="7">
        <v>1</v>
      </c>
      <c r="E356" s="8">
        <v>298600</v>
      </c>
      <c r="F356" s="9"/>
      <c r="G356" s="9">
        <v>36200</v>
      </c>
      <c r="H356" s="9"/>
      <c r="I356" s="9"/>
      <c r="J356" s="9"/>
      <c r="K356" s="9"/>
      <c r="L356" s="9"/>
      <c r="M356" s="9"/>
      <c r="N356" s="9"/>
      <c r="O356" s="9">
        <v>5600</v>
      </c>
      <c r="P356" s="9"/>
      <c r="Q356" s="9"/>
      <c r="R356" s="9">
        <v>2200</v>
      </c>
      <c r="S356" s="9"/>
      <c r="T356" s="9">
        <v>138600</v>
      </c>
      <c r="U356" s="9"/>
      <c r="V356" s="9">
        <v>6800</v>
      </c>
      <c r="W356" s="9"/>
      <c r="X356" s="9"/>
      <c r="Y356" s="9"/>
      <c r="Z356" s="9"/>
      <c r="AA356" s="9"/>
      <c r="AB356" s="9"/>
      <c r="AC356" s="9"/>
      <c r="AD356" s="9"/>
      <c r="AE356" s="9"/>
      <c r="AF356" s="9"/>
      <c r="AG356" s="9"/>
      <c r="AH356" s="9"/>
      <c r="AI356" s="9"/>
      <c r="AJ356" s="9"/>
      <c r="AK356" s="9"/>
      <c r="AL356" s="9"/>
    </row>
    <row r="357" spans="1:38">
      <c r="B357" s="6" t="s">
        <v>107</v>
      </c>
      <c r="C357" s="7">
        <v>64</v>
      </c>
      <c r="D357" s="7">
        <v>1</v>
      </c>
      <c r="E357" s="8">
        <v>374100</v>
      </c>
      <c r="F357" s="9"/>
      <c r="G357" s="9">
        <v>46200</v>
      </c>
      <c r="H357" s="9"/>
      <c r="I357" s="9"/>
      <c r="J357" s="9"/>
      <c r="K357" s="9"/>
      <c r="L357" s="9"/>
      <c r="M357" s="9"/>
      <c r="N357" s="9"/>
      <c r="O357" s="9">
        <v>9000</v>
      </c>
      <c r="P357" s="9"/>
      <c r="Q357" s="9"/>
      <c r="R357" s="9">
        <v>2600</v>
      </c>
      <c r="S357" s="9"/>
      <c r="T357" s="9">
        <v>170800</v>
      </c>
      <c r="U357" s="9"/>
      <c r="V357" s="9">
        <v>8500</v>
      </c>
      <c r="W357" s="9"/>
      <c r="X357" s="9"/>
      <c r="Y357" s="9"/>
      <c r="Z357" s="9"/>
      <c r="AA357" s="9"/>
      <c r="AB357" s="9"/>
      <c r="AC357" s="9"/>
      <c r="AD357" s="9"/>
      <c r="AE357" s="9"/>
      <c r="AF357" s="9"/>
      <c r="AG357" s="9"/>
      <c r="AH357" s="9"/>
      <c r="AI357" s="9"/>
      <c r="AJ357" s="9"/>
      <c r="AK357" s="9"/>
      <c r="AL357" s="9"/>
    </row>
    <row r="358" spans="1:38">
      <c r="B358" s="6" t="s">
        <v>107</v>
      </c>
      <c r="C358" s="7">
        <v>64</v>
      </c>
      <c r="D358" s="7">
        <v>1</v>
      </c>
      <c r="E358" s="8">
        <v>344700</v>
      </c>
      <c r="F358" s="9"/>
      <c r="G358" s="9">
        <v>46400</v>
      </c>
      <c r="H358" s="9"/>
      <c r="I358" s="9"/>
      <c r="J358" s="9"/>
      <c r="K358" s="9"/>
      <c r="L358" s="9"/>
      <c r="M358" s="9"/>
      <c r="N358" s="9"/>
      <c r="O358" s="9">
        <v>7500</v>
      </c>
      <c r="P358" s="9"/>
      <c r="Q358" s="9"/>
      <c r="R358" s="9">
        <v>2500</v>
      </c>
      <c r="S358" s="9"/>
      <c r="T358" s="9">
        <v>144200</v>
      </c>
      <c r="U358" s="9"/>
      <c r="V358" s="9">
        <v>7500</v>
      </c>
      <c r="W358" s="9"/>
      <c r="X358" s="9"/>
      <c r="Y358" s="9"/>
      <c r="Z358" s="9"/>
      <c r="AA358" s="9"/>
      <c r="AB358" s="9"/>
      <c r="AC358" s="9"/>
      <c r="AD358" s="9"/>
      <c r="AE358" s="9"/>
      <c r="AF358" s="9"/>
      <c r="AG358" s="9"/>
      <c r="AH358" s="9"/>
      <c r="AI358" s="9"/>
      <c r="AJ358" s="9"/>
      <c r="AK358" s="9"/>
      <c r="AL358" s="9"/>
    </row>
    <row r="359" spans="1:38">
      <c r="B359" s="6" t="s">
        <v>107</v>
      </c>
      <c r="C359" s="7">
        <v>64</v>
      </c>
      <c r="D359" s="7">
        <v>1</v>
      </c>
      <c r="E359" s="8">
        <v>370300</v>
      </c>
      <c r="F359" s="9"/>
      <c r="G359" s="9">
        <v>43800</v>
      </c>
      <c r="H359" s="9"/>
      <c r="I359" s="9"/>
      <c r="J359" s="9"/>
      <c r="K359" s="9"/>
      <c r="L359" s="9"/>
      <c r="M359" s="9"/>
      <c r="N359" s="9"/>
      <c r="O359" s="9">
        <v>6800</v>
      </c>
      <c r="P359" s="9"/>
      <c r="Q359" s="9"/>
      <c r="R359" s="9">
        <v>3000</v>
      </c>
      <c r="S359" s="9"/>
      <c r="T359" s="9">
        <v>174300</v>
      </c>
      <c r="U359" s="9"/>
      <c r="V359" s="9">
        <v>7200</v>
      </c>
      <c r="W359" s="9"/>
      <c r="X359" s="9"/>
      <c r="Y359" s="9"/>
      <c r="Z359" s="9"/>
      <c r="AA359" s="9"/>
      <c r="AB359" s="9"/>
      <c r="AC359" s="9"/>
      <c r="AD359" s="9"/>
      <c r="AE359" s="9"/>
      <c r="AF359" s="9"/>
      <c r="AG359" s="9"/>
      <c r="AH359" s="9"/>
      <c r="AI359" s="9"/>
      <c r="AJ359" s="9"/>
      <c r="AK359" s="9"/>
      <c r="AL359" s="9"/>
    </row>
    <row r="360" spans="1:38" hidden="1">
      <c r="B360" s="6" t="s">
        <v>107</v>
      </c>
      <c r="C360" s="7" t="s">
        <v>75</v>
      </c>
      <c r="D360" s="7">
        <v>1</v>
      </c>
      <c r="E360" s="8">
        <v>356200</v>
      </c>
      <c r="F360" s="9"/>
      <c r="G360" s="9"/>
      <c r="H360" s="9"/>
      <c r="I360" s="9"/>
      <c r="J360" s="9"/>
      <c r="K360" s="9"/>
      <c r="L360" s="9"/>
      <c r="M360" s="9"/>
      <c r="N360" s="9"/>
      <c r="O360" s="9"/>
      <c r="P360" s="9"/>
      <c r="Q360" s="9"/>
      <c r="R360" s="9">
        <v>2510</v>
      </c>
      <c r="S360" s="9"/>
      <c r="T360" s="9"/>
      <c r="U360" s="9"/>
      <c r="V360" s="9"/>
      <c r="W360" s="9"/>
      <c r="X360" s="9"/>
      <c r="Y360" s="9"/>
      <c r="Z360" s="9"/>
      <c r="AA360" s="9"/>
      <c r="AB360" s="9"/>
      <c r="AC360" s="9"/>
      <c r="AD360" s="9"/>
      <c r="AE360" s="9">
        <v>1151</v>
      </c>
      <c r="AF360" s="9"/>
      <c r="AG360" s="9"/>
      <c r="AH360" s="9"/>
      <c r="AI360" s="9"/>
      <c r="AJ360" s="9"/>
      <c r="AK360" s="9"/>
      <c r="AL360" s="9"/>
    </row>
    <row r="361" spans="1:38" hidden="1">
      <c r="B361" s="6" t="s">
        <v>107</v>
      </c>
      <c r="C361" s="7" t="s">
        <v>75</v>
      </c>
      <c r="D361" s="7">
        <v>1</v>
      </c>
      <c r="E361" s="8">
        <v>333000</v>
      </c>
      <c r="F361" s="9"/>
      <c r="G361" s="9"/>
      <c r="H361" s="9"/>
      <c r="I361" s="9"/>
      <c r="J361" s="9"/>
      <c r="K361" s="9"/>
      <c r="L361" s="9"/>
      <c r="M361" s="9"/>
      <c r="N361" s="9"/>
      <c r="O361" s="9">
        <v>7378</v>
      </c>
      <c r="P361" s="9"/>
      <c r="Q361" s="9"/>
      <c r="R361" s="9">
        <v>2830</v>
      </c>
      <c r="S361" s="9"/>
      <c r="T361" s="9"/>
      <c r="U361" s="9"/>
      <c r="V361" s="9"/>
      <c r="W361" s="9"/>
      <c r="X361" s="9"/>
      <c r="Y361" s="9"/>
      <c r="Z361" s="9"/>
      <c r="AA361" s="9"/>
      <c r="AB361" s="9"/>
      <c r="AC361" s="9"/>
      <c r="AD361" s="9"/>
      <c r="AE361" s="9">
        <v>1048</v>
      </c>
      <c r="AF361" s="9"/>
      <c r="AG361" s="9"/>
      <c r="AH361" s="9"/>
      <c r="AI361" s="9"/>
      <c r="AJ361" s="9"/>
      <c r="AK361" s="9"/>
      <c r="AL361" s="9"/>
    </row>
    <row r="362" spans="1:38" hidden="1">
      <c r="B362" s="6" t="s">
        <v>107</v>
      </c>
      <c r="C362" s="7" t="s">
        <v>75</v>
      </c>
      <c r="D362" s="7">
        <v>1</v>
      </c>
      <c r="E362" s="8">
        <v>424700</v>
      </c>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v>1347.9999999999998</v>
      </c>
      <c r="AF362" s="9"/>
      <c r="AG362" s="9"/>
      <c r="AH362" s="9"/>
      <c r="AI362" s="9"/>
      <c r="AJ362" s="9"/>
      <c r="AK362" s="9"/>
      <c r="AL362" s="9"/>
    </row>
    <row r="363" spans="1:38" hidden="1">
      <c r="B363" s="6" t="s">
        <v>107</v>
      </c>
      <c r="C363" s="7" t="s">
        <v>55</v>
      </c>
      <c r="D363" s="7">
        <v>4</v>
      </c>
      <c r="E363" s="8">
        <v>406900</v>
      </c>
      <c r="F363" s="9"/>
      <c r="G363" s="9">
        <v>46000</v>
      </c>
      <c r="H363" s="9"/>
      <c r="I363" s="9"/>
      <c r="J363" s="9"/>
      <c r="K363" s="9"/>
      <c r="L363" s="9"/>
      <c r="M363" s="9"/>
      <c r="N363" s="9"/>
      <c r="O363" s="9"/>
      <c r="P363" s="9"/>
      <c r="Q363" s="9"/>
      <c r="R363" s="9"/>
      <c r="S363" s="9">
        <v>287700.00000000006</v>
      </c>
      <c r="T363" s="9">
        <v>193300</v>
      </c>
      <c r="U363" s="9"/>
      <c r="V363" s="9"/>
      <c r="W363" s="9"/>
      <c r="X363" s="9"/>
      <c r="Y363" s="9"/>
      <c r="Z363" s="9"/>
      <c r="AA363" s="9"/>
      <c r="AB363" s="9"/>
      <c r="AC363" s="9"/>
      <c r="AD363" s="9"/>
      <c r="AE363" s="9"/>
      <c r="AF363" s="9"/>
      <c r="AG363" s="9"/>
      <c r="AH363" s="9"/>
      <c r="AI363" s="9"/>
      <c r="AJ363" s="9"/>
      <c r="AK363" s="9"/>
      <c r="AL363" s="9"/>
    </row>
    <row r="364" spans="1:38" hidden="1">
      <c r="B364" s="6" t="s">
        <v>108</v>
      </c>
      <c r="C364" s="7">
        <v>34</v>
      </c>
      <c r="D364" s="7">
        <v>2</v>
      </c>
      <c r="E364" s="8">
        <v>25645.393292452118</v>
      </c>
      <c r="F364" s="9"/>
      <c r="G364" s="9"/>
      <c r="H364" s="9"/>
      <c r="I364" s="9"/>
      <c r="J364" s="9"/>
      <c r="K364" s="9"/>
      <c r="L364" s="9"/>
      <c r="M364" s="9"/>
      <c r="N364" s="9"/>
      <c r="O364" s="9"/>
      <c r="P364" s="9"/>
      <c r="Q364" s="9"/>
      <c r="R364" s="9"/>
      <c r="S364" s="9"/>
      <c r="T364" s="9"/>
      <c r="U364" s="9"/>
      <c r="V364" s="9"/>
      <c r="W364" s="9"/>
      <c r="X364" s="9"/>
      <c r="Y364" s="9"/>
      <c r="Z364" s="9"/>
      <c r="AA364" s="9"/>
      <c r="AB364" s="9">
        <v>1106</v>
      </c>
      <c r="AC364" s="9"/>
      <c r="AD364" s="9"/>
      <c r="AE364" s="9"/>
      <c r="AF364" s="9"/>
      <c r="AG364" s="9"/>
      <c r="AH364" s="9"/>
      <c r="AI364" s="9"/>
      <c r="AJ364" s="9"/>
      <c r="AK364" s="9"/>
      <c r="AL364" s="9"/>
    </row>
    <row r="365" spans="1:38" hidden="1">
      <c r="B365" s="6" t="s">
        <v>108</v>
      </c>
      <c r="C365" s="7">
        <v>53</v>
      </c>
      <c r="D365" s="7">
        <v>2</v>
      </c>
      <c r="E365" s="8">
        <v>25194</v>
      </c>
      <c r="F365" s="9">
        <v>1222.6300000000001</v>
      </c>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v>3.36</v>
      </c>
      <c r="AG365" s="9">
        <v>3.92</v>
      </c>
      <c r="AH365" s="9">
        <v>3.24</v>
      </c>
      <c r="AI365" s="9"/>
      <c r="AJ365" s="9"/>
      <c r="AK365" s="9"/>
      <c r="AL365" s="9"/>
    </row>
    <row r="366" spans="1:38">
      <c r="A366" s="7" t="s">
        <v>42</v>
      </c>
      <c r="B366" s="6" t="s">
        <v>108</v>
      </c>
      <c r="C366" s="7" t="s">
        <v>43</v>
      </c>
      <c r="D366" s="7">
        <v>2</v>
      </c>
      <c r="E366" s="8">
        <v>25194</v>
      </c>
      <c r="F366" s="10"/>
      <c r="G366" s="9">
        <v>3957</v>
      </c>
      <c r="H366" s="9">
        <v>780</v>
      </c>
      <c r="I366" s="9">
        <v>2195</v>
      </c>
      <c r="J366" s="9">
        <v>17040</v>
      </c>
      <c r="K366" s="9">
        <v>147</v>
      </c>
      <c r="L366" s="9">
        <v>3.4</v>
      </c>
      <c r="M366" s="9">
        <v>664</v>
      </c>
      <c r="N366" s="9">
        <v>159</v>
      </c>
      <c r="O366" s="9">
        <v>1411</v>
      </c>
      <c r="P366" s="9">
        <v>1411</v>
      </c>
      <c r="Q366" s="9">
        <v>443</v>
      </c>
      <c r="R366" s="9">
        <v>1043</v>
      </c>
      <c r="S366" s="9">
        <v>13170</v>
      </c>
      <c r="T366" s="9"/>
      <c r="U366" s="9">
        <v>14.6</v>
      </c>
      <c r="V366" s="9">
        <v>1341</v>
      </c>
      <c r="W366" s="9">
        <v>328</v>
      </c>
      <c r="X366" s="9">
        <v>283</v>
      </c>
      <c r="Y366" s="9">
        <v>263</v>
      </c>
      <c r="Z366" s="9">
        <v>20</v>
      </c>
      <c r="AA366" s="9">
        <v>125</v>
      </c>
      <c r="AB366" s="9"/>
      <c r="AC366" s="9">
        <v>68.599999999999994</v>
      </c>
      <c r="AD366" s="9">
        <v>292</v>
      </c>
      <c r="AE366" s="9">
        <v>251</v>
      </c>
      <c r="AF366" s="9"/>
      <c r="AG366" s="9"/>
      <c r="AH366" s="9"/>
      <c r="AI366" s="9"/>
      <c r="AJ366" s="9"/>
      <c r="AK366" s="9"/>
      <c r="AL366" s="9"/>
    </row>
    <row r="367" spans="1:38" hidden="1">
      <c r="B367" s="6" t="s">
        <v>108</v>
      </c>
      <c r="C367" s="7" t="s">
        <v>40</v>
      </c>
      <c r="D367" s="7">
        <v>1</v>
      </c>
      <c r="E367" s="8">
        <v>25190</v>
      </c>
      <c r="F367" s="9"/>
      <c r="G367" s="9"/>
      <c r="H367" s="9"/>
      <c r="I367" s="9"/>
      <c r="J367" s="9"/>
      <c r="K367" s="9"/>
      <c r="L367" s="9"/>
      <c r="M367" s="9"/>
      <c r="N367" s="9"/>
      <c r="O367" s="9"/>
      <c r="P367" s="9"/>
      <c r="Q367" s="9"/>
      <c r="R367" s="9"/>
      <c r="S367" s="9">
        <v>12190</v>
      </c>
      <c r="T367" s="9">
        <v>9840</v>
      </c>
      <c r="U367" s="9"/>
      <c r="V367" s="9"/>
      <c r="W367" s="9"/>
      <c r="X367" s="9"/>
      <c r="Y367" s="9"/>
      <c r="Z367" s="9"/>
      <c r="AA367" s="9"/>
      <c r="AB367" s="9">
        <v>1570</v>
      </c>
      <c r="AC367" s="9">
        <v>70</v>
      </c>
      <c r="AD367" s="9"/>
      <c r="AE367" s="9"/>
      <c r="AF367" s="9"/>
      <c r="AG367" s="9"/>
      <c r="AH367" s="9"/>
      <c r="AI367" s="9"/>
      <c r="AJ367" s="9"/>
      <c r="AK367" s="9"/>
      <c r="AL367" s="9"/>
    </row>
    <row r="368" spans="1:38" hidden="1">
      <c r="B368" s="6" t="s">
        <v>109</v>
      </c>
      <c r="C368" s="7">
        <v>53</v>
      </c>
      <c r="D368" s="7">
        <v>1</v>
      </c>
      <c r="E368" s="8">
        <v>72530.44</v>
      </c>
      <c r="F368" s="9">
        <v>2206.11</v>
      </c>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v>4.3600000000000003</v>
      </c>
      <c r="AG368" s="9">
        <v>5.58</v>
      </c>
      <c r="AH368" s="9">
        <v>3.14</v>
      </c>
      <c r="AI368" s="9"/>
      <c r="AJ368" s="9"/>
      <c r="AK368" s="9"/>
      <c r="AL368" s="9"/>
    </row>
    <row r="369" spans="1:38" hidden="1">
      <c r="A369" s="7" t="s">
        <v>42</v>
      </c>
      <c r="B369" s="6" t="s">
        <v>109</v>
      </c>
      <c r="C369" s="7" t="s">
        <v>43</v>
      </c>
      <c r="D369" s="7">
        <v>1</v>
      </c>
      <c r="E369" s="8">
        <v>72530</v>
      </c>
      <c r="F369" s="10"/>
      <c r="G369" s="9">
        <v>8063</v>
      </c>
      <c r="H369" s="9">
        <v>1345</v>
      </c>
      <c r="I369" s="9">
        <v>4727</v>
      </c>
      <c r="J369" s="9">
        <v>56189</v>
      </c>
      <c r="K369" s="9">
        <v>10.7</v>
      </c>
      <c r="L369" s="9"/>
      <c r="M369" s="9">
        <v>942</v>
      </c>
      <c r="N369" s="9">
        <v>290</v>
      </c>
      <c r="O369" s="9">
        <v>3166</v>
      </c>
      <c r="P369" s="9">
        <v>3166</v>
      </c>
      <c r="Q369" s="9">
        <v>723</v>
      </c>
      <c r="R369" s="9">
        <v>2295</v>
      </c>
      <c r="S369" s="9">
        <v>48763</v>
      </c>
      <c r="T369" s="9"/>
      <c r="U369" s="9"/>
      <c r="V369" s="9"/>
      <c r="W369" s="9"/>
      <c r="X369" s="9"/>
      <c r="Y369" s="9"/>
      <c r="Z369" s="9"/>
      <c r="AA369" s="9"/>
      <c r="AB369" s="9"/>
      <c r="AC369" s="9"/>
      <c r="AD369" s="9"/>
      <c r="AE369" s="9"/>
      <c r="AF369" s="9"/>
      <c r="AG369" s="9"/>
      <c r="AH369" s="9"/>
      <c r="AI369" s="9"/>
      <c r="AJ369" s="9"/>
      <c r="AK369" s="9"/>
      <c r="AL369" s="9"/>
    </row>
    <row r="370" spans="1:38" hidden="1">
      <c r="B370" s="6" t="s">
        <v>110</v>
      </c>
      <c r="C370" s="7">
        <v>43</v>
      </c>
      <c r="D370" s="7">
        <v>1</v>
      </c>
      <c r="E370" s="8">
        <v>10135</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v>18</v>
      </c>
      <c r="AJ370" s="9">
        <v>18</v>
      </c>
      <c r="AK370" s="9">
        <v>12</v>
      </c>
      <c r="AL370" s="9">
        <v>46</v>
      </c>
    </row>
    <row r="371" spans="1:38" hidden="1">
      <c r="B371" s="6" t="s">
        <v>111</v>
      </c>
      <c r="C371" s="7">
        <v>34</v>
      </c>
      <c r="D371" s="7">
        <v>1</v>
      </c>
      <c r="E371" s="8">
        <v>9943.0220789444083</v>
      </c>
      <c r="F371" s="9"/>
      <c r="G371" s="9"/>
      <c r="H371" s="9"/>
      <c r="I371" s="9"/>
      <c r="J371" s="9"/>
      <c r="K371" s="9"/>
      <c r="L371" s="9"/>
      <c r="M371" s="9"/>
      <c r="N371" s="9"/>
      <c r="O371" s="9"/>
      <c r="P371" s="9"/>
      <c r="Q371" s="9"/>
      <c r="R371" s="9"/>
      <c r="S371" s="9"/>
      <c r="T371" s="9"/>
      <c r="U371" s="9"/>
      <c r="V371" s="9"/>
      <c r="W371" s="9"/>
      <c r="X371" s="9"/>
      <c r="Y371" s="9"/>
      <c r="Z371" s="9"/>
      <c r="AA371" s="9"/>
      <c r="AB371" s="9">
        <v>841</v>
      </c>
      <c r="AC371" s="9"/>
      <c r="AD371" s="9"/>
      <c r="AE371" s="9"/>
      <c r="AF371" s="9"/>
      <c r="AG371" s="9"/>
      <c r="AH371" s="9"/>
      <c r="AI371" s="9"/>
      <c r="AJ371" s="9"/>
      <c r="AK371" s="9"/>
      <c r="AL371" s="9"/>
    </row>
    <row r="372" spans="1:38" hidden="1">
      <c r="B372" s="6" t="s">
        <v>111</v>
      </c>
      <c r="C372" s="7">
        <v>53</v>
      </c>
      <c r="D372" s="7">
        <v>2</v>
      </c>
      <c r="E372" s="8">
        <v>9569.0550000000003</v>
      </c>
      <c r="F372" s="9">
        <v>428.47</v>
      </c>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v>1.04</v>
      </c>
      <c r="AG372" s="9">
        <v>1.26</v>
      </c>
      <c r="AH372" s="9">
        <v>1.1200000000000001</v>
      </c>
      <c r="AI372" s="9"/>
      <c r="AJ372" s="9"/>
      <c r="AK372" s="9"/>
      <c r="AL372" s="9"/>
    </row>
    <row r="373" spans="1:38" hidden="1">
      <c r="A373" s="7" t="s">
        <v>42</v>
      </c>
      <c r="B373" s="6" t="s">
        <v>111</v>
      </c>
      <c r="C373" s="7" t="s">
        <v>43</v>
      </c>
      <c r="D373" s="7">
        <v>2</v>
      </c>
      <c r="E373" s="8">
        <v>9569</v>
      </c>
      <c r="F373" s="10"/>
      <c r="G373" s="9">
        <v>1061</v>
      </c>
      <c r="H373" s="9">
        <v>332</v>
      </c>
      <c r="I373" s="9">
        <v>692</v>
      </c>
      <c r="J373" s="9">
        <v>7055</v>
      </c>
      <c r="K373" s="9">
        <v>17.3</v>
      </c>
      <c r="L373" s="9">
        <v>0.28999999999999998</v>
      </c>
      <c r="M373" s="9">
        <v>243</v>
      </c>
      <c r="N373" s="9">
        <v>40.9</v>
      </c>
      <c r="O373" s="9">
        <v>471</v>
      </c>
      <c r="P373" s="9">
        <v>471</v>
      </c>
      <c r="Q373" s="9">
        <v>120</v>
      </c>
      <c r="R373" s="9">
        <v>280</v>
      </c>
      <c r="S373" s="9">
        <v>5883</v>
      </c>
      <c r="T373" s="9"/>
      <c r="U373" s="9"/>
      <c r="V373" s="9"/>
      <c r="W373" s="9"/>
      <c r="X373" s="9"/>
      <c r="Y373" s="9"/>
      <c r="Z373" s="9"/>
      <c r="AA373" s="9"/>
      <c r="AB373" s="9"/>
      <c r="AC373" s="9">
        <v>36.799999999999997</v>
      </c>
      <c r="AD373" s="9"/>
      <c r="AE373" s="9"/>
      <c r="AF373" s="9"/>
      <c r="AG373" s="9"/>
      <c r="AH373" s="9"/>
      <c r="AI373" s="9"/>
      <c r="AJ373" s="9"/>
      <c r="AK373" s="9"/>
      <c r="AL373" s="9"/>
    </row>
    <row r="374" spans="1:38" hidden="1">
      <c r="B374" s="6" t="s">
        <v>112</v>
      </c>
      <c r="C374" s="7">
        <v>34</v>
      </c>
      <c r="D374" s="7">
        <v>1</v>
      </c>
      <c r="E374" s="8">
        <v>9622.9611535733966</v>
      </c>
      <c r="F374" s="9"/>
      <c r="G374" s="9"/>
      <c r="H374" s="9"/>
      <c r="I374" s="9"/>
      <c r="J374" s="9"/>
      <c r="K374" s="9"/>
      <c r="L374" s="9"/>
      <c r="M374" s="9"/>
      <c r="N374" s="9"/>
      <c r="O374" s="9"/>
      <c r="P374" s="9"/>
      <c r="Q374" s="9"/>
      <c r="R374" s="9"/>
      <c r="S374" s="9"/>
      <c r="T374" s="9"/>
      <c r="U374" s="9"/>
      <c r="V374" s="9"/>
      <c r="W374" s="9"/>
      <c r="X374" s="9"/>
      <c r="Y374" s="9"/>
      <c r="Z374" s="9"/>
      <c r="AA374" s="9"/>
      <c r="AB374" s="9">
        <v>807</v>
      </c>
      <c r="AC374" s="9"/>
      <c r="AD374" s="9"/>
      <c r="AE374" s="9"/>
      <c r="AF374" s="9"/>
      <c r="AG374" s="9"/>
      <c r="AH374" s="9"/>
      <c r="AI374" s="9"/>
      <c r="AJ374" s="9"/>
      <c r="AK374" s="9"/>
      <c r="AL374" s="9"/>
    </row>
    <row r="375" spans="1:38" hidden="1">
      <c r="B375" s="6" t="s">
        <v>112</v>
      </c>
      <c r="C375" s="7">
        <v>43</v>
      </c>
      <c r="D375" s="7">
        <v>1</v>
      </c>
      <c r="E375" s="8">
        <v>8938.2000000000007</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v>14</v>
      </c>
      <c r="AJ375" s="9">
        <v>26</v>
      </c>
      <c r="AK375" s="9">
        <v>12</v>
      </c>
      <c r="AL375" s="9">
        <v>52</v>
      </c>
    </row>
    <row r="376" spans="1:38" hidden="1">
      <c r="B376" s="6" t="s">
        <v>112</v>
      </c>
      <c r="C376" s="7">
        <v>53</v>
      </c>
      <c r="D376" s="7">
        <v>3</v>
      </c>
      <c r="E376" s="8">
        <v>9537.0266666666666</v>
      </c>
      <c r="F376" s="9">
        <v>413.31</v>
      </c>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v>1.08</v>
      </c>
      <c r="AG376" s="9">
        <v>1</v>
      </c>
      <c r="AH376" s="9">
        <v>1.24</v>
      </c>
      <c r="AI376" s="9"/>
      <c r="AJ376" s="9"/>
      <c r="AK376" s="9"/>
      <c r="AL376" s="9"/>
    </row>
    <row r="377" spans="1:38">
      <c r="A377" s="7" t="s">
        <v>42</v>
      </c>
      <c r="B377" s="6" t="s">
        <v>112</v>
      </c>
      <c r="C377" s="7" t="s">
        <v>43</v>
      </c>
      <c r="D377" s="7">
        <v>3</v>
      </c>
      <c r="E377" s="8">
        <v>9537</v>
      </c>
      <c r="F377" s="10"/>
      <c r="G377" s="9">
        <v>984</v>
      </c>
      <c r="H377" s="9">
        <v>333</v>
      </c>
      <c r="I377" s="9">
        <v>754</v>
      </c>
      <c r="J377" s="9">
        <v>7052</v>
      </c>
      <c r="K377" s="9">
        <v>19.100000000000001</v>
      </c>
      <c r="L377" s="9">
        <v>0.40600000000000003</v>
      </c>
      <c r="M377" s="9">
        <v>256</v>
      </c>
      <c r="N377" s="9">
        <v>60.5</v>
      </c>
      <c r="O377" s="9">
        <v>453</v>
      </c>
      <c r="P377" s="9">
        <v>453</v>
      </c>
      <c r="Q377" s="9">
        <v>107</v>
      </c>
      <c r="R377" s="9">
        <v>262</v>
      </c>
      <c r="S377" s="9">
        <v>5894</v>
      </c>
      <c r="T377" s="9"/>
      <c r="U377" s="9">
        <v>4.93</v>
      </c>
      <c r="V377" s="9">
        <v>410</v>
      </c>
      <c r="W377" s="9">
        <v>152</v>
      </c>
      <c r="X377" s="9">
        <v>77.599999999999994</v>
      </c>
      <c r="Y377" s="9">
        <v>73.2</v>
      </c>
      <c r="Z377" s="9">
        <v>4.45</v>
      </c>
      <c r="AA377" s="9">
        <v>50.5</v>
      </c>
      <c r="AB377" s="9"/>
      <c r="AC377" s="9">
        <v>33</v>
      </c>
      <c r="AD377" s="9"/>
      <c r="AE377" s="9"/>
      <c r="AF377" s="9"/>
      <c r="AG377" s="9"/>
      <c r="AH377" s="9"/>
      <c r="AI377" s="9"/>
      <c r="AJ377" s="9"/>
      <c r="AK377" s="9"/>
      <c r="AL377" s="9"/>
    </row>
    <row r="378" spans="1:38" hidden="1">
      <c r="B378" s="6" t="s">
        <v>113</v>
      </c>
      <c r="C378" s="7">
        <v>34</v>
      </c>
      <c r="D378" s="7">
        <v>1</v>
      </c>
      <c r="E378" s="8">
        <v>23146.121084265415</v>
      </c>
      <c r="F378" s="9"/>
      <c r="G378" s="9"/>
      <c r="H378" s="9"/>
      <c r="I378" s="9"/>
      <c r="J378" s="9"/>
      <c r="K378" s="9"/>
      <c r="L378" s="9"/>
      <c r="M378" s="9"/>
      <c r="N378" s="9"/>
      <c r="O378" s="9"/>
      <c r="P378" s="9"/>
      <c r="Q378" s="9"/>
      <c r="R378" s="9"/>
      <c r="S378" s="9"/>
      <c r="T378" s="9"/>
      <c r="U378" s="9"/>
      <c r="V378" s="9"/>
      <c r="W378" s="9"/>
      <c r="X378" s="9"/>
      <c r="Y378" s="9"/>
      <c r="Z378" s="9"/>
      <c r="AA378" s="9"/>
      <c r="AB378" s="9">
        <v>1884</v>
      </c>
      <c r="AC378" s="9"/>
      <c r="AD378" s="9"/>
      <c r="AE378" s="9"/>
      <c r="AF378" s="9"/>
      <c r="AG378" s="9"/>
      <c r="AH378" s="9"/>
      <c r="AI378" s="9"/>
      <c r="AJ378" s="9"/>
      <c r="AK378" s="9"/>
      <c r="AL378" s="9"/>
    </row>
    <row r="379" spans="1:38" hidden="1">
      <c r="B379" s="6" t="s">
        <v>113</v>
      </c>
      <c r="C379" s="7">
        <v>53</v>
      </c>
      <c r="D379" s="7">
        <v>1</v>
      </c>
      <c r="E379" s="8">
        <v>22571.531999999999</v>
      </c>
      <c r="F379" s="9">
        <v>721.53</v>
      </c>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v>1.52</v>
      </c>
      <c r="AG379" s="9">
        <v>1.68</v>
      </c>
      <c r="AH379" s="9">
        <v>1.64</v>
      </c>
      <c r="AI379" s="9"/>
      <c r="AJ379" s="9"/>
      <c r="AK379" s="9"/>
      <c r="AL379" s="9"/>
    </row>
    <row r="380" spans="1:38" hidden="1">
      <c r="B380" s="6" t="s">
        <v>113</v>
      </c>
      <c r="C380" s="7">
        <v>61</v>
      </c>
      <c r="D380" s="7">
        <v>1</v>
      </c>
      <c r="E380" s="8">
        <v>19000</v>
      </c>
      <c r="F380" s="9"/>
      <c r="G380" s="9">
        <v>1900</v>
      </c>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spans="1:38" hidden="1">
      <c r="B381" s="6" t="s">
        <v>113</v>
      </c>
      <c r="C381" s="7">
        <v>61</v>
      </c>
      <c r="D381" s="7">
        <v>1</v>
      </c>
      <c r="E381" s="8">
        <v>20700</v>
      </c>
      <c r="F381" s="9"/>
      <c r="G381" s="9">
        <v>1900</v>
      </c>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spans="1:38" hidden="1">
      <c r="B382" s="6" t="s">
        <v>113</v>
      </c>
      <c r="C382" s="7">
        <v>61</v>
      </c>
      <c r="D382" s="7">
        <v>1</v>
      </c>
      <c r="E382" s="8">
        <v>20800</v>
      </c>
      <c r="F382" s="9"/>
      <c r="G382" s="9">
        <v>2000</v>
      </c>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spans="1:38" hidden="1">
      <c r="B383" s="6" t="s">
        <v>113</v>
      </c>
      <c r="C383" s="7">
        <v>61</v>
      </c>
      <c r="D383" s="7">
        <v>1</v>
      </c>
      <c r="E383" s="8">
        <v>23600</v>
      </c>
      <c r="F383" s="9"/>
      <c r="G383" s="9">
        <v>2100</v>
      </c>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spans="1:38" hidden="1">
      <c r="B384" s="6" t="s">
        <v>113</v>
      </c>
      <c r="C384" s="7">
        <v>61</v>
      </c>
      <c r="D384" s="7">
        <v>1</v>
      </c>
      <c r="E384" s="8">
        <v>23700</v>
      </c>
      <c r="F384" s="9"/>
      <c r="G384" s="9">
        <v>1900</v>
      </c>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spans="1:38" hidden="1">
      <c r="B385" s="6" t="s">
        <v>113</v>
      </c>
      <c r="C385" s="7">
        <v>61</v>
      </c>
      <c r="D385" s="7">
        <v>1</v>
      </c>
      <c r="E385" s="8">
        <v>24300</v>
      </c>
      <c r="F385" s="9"/>
      <c r="G385" s="9">
        <v>2200</v>
      </c>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spans="1:38">
      <c r="A386" s="7" t="s">
        <v>42</v>
      </c>
      <c r="B386" s="6" t="s">
        <v>113</v>
      </c>
      <c r="C386" s="7" t="s">
        <v>43</v>
      </c>
      <c r="D386" s="7">
        <v>1</v>
      </c>
      <c r="E386" s="8">
        <v>22572</v>
      </c>
      <c r="F386" s="10"/>
      <c r="G386" s="9">
        <v>2260</v>
      </c>
      <c r="H386" s="9">
        <v>526</v>
      </c>
      <c r="I386" s="9">
        <v>1430</v>
      </c>
      <c r="J386" s="9">
        <v>17635</v>
      </c>
      <c r="K386" s="9">
        <v>26.8</v>
      </c>
      <c r="L386" s="9">
        <v>0.98499999999999999</v>
      </c>
      <c r="M386" s="9">
        <v>413</v>
      </c>
      <c r="N386" s="9">
        <v>90.6</v>
      </c>
      <c r="O386" s="9">
        <v>1042</v>
      </c>
      <c r="P386" s="9">
        <v>1042</v>
      </c>
      <c r="Q386" s="9">
        <v>168</v>
      </c>
      <c r="R386" s="9">
        <v>352</v>
      </c>
      <c r="S386" s="9">
        <v>15541</v>
      </c>
      <c r="T386" s="9"/>
      <c r="U386" s="9">
        <v>8.86</v>
      </c>
      <c r="V386" s="9">
        <v>731</v>
      </c>
      <c r="W386" s="9">
        <v>207</v>
      </c>
      <c r="X386" s="9">
        <v>180</v>
      </c>
      <c r="Y386" s="9">
        <v>169</v>
      </c>
      <c r="Z386" s="9">
        <v>11.5</v>
      </c>
      <c r="AA386" s="9">
        <v>117</v>
      </c>
      <c r="AB386" s="9"/>
      <c r="AC386" s="9">
        <v>62.9</v>
      </c>
      <c r="AD386" s="9">
        <v>186</v>
      </c>
      <c r="AE386" s="9">
        <v>277</v>
      </c>
      <c r="AF386" s="9"/>
      <c r="AG386" s="9"/>
      <c r="AH386" s="9"/>
      <c r="AI386" s="9"/>
      <c r="AJ386" s="9"/>
      <c r="AK386" s="9"/>
      <c r="AL386" s="9"/>
    </row>
    <row r="387" spans="1:38" hidden="1">
      <c r="B387" s="6" t="s">
        <v>113</v>
      </c>
      <c r="C387" s="7" t="s">
        <v>40</v>
      </c>
      <c r="D387" s="7">
        <v>1</v>
      </c>
      <c r="E387" s="8">
        <v>21220</v>
      </c>
      <c r="F387" s="9"/>
      <c r="G387" s="9"/>
      <c r="H387" s="9"/>
      <c r="I387" s="9"/>
      <c r="J387" s="9"/>
      <c r="K387" s="9"/>
      <c r="L387" s="9"/>
      <c r="M387" s="9"/>
      <c r="N387" s="9"/>
      <c r="O387" s="9"/>
      <c r="P387" s="9"/>
      <c r="Q387" s="9"/>
      <c r="R387" s="9"/>
      <c r="S387" s="9">
        <v>14140</v>
      </c>
      <c r="T387" s="9">
        <v>10440</v>
      </c>
      <c r="U387" s="9"/>
      <c r="V387" s="9"/>
      <c r="W387" s="9"/>
      <c r="X387" s="9"/>
      <c r="Y387" s="9"/>
      <c r="Z387" s="9"/>
      <c r="AA387" s="9"/>
      <c r="AB387" s="9">
        <v>1430</v>
      </c>
      <c r="AC387" s="9"/>
      <c r="AD387" s="9"/>
      <c r="AE387" s="9"/>
      <c r="AF387" s="9"/>
      <c r="AG387" s="9"/>
      <c r="AH387" s="9"/>
      <c r="AI387" s="9"/>
      <c r="AJ387" s="9"/>
      <c r="AK387" s="9"/>
      <c r="AL387" s="9"/>
    </row>
    <row r="388" spans="1:38" hidden="1">
      <c r="B388" s="6" t="s">
        <v>113</v>
      </c>
      <c r="C388" s="7" t="s">
        <v>55</v>
      </c>
      <c r="D388" s="7">
        <v>4</v>
      </c>
      <c r="E388" s="8">
        <v>23100</v>
      </c>
      <c r="F388" s="9"/>
      <c r="G388" s="9">
        <v>2000</v>
      </c>
      <c r="H388" s="9"/>
      <c r="I388" s="9"/>
      <c r="J388" s="9"/>
      <c r="K388" s="9"/>
      <c r="L388" s="9"/>
      <c r="M388" s="9"/>
      <c r="N388" s="9"/>
      <c r="O388" s="9"/>
      <c r="P388" s="9"/>
      <c r="Q388" s="9"/>
      <c r="R388" s="9"/>
      <c r="S388" s="9">
        <v>16500</v>
      </c>
      <c r="T388" s="9">
        <v>11700</v>
      </c>
      <c r="U388" s="9"/>
      <c r="V388" s="9"/>
      <c r="W388" s="9"/>
      <c r="X388" s="9"/>
      <c r="Y388" s="9"/>
      <c r="Z388" s="9"/>
      <c r="AA388" s="9"/>
      <c r="AB388" s="9"/>
      <c r="AC388" s="9"/>
      <c r="AD388" s="9"/>
      <c r="AE388" s="9"/>
      <c r="AF388" s="9"/>
      <c r="AG388" s="9"/>
      <c r="AH388" s="9"/>
      <c r="AI388" s="9"/>
      <c r="AJ388" s="9"/>
      <c r="AK388" s="9"/>
      <c r="AL388" s="9"/>
    </row>
    <row r="389" spans="1:38" hidden="1">
      <c r="B389" s="6" t="s">
        <v>114</v>
      </c>
      <c r="C389" s="7" t="s">
        <v>40</v>
      </c>
      <c r="D389" s="7">
        <v>1</v>
      </c>
      <c r="E389" s="8">
        <v>107540</v>
      </c>
      <c r="F389" s="9"/>
      <c r="G389" s="9"/>
      <c r="H389" s="9"/>
      <c r="I389" s="9"/>
      <c r="J389" s="9"/>
      <c r="K389" s="9"/>
      <c r="L389" s="9"/>
      <c r="M389" s="9"/>
      <c r="N389" s="9"/>
      <c r="O389" s="9"/>
      <c r="P389" s="9"/>
      <c r="Q389" s="9"/>
      <c r="R389" s="9"/>
      <c r="S389" s="9">
        <v>76110</v>
      </c>
      <c r="T389" s="9">
        <v>51850</v>
      </c>
      <c r="U389" s="9"/>
      <c r="V389" s="9"/>
      <c r="W389" s="9"/>
      <c r="X389" s="9"/>
      <c r="Y389" s="9"/>
      <c r="Z389" s="9"/>
      <c r="AA389" s="9"/>
      <c r="AB389" s="9">
        <v>4320</v>
      </c>
      <c r="AC389" s="9">
        <v>140</v>
      </c>
      <c r="AD389" s="9"/>
      <c r="AE389" s="9"/>
      <c r="AF389" s="9"/>
      <c r="AG389" s="9"/>
      <c r="AH389" s="9"/>
      <c r="AI389" s="9"/>
      <c r="AJ389" s="9"/>
      <c r="AK389" s="9"/>
      <c r="AL389" s="9"/>
    </row>
    <row r="390" spans="1:38" hidden="1">
      <c r="B390" s="6" t="s">
        <v>115</v>
      </c>
      <c r="C390" s="7">
        <v>43</v>
      </c>
      <c r="D390" s="7">
        <v>1</v>
      </c>
      <c r="E390" s="8">
        <v>133880</v>
      </c>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v>396</v>
      </c>
      <c r="AJ390" s="9">
        <v>294</v>
      </c>
      <c r="AK390" s="9">
        <v>142</v>
      </c>
      <c r="AL390" s="9">
        <v>832</v>
      </c>
    </row>
    <row r="391" spans="1:38" hidden="1">
      <c r="B391" s="6" t="s">
        <v>115</v>
      </c>
      <c r="C391" s="7">
        <v>60</v>
      </c>
      <c r="D391" s="7">
        <v>1</v>
      </c>
      <c r="E391" s="8">
        <v>133900</v>
      </c>
      <c r="F391" s="9"/>
      <c r="G391" s="9"/>
      <c r="H391" s="9"/>
      <c r="I391" s="9"/>
      <c r="J391" s="9"/>
      <c r="K391" s="9"/>
      <c r="L391" s="9"/>
      <c r="M391" s="9"/>
      <c r="N391" s="9"/>
      <c r="O391" s="9"/>
      <c r="P391" s="9"/>
      <c r="Q391" s="9"/>
      <c r="R391" s="9"/>
      <c r="S391" s="9"/>
      <c r="T391" s="9"/>
      <c r="U391" s="9"/>
      <c r="V391" s="9"/>
      <c r="W391" s="9"/>
      <c r="X391" s="9"/>
      <c r="Y391" s="9"/>
      <c r="Z391" s="9"/>
      <c r="AA391" s="9"/>
      <c r="AB391" s="9">
        <v>5400</v>
      </c>
      <c r="AC391" s="9"/>
      <c r="AD391" s="9"/>
      <c r="AE391" s="9"/>
      <c r="AF391" s="9"/>
      <c r="AG391" s="9"/>
      <c r="AH391" s="9"/>
      <c r="AI391" s="9"/>
      <c r="AJ391" s="9"/>
      <c r="AK391" s="9"/>
      <c r="AL391" s="9"/>
    </row>
    <row r="392" spans="1:38" hidden="1">
      <c r="B392" s="6" t="s">
        <v>116</v>
      </c>
      <c r="C392" s="7">
        <v>34</v>
      </c>
      <c r="D392" s="7">
        <v>2</v>
      </c>
      <c r="E392" s="8">
        <v>3467.4063800277386</v>
      </c>
      <c r="F392" s="9"/>
      <c r="G392" s="9"/>
      <c r="H392" s="9"/>
      <c r="I392" s="9"/>
      <c r="J392" s="9"/>
      <c r="K392" s="9"/>
      <c r="L392" s="9"/>
      <c r="M392" s="9"/>
      <c r="N392" s="9"/>
      <c r="O392" s="9"/>
      <c r="P392" s="9"/>
      <c r="Q392" s="9"/>
      <c r="R392" s="9"/>
      <c r="S392" s="9"/>
      <c r="T392" s="9"/>
      <c r="U392" s="9"/>
      <c r="V392" s="9"/>
      <c r="W392" s="9"/>
      <c r="X392" s="9"/>
      <c r="Y392" s="9"/>
      <c r="Z392" s="9"/>
      <c r="AA392" s="9"/>
      <c r="AB392" s="9">
        <v>349</v>
      </c>
      <c r="AC392" s="9"/>
      <c r="AD392" s="9"/>
      <c r="AE392" s="9"/>
      <c r="AF392" s="9"/>
      <c r="AG392" s="9"/>
      <c r="AH392" s="9"/>
      <c r="AI392" s="9"/>
      <c r="AJ392" s="9"/>
      <c r="AK392" s="9"/>
      <c r="AL392" s="9"/>
    </row>
    <row r="393" spans="1:38" hidden="1">
      <c r="B393" s="6" t="s">
        <v>116</v>
      </c>
      <c r="C393" s="7">
        <v>53</v>
      </c>
      <c r="D393" s="7">
        <v>2</v>
      </c>
      <c r="E393" s="8">
        <v>3393</v>
      </c>
      <c r="F393" s="9">
        <v>206.85</v>
      </c>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v>0.72</v>
      </c>
      <c r="AG393" s="9">
        <v>1.5</v>
      </c>
      <c r="AH393" s="9">
        <v>0.56000000000000005</v>
      </c>
      <c r="AI393" s="9"/>
      <c r="AJ393" s="9"/>
      <c r="AK393" s="9"/>
      <c r="AL393" s="9"/>
    </row>
    <row r="394" spans="1:38">
      <c r="A394" s="7" t="s">
        <v>42</v>
      </c>
      <c r="B394" s="6" t="s">
        <v>116</v>
      </c>
      <c r="C394" s="7" t="s">
        <v>43</v>
      </c>
      <c r="D394" s="7">
        <v>2</v>
      </c>
      <c r="E394" s="8">
        <v>3393</v>
      </c>
      <c r="F394" s="10"/>
      <c r="G394" s="9">
        <v>428</v>
      </c>
      <c r="H394" s="9">
        <v>197</v>
      </c>
      <c r="I394" s="9">
        <v>303</v>
      </c>
      <c r="J394" s="9">
        <v>2258</v>
      </c>
      <c r="K394" s="9">
        <v>79.2</v>
      </c>
      <c r="L394" s="9">
        <v>0.82</v>
      </c>
      <c r="M394" s="9">
        <v>92.7</v>
      </c>
      <c r="N394" s="9">
        <v>23.3</v>
      </c>
      <c r="O394" s="9">
        <v>133</v>
      </c>
      <c r="P394" s="9">
        <v>133</v>
      </c>
      <c r="Q394" s="9">
        <v>69</v>
      </c>
      <c r="R394" s="9">
        <v>153</v>
      </c>
      <c r="S394" s="9">
        <v>1768</v>
      </c>
      <c r="T394" s="9"/>
      <c r="U394" s="9">
        <v>2.5299999999999998</v>
      </c>
      <c r="V394" s="9">
        <v>175</v>
      </c>
      <c r="W394" s="9">
        <v>42.5</v>
      </c>
      <c r="X394" s="9">
        <v>17.100000000000001</v>
      </c>
      <c r="Y394" s="9">
        <v>16.100000000000001</v>
      </c>
      <c r="Z394" s="9">
        <v>1.0900000000000001</v>
      </c>
      <c r="AA394" s="9">
        <v>15.5</v>
      </c>
      <c r="AB394" s="9"/>
      <c r="AC394" s="9">
        <v>20.8</v>
      </c>
      <c r="AD394" s="9">
        <v>39.1</v>
      </c>
      <c r="AE394" s="9">
        <v>49.8</v>
      </c>
      <c r="AF394" s="9"/>
      <c r="AG394" s="9"/>
      <c r="AH394" s="9"/>
      <c r="AI394" s="9"/>
      <c r="AJ394" s="9"/>
      <c r="AK394" s="9"/>
      <c r="AL394" s="9"/>
    </row>
    <row r="395" spans="1:38" hidden="1">
      <c r="B395" s="6" t="s">
        <v>116</v>
      </c>
      <c r="C395" s="7" t="s">
        <v>40</v>
      </c>
      <c r="D395" s="7">
        <v>1</v>
      </c>
      <c r="E395" s="8">
        <v>3060</v>
      </c>
      <c r="F395" s="9"/>
      <c r="G395" s="9"/>
      <c r="H395" s="9"/>
      <c r="I395" s="9"/>
      <c r="J395" s="9"/>
      <c r="K395" s="9"/>
      <c r="L395" s="9"/>
      <c r="M395" s="9"/>
      <c r="N395" s="9"/>
      <c r="O395" s="9"/>
      <c r="P395" s="9"/>
      <c r="Q395" s="9"/>
      <c r="R395" s="9"/>
      <c r="S395" s="9">
        <v>1619.9999999999998</v>
      </c>
      <c r="T395" s="9">
        <v>1470</v>
      </c>
      <c r="U395" s="9"/>
      <c r="V395" s="9"/>
      <c r="W395" s="9"/>
      <c r="X395" s="9"/>
      <c r="Y395" s="9"/>
      <c r="Z395" s="9"/>
      <c r="AA395" s="9"/>
      <c r="AB395" s="9">
        <v>280</v>
      </c>
      <c r="AC395" s="9">
        <v>20</v>
      </c>
      <c r="AD395" s="9"/>
      <c r="AE395" s="9"/>
      <c r="AF395" s="9"/>
      <c r="AG395" s="9"/>
      <c r="AH395" s="9"/>
      <c r="AI395" s="9"/>
      <c r="AJ395" s="9"/>
      <c r="AK395" s="9"/>
      <c r="AL395" s="9"/>
    </row>
    <row r="396" spans="1:38" hidden="1">
      <c r="B396" s="6" t="s">
        <v>117</v>
      </c>
      <c r="C396" s="7">
        <v>43</v>
      </c>
      <c r="D396" s="7">
        <v>1</v>
      </c>
      <c r="E396" s="8">
        <v>98552</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v>498</v>
      </c>
      <c r="AJ396" s="9">
        <v>434</v>
      </c>
      <c r="AK396" s="9">
        <v>320</v>
      </c>
      <c r="AL396" s="9">
        <v>1250</v>
      </c>
    </row>
    <row r="397" spans="1:38" hidden="1">
      <c r="B397" s="6" t="s">
        <v>118</v>
      </c>
      <c r="C397" s="7">
        <v>34</v>
      </c>
      <c r="D397" s="7">
        <v>1</v>
      </c>
      <c r="E397" s="8">
        <v>30427.015501642363</v>
      </c>
      <c r="F397" s="9"/>
      <c r="G397" s="9"/>
      <c r="H397" s="9"/>
      <c r="I397" s="9"/>
      <c r="J397" s="9"/>
      <c r="K397" s="9"/>
      <c r="L397" s="9"/>
      <c r="M397" s="9"/>
      <c r="N397" s="9"/>
      <c r="O397" s="9"/>
      <c r="P397" s="9"/>
      <c r="Q397" s="9"/>
      <c r="R397" s="9"/>
      <c r="S397" s="9"/>
      <c r="T397" s="9"/>
      <c r="U397" s="9"/>
      <c r="V397" s="9"/>
      <c r="W397" s="9"/>
      <c r="X397" s="9"/>
      <c r="Y397" s="9"/>
      <c r="Z397" s="9"/>
      <c r="AA397" s="9"/>
      <c r="AB397" s="9">
        <v>1745</v>
      </c>
      <c r="AC397" s="9"/>
      <c r="AD397" s="9"/>
      <c r="AE397" s="9"/>
      <c r="AF397" s="9"/>
      <c r="AG397" s="9"/>
      <c r="AH397" s="9"/>
      <c r="AI397" s="9"/>
      <c r="AJ397" s="9"/>
      <c r="AK397" s="9"/>
      <c r="AL397" s="9"/>
    </row>
    <row r="398" spans="1:38" hidden="1">
      <c r="B398" s="6" t="s">
        <v>118</v>
      </c>
      <c r="C398" s="7">
        <v>43</v>
      </c>
      <c r="D398" s="7">
        <v>1</v>
      </c>
      <c r="E398" s="8">
        <v>30405</v>
      </c>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v>88</v>
      </c>
      <c r="AJ398" s="9">
        <v>88</v>
      </c>
      <c r="AK398" s="9">
        <v>24</v>
      </c>
      <c r="AL398" s="9">
        <v>200</v>
      </c>
    </row>
    <row r="399" spans="1:38" hidden="1">
      <c r="B399" s="6" t="s">
        <v>118</v>
      </c>
      <c r="C399" s="7">
        <v>53</v>
      </c>
      <c r="D399" s="7">
        <v>1</v>
      </c>
      <c r="E399" s="8">
        <v>29713</v>
      </c>
      <c r="F399" s="9">
        <v>1420</v>
      </c>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v>3.22</v>
      </c>
      <c r="AG399" s="9">
        <v>5.3</v>
      </c>
      <c r="AH399" s="9">
        <v>6.26</v>
      </c>
      <c r="AI399" s="9"/>
      <c r="AJ399" s="9"/>
      <c r="AK399" s="9"/>
      <c r="AL399" s="9"/>
    </row>
    <row r="400" spans="1:38" hidden="1">
      <c r="A400" s="7" t="s">
        <v>42</v>
      </c>
      <c r="B400" s="6" t="s">
        <v>118</v>
      </c>
      <c r="C400" s="7" t="s">
        <v>43</v>
      </c>
      <c r="D400" s="7">
        <v>1</v>
      </c>
      <c r="E400" s="8">
        <v>29713</v>
      </c>
      <c r="F400" s="10"/>
      <c r="G400" s="9">
        <v>4286</v>
      </c>
      <c r="H400" s="9">
        <v>1018</v>
      </c>
      <c r="I400" s="9">
        <v>2529</v>
      </c>
      <c r="J400" s="9">
        <v>20461</v>
      </c>
      <c r="K400" s="9">
        <v>369</v>
      </c>
      <c r="L400" s="9">
        <v>5.27</v>
      </c>
      <c r="M400" s="9">
        <v>985</v>
      </c>
      <c r="N400" s="9">
        <v>206</v>
      </c>
      <c r="O400" s="9">
        <v>1591</v>
      </c>
      <c r="P400" s="9">
        <v>1591</v>
      </c>
      <c r="Q400" s="9">
        <v>608</v>
      </c>
      <c r="R400" s="9">
        <v>1404</v>
      </c>
      <c r="S400" s="9">
        <v>15293</v>
      </c>
      <c r="T400" s="9"/>
      <c r="U400" s="9"/>
      <c r="V400" s="9"/>
      <c r="W400" s="9"/>
      <c r="X400" s="9"/>
      <c r="Y400" s="9"/>
      <c r="Z400" s="9"/>
      <c r="AA400" s="9"/>
      <c r="AB400" s="9"/>
      <c r="AC400" s="9">
        <v>68.900000000000006</v>
      </c>
      <c r="AD400" s="9"/>
      <c r="AE400" s="9"/>
      <c r="AF400" s="9"/>
      <c r="AG400" s="9"/>
      <c r="AH400" s="9"/>
      <c r="AI400" s="9"/>
      <c r="AJ400" s="9"/>
      <c r="AK400" s="9"/>
      <c r="AL400" s="9"/>
    </row>
  </sheetData>
  <autoFilter ref="A1:AL400" xr:uid="{00000000-0009-0000-0000-000000000000}">
    <filterColumn colId="21">
      <filters>
        <filter val="10200.00"/>
        <filter val="1028.00"/>
        <filter val="10547.00"/>
        <filter val="11000.00"/>
        <filter val="11400.00"/>
        <filter val="1341.00"/>
        <filter val="153.00"/>
        <filter val="175.00"/>
        <filter val="190.00"/>
        <filter val="1916.00"/>
        <filter val="2163.00"/>
        <filter val="2164.00"/>
        <filter val="271.00"/>
        <filter val="2930.00"/>
        <filter val="2933.00"/>
        <filter val="2959.00"/>
        <filter val="3036.00"/>
        <filter val="3226.00"/>
        <filter val="337.00"/>
        <filter val="348.00"/>
        <filter val="410.00"/>
        <filter val="437.00"/>
        <filter val="4788.00"/>
        <filter val="489.00"/>
        <filter val="587.00"/>
        <filter val="5900.00"/>
        <filter val="6300.00"/>
        <filter val="6400.00"/>
        <filter val="6500.00"/>
        <filter val="6700.00"/>
        <filter val="6800.00"/>
        <filter val="7000.00"/>
        <filter val="7200.00"/>
        <filter val="731.00"/>
        <filter val="7400.00"/>
        <filter val="7500.00"/>
        <filter val="7600.00"/>
        <filter val="7700.00"/>
        <filter val="78.30"/>
        <filter val="7900.00"/>
        <filter val="7987.00"/>
        <filter val="8000.00"/>
        <filter val="8200.00"/>
        <filter val="8300.00"/>
        <filter val="8400.00"/>
        <filter val="8500.00"/>
        <filter val="9000.00"/>
        <filter val="9100.00"/>
        <filter val="9700.00"/>
        <filter val="9900.00"/>
      </filters>
    </filterColumn>
    <sortState xmlns:xlrd2="http://schemas.microsoft.com/office/spreadsheetml/2017/richdata2" ref="A2:AL400">
      <sortCondition ref="B1:B400"/>
    </sortState>
  </autoFilter>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B6"/>
  <sheetViews>
    <sheetView workbookViewId="0"/>
  </sheetViews>
  <sheetFormatPr defaultColWidth="8.7109375" defaultRowHeight="11.1"/>
  <cols>
    <col min="1" max="1" width="2.140625" style="6" bestFit="1" customWidth="1"/>
    <col min="2" max="2" width="79.42578125" style="6" bestFit="1" customWidth="1"/>
    <col min="3" max="16384" width="8.7109375" style="6"/>
  </cols>
  <sheetData>
    <row r="1" spans="1:2">
      <c r="A1" s="6" t="s">
        <v>119</v>
      </c>
      <c r="B1" s="6" t="s">
        <v>120</v>
      </c>
    </row>
    <row r="2" spans="1:2">
      <c r="A2" s="6" t="s">
        <v>42</v>
      </c>
      <c r="B2" s="6" t="s">
        <v>121</v>
      </c>
    </row>
    <row r="3" spans="1:2">
      <c r="A3" s="6" t="s">
        <v>122</v>
      </c>
      <c r="B3" s="6" t="s">
        <v>123</v>
      </c>
    </row>
    <row r="4" spans="1:2">
      <c r="A4" s="6" t="s">
        <v>124</v>
      </c>
      <c r="B4" s="6" t="s">
        <v>125</v>
      </c>
    </row>
    <row r="5" spans="1:2">
      <c r="A5" s="6" t="s">
        <v>72</v>
      </c>
      <c r="B5" s="6" t="s">
        <v>126</v>
      </c>
    </row>
    <row r="6" spans="1:2">
      <c r="A6" s="6" t="s">
        <v>70</v>
      </c>
      <c r="B6" s="6"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D73"/>
  <sheetViews>
    <sheetView zoomScaleNormal="100" workbookViewId="0"/>
  </sheetViews>
  <sheetFormatPr defaultColWidth="8.7109375" defaultRowHeight="11.1"/>
  <cols>
    <col min="1" max="1" width="21.42578125" style="6" bestFit="1" customWidth="1"/>
    <col min="2" max="2" width="16.42578125" style="6" bestFit="1" customWidth="1"/>
    <col min="3" max="3" width="13.85546875" style="7" bestFit="1" customWidth="1"/>
    <col min="4" max="4" width="57" style="6" bestFit="1" customWidth="1"/>
    <col min="5" max="16384" width="8.7109375" style="6"/>
  </cols>
  <sheetData>
    <row r="1" spans="1:4">
      <c r="A1" s="13" t="s">
        <v>1</v>
      </c>
      <c r="B1" s="13" t="s">
        <v>128</v>
      </c>
      <c r="C1" s="1" t="s">
        <v>2</v>
      </c>
      <c r="D1" s="1" t="s">
        <v>129</v>
      </c>
    </row>
    <row r="2" spans="1:4">
      <c r="A2" s="6" t="s">
        <v>38</v>
      </c>
      <c r="B2" s="6" t="s">
        <v>130</v>
      </c>
      <c r="C2" s="7">
        <v>71</v>
      </c>
      <c r="D2" s="14"/>
    </row>
    <row r="3" spans="1:4">
      <c r="A3" s="6" t="s">
        <v>39</v>
      </c>
      <c r="B3" s="6" t="s">
        <v>130</v>
      </c>
      <c r="C3" s="7">
        <v>71</v>
      </c>
      <c r="D3" s="14"/>
    </row>
    <row r="4" spans="1:4">
      <c r="A4" s="6" t="s">
        <v>41</v>
      </c>
      <c r="B4" s="6" t="s">
        <v>130</v>
      </c>
      <c r="C4" s="7">
        <v>71</v>
      </c>
      <c r="D4" s="14"/>
    </row>
    <row r="5" spans="1:4">
      <c r="A5" s="6" t="s">
        <v>44</v>
      </c>
      <c r="B5" s="22" t="s">
        <v>131</v>
      </c>
      <c r="C5" s="15" t="s">
        <v>132</v>
      </c>
      <c r="D5" s="16" t="s">
        <v>133</v>
      </c>
    </row>
    <row r="6" spans="1:4">
      <c r="A6" s="6" t="s">
        <v>45</v>
      </c>
      <c r="B6" s="6" t="s">
        <v>130</v>
      </c>
      <c r="C6" s="7">
        <v>71</v>
      </c>
      <c r="D6" s="14"/>
    </row>
    <row r="7" spans="1:4">
      <c r="A7" s="6" t="s">
        <v>46</v>
      </c>
      <c r="B7" s="6" t="s">
        <v>130</v>
      </c>
      <c r="C7" s="7">
        <v>71</v>
      </c>
      <c r="D7" s="14"/>
    </row>
    <row r="8" spans="1:4">
      <c r="A8" s="6" t="s">
        <v>47</v>
      </c>
      <c r="B8" s="6" t="s">
        <v>134</v>
      </c>
      <c r="C8" s="7">
        <v>70</v>
      </c>
      <c r="D8" s="14"/>
    </row>
    <row r="9" spans="1:4">
      <c r="A9" s="6" t="s">
        <v>48</v>
      </c>
      <c r="B9" s="6" t="s">
        <v>134</v>
      </c>
      <c r="C9" s="7">
        <v>69</v>
      </c>
      <c r="D9" s="14"/>
    </row>
    <row r="10" spans="1:4">
      <c r="A10" s="6" t="s">
        <v>49</v>
      </c>
      <c r="B10" s="6" t="s">
        <v>130</v>
      </c>
      <c r="C10" s="7">
        <v>70</v>
      </c>
      <c r="D10" s="14"/>
    </row>
    <row r="11" spans="1:4">
      <c r="A11" s="6" t="s">
        <v>50</v>
      </c>
      <c r="B11" s="6" t="s">
        <v>130</v>
      </c>
      <c r="C11" s="7">
        <v>69</v>
      </c>
      <c r="D11" s="14"/>
    </row>
    <row r="12" spans="1:4">
      <c r="A12" s="6" t="s">
        <v>51</v>
      </c>
      <c r="B12" s="6" t="s">
        <v>130</v>
      </c>
      <c r="C12" s="7">
        <v>71</v>
      </c>
      <c r="D12" s="14"/>
    </row>
    <row r="13" spans="1:4">
      <c r="A13" s="6" t="s">
        <v>52</v>
      </c>
      <c r="B13" s="6" t="s">
        <v>130</v>
      </c>
      <c r="C13" s="7">
        <v>70</v>
      </c>
      <c r="D13" s="14"/>
    </row>
    <row r="14" spans="1:4">
      <c r="A14" s="6" t="s">
        <v>53</v>
      </c>
      <c r="B14" s="6" t="s">
        <v>130</v>
      </c>
      <c r="C14" s="7">
        <v>71</v>
      </c>
      <c r="D14" s="14"/>
    </row>
    <row r="15" spans="1:4">
      <c r="A15" s="6" t="s">
        <v>54</v>
      </c>
      <c r="B15" s="6" t="s">
        <v>130</v>
      </c>
      <c r="C15" s="7">
        <v>71</v>
      </c>
      <c r="D15" s="14"/>
    </row>
    <row r="16" spans="1:4">
      <c r="A16" s="6" t="s">
        <v>56</v>
      </c>
      <c r="B16" s="6" t="s">
        <v>130</v>
      </c>
      <c r="C16" s="7">
        <v>69</v>
      </c>
      <c r="D16" s="14"/>
    </row>
    <row r="17" spans="1:4">
      <c r="A17" s="6" t="s">
        <v>57</v>
      </c>
      <c r="B17" s="6" t="s">
        <v>130</v>
      </c>
      <c r="C17" s="7">
        <v>69</v>
      </c>
      <c r="D17" s="14"/>
    </row>
    <row r="18" spans="1:4">
      <c r="A18" s="6" t="s">
        <v>58</v>
      </c>
      <c r="B18" s="6" t="s">
        <v>130</v>
      </c>
      <c r="C18" s="7">
        <v>71</v>
      </c>
      <c r="D18" s="14"/>
    </row>
    <row r="19" spans="1:4">
      <c r="A19" s="6" t="s">
        <v>59</v>
      </c>
      <c r="B19" s="6" t="s">
        <v>130</v>
      </c>
      <c r="C19" s="7">
        <v>69</v>
      </c>
      <c r="D19" s="14"/>
    </row>
    <row r="20" spans="1:4">
      <c r="A20" s="6" t="s">
        <v>60</v>
      </c>
      <c r="B20" s="6" t="s">
        <v>130</v>
      </c>
      <c r="C20" s="7">
        <v>69</v>
      </c>
      <c r="D20" s="14"/>
    </row>
    <row r="21" spans="1:4">
      <c r="A21" s="6" t="s">
        <v>61</v>
      </c>
      <c r="B21" s="6" t="s">
        <v>134</v>
      </c>
      <c r="C21" s="7">
        <v>71</v>
      </c>
      <c r="D21" s="14"/>
    </row>
    <row r="22" spans="1:4">
      <c r="A22" s="6" t="s">
        <v>62</v>
      </c>
      <c r="B22" s="6" t="s">
        <v>134</v>
      </c>
      <c r="C22" s="7">
        <v>71</v>
      </c>
      <c r="D22" s="14"/>
    </row>
    <row r="23" spans="1:4">
      <c r="A23" s="6" t="s">
        <v>63</v>
      </c>
      <c r="B23" s="6" t="s">
        <v>130</v>
      </c>
      <c r="C23" s="7">
        <v>69</v>
      </c>
      <c r="D23" s="14"/>
    </row>
    <row r="24" spans="1:4">
      <c r="A24" s="6" t="s">
        <v>64</v>
      </c>
      <c r="B24" s="6" t="s">
        <v>134</v>
      </c>
      <c r="C24" s="7">
        <v>71</v>
      </c>
      <c r="D24" s="14"/>
    </row>
    <row r="25" spans="1:4">
      <c r="A25" s="6" t="s">
        <v>65</v>
      </c>
      <c r="B25" s="6" t="s">
        <v>130</v>
      </c>
      <c r="C25" s="7">
        <v>71</v>
      </c>
      <c r="D25" s="14"/>
    </row>
    <row r="26" spans="1:4">
      <c r="A26" s="6" t="s">
        <v>66</v>
      </c>
      <c r="B26" s="6" t="s">
        <v>135</v>
      </c>
      <c r="C26" s="7">
        <v>71</v>
      </c>
      <c r="D26" s="14"/>
    </row>
    <row r="27" spans="1:4">
      <c r="A27" s="6" t="s">
        <v>67</v>
      </c>
      <c r="B27" s="6" t="s">
        <v>135</v>
      </c>
      <c r="C27" s="7">
        <v>71</v>
      </c>
      <c r="D27" s="14"/>
    </row>
    <row r="28" spans="1:4">
      <c r="A28" s="6" t="s">
        <v>68</v>
      </c>
      <c r="B28" s="6" t="s">
        <v>134</v>
      </c>
      <c r="C28" s="7">
        <v>70</v>
      </c>
      <c r="D28" s="14"/>
    </row>
    <row r="29" spans="1:4">
      <c r="A29" s="6" t="s">
        <v>69</v>
      </c>
      <c r="B29" s="6" t="s">
        <v>134</v>
      </c>
      <c r="C29" s="7">
        <v>71</v>
      </c>
      <c r="D29" s="14"/>
    </row>
    <row r="30" spans="1:4">
      <c r="A30" s="6" t="s">
        <v>71</v>
      </c>
      <c r="B30" s="6" t="s">
        <v>130</v>
      </c>
      <c r="C30" s="17" t="s">
        <v>136</v>
      </c>
      <c r="D30" s="18"/>
    </row>
    <row r="31" spans="1:4">
      <c r="A31" s="6" t="s">
        <v>73</v>
      </c>
      <c r="B31" s="6" t="s">
        <v>130</v>
      </c>
      <c r="C31" s="7">
        <v>69</v>
      </c>
      <c r="D31" s="14"/>
    </row>
    <row r="32" spans="1:4">
      <c r="A32" s="6" t="s">
        <v>76</v>
      </c>
      <c r="B32" s="6" t="s">
        <v>130</v>
      </c>
      <c r="C32" s="17" t="s">
        <v>136</v>
      </c>
      <c r="D32" s="18"/>
    </row>
    <row r="33" spans="1:4">
      <c r="A33" s="6" t="s">
        <v>77</v>
      </c>
      <c r="B33" s="6" t="s">
        <v>130</v>
      </c>
      <c r="C33" s="7">
        <v>71</v>
      </c>
      <c r="D33" s="14"/>
    </row>
    <row r="34" spans="1:4">
      <c r="A34" s="6" t="s">
        <v>79</v>
      </c>
      <c r="B34" s="6" t="s">
        <v>130</v>
      </c>
      <c r="C34" s="7">
        <v>71</v>
      </c>
      <c r="D34" s="14"/>
    </row>
    <row r="35" spans="1:4">
      <c r="A35" s="6" t="s">
        <v>80</v>
      </c>
      <c r="B35" s="6" t="s">
        <v>130</v>
      </c>
      <c r="C35" s="7">
        <v>70</v>
      </c>
      <c r="D35" s="14"/>
    </row>
    <row r="36" spans="1:4">
      <c r="A36" s="6" t="s">
        <v>81</v>
      </c>
      <c r="B36" s="6" t="s">
        <v>130</v>
      </c>
      <c r="C36" s="7">
        <v>71</v>
      </c>
      <c r="D36" s="14"/>
    </row>
    <row r="37" spans="1:4">
      <c r="A37" s="6" t="s">
        <v>82</v>
      </c>
      <c r="B37" s="6" t="s">
        <v>130</v>
      </c>
      <c r="C37" s="7">
        <v>71</v>
      </c>
      <c r="D37" s="14"/>
    </row>
    <row r="38" spans="1:4">
      <c r="A38" s="6" t="s">
        <v>83</v>
      </c>
      <c r="B38" s="6" t="s">
        <v>130</v>
      </c>
      <c r="C38" s="7">
        <v>69</v>
      </c>
      <c r="D38" s="14"/>
    </row>
    <row r="39" spans="1:4">
      <c r="A39" s="6" t="s">
        <v>84</v>
      </c>
      <c r="B39" s="6" t="s">
        <v>134</v>
      </c>
      <c r="C39" s="7">
        <v>69</v>
      </c>
      <c r="D39" s="14"/>
    </row>
    <row r="40" spans="1:4">
      <c r="A40" s="6" t="s">
        <v>85</v>
      </c>
      <c r="B40" s="6" t="s">
        <v>130</v>
      </c>
      <c r="C40" s="7">
        <v>70</v>
      </c>
      <c r="D40" s="14"/>
    </row>
    <row r="41" spans="1:4">
      <c r="A41" s="6" t="s">
        <v>86</v>
      </c>
      <c r="B41" s="6" t="s">
        <v>134</v>
      </c>
      <c r="C41" s="7">
        <v>71</v>
      </c>
      <c r="D41" s="14"/>
    </row>
    <row r="42" spans="1:4">
      <c r="A42" s="6" t="s">
        <v>87</v>
      </c>
      <c r="B42" s="6" t="s">
        <v>130</v>
      </c>
      <c r="C42" s="7">
        <v>69</v>
      </c>
      <c r="D42" s="14"/>
    </row>
    <row r="43" spans="1:4">
      <c r="A43" s="6" t="s">
        <v>88</v>
      </c>
      <c r="B43" s="6" t="s">
        <v>130</v>
      </c>
      <c r="C43" s="7">
        <v>69</v>
      </c>
      <c r="D43" s="14"/>
    </row>
    <row r="44" spans="1:4">
      <c r="A44" s="6" t="s">
        <v>89</v>
      </c>
      <c r="B44" s="6" t="s">
        <v>130</v>
      </c>
      <c r="C44" s="7">
        <v>69</v>
      </c>
      <c r="D44" s="14"/>
    </row>
    <row r="45" spans="1:4">
      <c r="A45" s="6" t="s">
        <v>90</v>
      </c>
      <c r="B45" s="6" t="s">
        <v>130</v>
      </c>
      <c r="C45" s="7">
        <v>70</v>
      </c>
      <c r="D45" s="14"/>
    </row>
    <row r="46" spans="1:4">
      <c r="A46" s="6" t="s">
        <v>91</v>
      </c>
      <c r="B46" s="6" t="s">
        <v>134</v>
      </c>
      <c r="C46" s="7">
        <v>71</v>
      </c>
      <c r="D46" s="14"/>
    </row>
    <row r="47" spans="1:4">
      <c r="A47" s="6" t="s">
        <v>92</v>
      </c>
      <c r="B47" s="6" t="s">
        <v>130</v>
      </c>
      <c r="C47" s="7">
        <v>70</v>
      </c>
      <c r="D47" s="14"/>
    </row>
    <row r="48" spans="1:4">
      <c r="A48" s="6" t="s">
        <v>93</v>
      </c>
      <c r="B48" s="6" t="s">
        <v>130</v>
      </c>
      <c r="C48" s="7">
        <v>70</v>
      </c>
      <c r="D48" s="14"/>
    </row>
    <row r="49" spans="1:4">
      <c r="A49" s="6" t="s">
        <v>94</v>
      </c>
      <c r="B49" s="6" t="s">
        <v>130</v>
      </c>
      <c r="C49" s="7">
        <v>69</v>
      </c>
      <c r="D49" s="14"/>
    </row>
    <row r="50" spans="1:4">
      <c r="A50" s="6" t="s">
        <v>95</v>
      </c>
      <c r="B50" s="6" t="s">
        <v>134</v>
      </c>
      <c r="C50" s="7">
        <v>71</v>
      </c>
      <c r="D50" s="14"/>
    </row>
    <row r="51" spans="1:4">
      <c r="A51" s="6" t="s">
        <v>96</v>
      </c>
      <c r="B51" s="6" t="s">
        <v>134</v>
      </c>
      <c r="C51" s="7">
        <v>71</v>
      </c>
      <c r="D51" s="14"/>
    </row>
    <row r="52" spans="1:4">
      <c r="A52" s="6" t="s">
        <v>97</v>
      </c>
      <c r="B52" s="6" t="s">
        <v>130</v>
      </c>
      <c r="C52" s="7">
        <v>69</v>
      </c>
      <c r="D52" s="14"/>
    </row>
    <row r="53" spans="1:4">
      <c r="A53" s="6" t="s">
        <v>98</v>
      </c>
      <c r="B53" s="6" t="s">
        <v>130</v>
      </c>
      <c r="C53" s="7">
        <v>71</v>
      </c>
      <c r="D53" s="14"/>
    </row>
    <row r="54" spans="1:4">
      <c r="A54" s="6" t="s">
        <v>99</v>
      </c>
      <c r="B54" s="6" t="s">
        <v>130</v>
      </c>
      <c r="C54" s="7">
        <v>71</v>
      </c>
      <c r="D54" s="14"/>
    </row>
    <row r="55" spans="1:4">
      <c r="A55" s="6" t="s">
        <v>100</v>
      </c>
      <c r="B55" s="6" t="s">
        <v>130</v>
      </c>
      <c r="C55" s="7">
        <v>71</v>
      </c>
      <c r="D55" s="14"/>
    </row>
    <row r="56" spans="1:4">
      <c r="A56" s="6" t="s">
        <v>101</v>
      </c>
      <c r="B56" s="6" t="s">
        <v>130</v>
      </c>
      <c r="C56" s="7">
        <v>71</v>
      </c>
      <c r="D56" s="14"/>
    </row>
    <row r="57" spans="1:4">
      <c r="A57" s="6" t="s">
        <v>102</v>
      </c>
      <c r="B57" s="6" t="s">
        <v>134</v>
      </c>
      <c r="C57" s="7">
        <v>71</v>
      </c>
      <c r="D57" s="14"/>
    </row>
    <row r="58" spans="1:4">
      <c r="A58" s="6" t="s">
        <v>103</v>
      </c>
      <c r="B58" s="6" t="s">
        <v>130</v>
      </c>
      <c r="C58" s="7">
        <v>71</v>
      </c>
      <c r="D58" s="14"/>
    </row>
    <row r="59" spans="1:4">
      <c r="A59" s="6" t="s">
        <v>104</v>
      </c>
      <c r="B59" s="6" t="s">
        <v>130</v>
      </c>
      <c r="C59" s="7">
        <v>69</v>
      </c>
      <c r="D59" s="14"/>
    </row>
    <row r="60" spans="1:4">
      <c r="A60" s="6" t="s">
        <v>105</v>
      </c>
      <c r="B60" s="6" t="s">
        <v>130</v>
      </c>
      <c r="C60" s="7">
        <v>69</v>
      </c>
      <c r="D60" s="14"/>
    </row>
    <row r="61" spans="1:4">
      <c r="A61" s="6" t="s">
        <v>106</v>
      </c>
      <c r="B61" s="6" t="s">
        <v>130</v>
      </c>
      <c r="C61" s="17" t="s">
        <v>136</v>
      </c>
      <c r="D61" s="18"/>
    </row>
    <row r="62" spans="1:4">
      <c r="A62" s="6" t="s">
        <v>107</v>
      </c>
      <c r="B62" s="6" t="s">
        <v>130</v>
      </c>
      <c r="C62" s="7">
        <v>71</v>
      </c>
      <c r="D62" s="14"/>
    </row>
    <row r="63" spans="1:4">
      <c r="A63" s="6" t="s">
        <v>108</v>
      </c>
      <c r="B63" s="6" t="s">
        <v>130</v>
      </c>
      <c r="C63" s="7">
        <v>71</v>
      </c>
      <c r="D63" s="14"/>
    </row>
    <row r="64" spans="1:4">
      <c r="A64" s="6" t="s">
        <v>109</v>
      </c>
      <c r="B64" s="6" t="s">
        <v>130</v>
      </c>
      <c r="C64" s="7">
        <v>69</v>
      </c>
      <c r="D64" s="14"/>
    </row>
    <row r="65" spans="1:4">
      <c r="A65" s="6" t="s">
        <v>110</v>
      </c>
      <c r="B65" s="6" t="s">
        <v>130</v>
      </c>
      <c r="C65" s="7">
        <v>69</v>
      </c>
      <c r="D65" s="14"/>
    </row>
    <row r="66" spans="1:4">
      <c r="A66" s="6" t="s">
        <v>111</v>
      </c>
      <c r="B66" s="6" t="s">
        <v>130</v>
      </c>
      <c r="C66" s="7">
        <v>69</v>
      </c>
      <c r="D66" s="14"/>
    </row>
    <row r="67" spans="1:4">
      <c r="A67" s="6" t="s">
        <v>112</v>
      </c>
      <c r="B67" s="6" t="s">
        <v>130</v>
      </c>
      <c r="C67" s="7">
        <v>69</v>
      </c>
      <c r="D67" s="14"/>
    </row>
    <row r="68" spans="1:4">
      <c r="A68" s="6" t="s">
        <v>113</v>
      </c>
      <c r="B68" s="6" t="s">
        <v>130</v>
      </c>
      <c r="C68" s="7">
        <v>69</v>
      </c>
      <c r="D68" s="14"/>
    </row>
    <row r="69" spans="1:4">
      <c r="A69" s="6" t="s">
        <v>114</v>
      </c>
      <c r="B69" s="6" t="s">
        <v>130</v>
      </c>
      <c r="C69" s="7">
        <v>69</v>
      </c>
      <c r="D69" s="14"/>
    </row>
    <row r="70" spans="1:4">
      <c r="A70" s="6" t="s">
        <v>115</v>
      </c>
      <c r="B70" s="6" t="s">
        <v>130</v>
      </c>
      <c r="C70" s="7">
        <v>69</v>
      </c>
      <c r="D70" s="14"/>
    </row>
    <row r="71" spans="1:4">
      <c r="A71" s="6" t="s">
        <v>116</v>
      </c>
      <c r="B71" s="6" t="s">
        <v>134</v>
      </c>
      <c r="C71" s="7">
        <v>69</v>
      </c>
      <c r="D71" s="14"/>
    </row>
    <row r="72" spans="1:4">
      <c r="A72" s="6" t="s">
        <v>117</v>
      </c>
      <c r="B72" s="6" t="s">
        <v>130</v>
      </c>
      <c r="C72" s="7">
        <v>69</v>
      </c>
      <c r="D72" s="14"/>
    </row>
    <row r="73" spans="1:4">
      <c r="A73" s="6" t="s">
        <v>118</v>
      </c>
      <c r="B73" s="6" t="s">
        <v>130</v>
      </c>
      <c r="C73" s="7">
        <v>69</v>
      </c>
      <c r="D73" s="14"/>
    </row>
  </sheetData>
  <autoFilter ref="A1:D73" xr:uid="{00000000-0009-0000-0000-000002000000}"/>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E73"/>
  <sheetViews>
    <sheetView zoomScaleNormal="100" workbookViewId="0"/>
  </sheetViews>
  <sheetFormatPr defaultColWidth="8.7109375" defaultRowHeight="11.1"/>
  <cols>
    <col min="1" max="1" width="21.42578125" style="6" bestFit="1" customWidth="1"/>
    <col min="2" max="2" width="8.7109375" style="6" bestFit="1" customWidth="1"/>
    <col min="3" max="3" width="13.85546875" style="7" bestFit="1" customWidth="1"/>
    <col min="4" max="4" width="35" style="22" bestFit="1" customWidth="1"/>
    <col min="5" max="5" width="34.85546875" style="14" bestFit="1" customWidth="1"/>
    <col min="6" max="16384" width="8.7109375" style="6"/>
  </cols>
  <sheetData>
    <row r="1" spans="1:5">
      <c r="A1" s="13" t="s">
        <v>1</v>
      </c>
      <c r="B1" s="38" t="s">
        <v>137</v>
      </c>
      <c r="C1" s="1" t="s">
        <v>2</v>
      </c>
      <c r="D1" s="19" t="s">
        <v>129</v>
      </c>
      <c r="E1" s="1" t="s">
        <v>138</v>
      </c>
    </row>
    <row r="2" spans="1:5">
      <c r="A2" s="6" t="s">
        <v>38</v>
      </c>
      <c r="B2" s="39" t="s">
        <v>139</v>
      </c>
      <c r="C2" s="7">
        <v>38</v>
      </c>
      <c r="D2" s="16"/>
      <c r="E2" s="14" t="s">
        <v>140</v>
      </c>
    </row>
    <row r="3" spans="1:5">
      <c r="A3" s="6" t="s">
        <v>39</v>
      </c>
      <c r="B3" s="39" t="s">
        <v>139</v>
      </c>
      <c r="C3" s="7">
        <v>38</v>
      </c>
      <c r="D3" s="16"/>
      <c r="E3" s="14" t="s">
        <v>140</v>
      </c>
    </row>
    <row r="4" spans="1:5">
      <c r="A4" s="6" t="s">
        <v>41</v>
      </c>
      <c r="B4" s="39" t="s">
        <v>139</v>
      </c>
      <c r="C4" s="7">
        <v>38</v>
      </c>
      <c r="D4" s="16"/>
      <c r="E4" s="14" t="s">
        <v>140</v>
      </c>
    </row>
    <row r="5" spans="1:5">
      <c r="A5" s="6" t="s">
        <v>44</v>
      </c>
      <c r="B5" s="39" t="s">
        <v>141</v>
      </c>
      <c r="C5" s="7">
        <v>38</v>
      </c>
      <c r="D5" s="16"/>
      <c r="E5" s="14" t="s">
        <v>140</v>
      </c>
    </row>
    <row r="6" spans="1:5">
      <c r="A6" s="6" t="s">
        <v>45</v>
      </c>
      <c r="B6" s="39" t="s">
        <v>141</v>
      </c>
      <c r="C6" s="7">
        <v>38</v>
      </c>
      <c r="D6" s="16"/>
      <c r="E6" s="14" t="s">
        <v>140</v>
      </c>
    </row>
    <row r="7" spans="1:5">
      <c r="A7" s="6" t="s">
        <v>46</v>
      </c>
      <c r="B7" s="39" t="s">
        <v>141</v>
      </c>
      <c r="C7" s="7">
        <v>38</v>
      </c>
      <c r="D7" s="16"/>
      <c r="E7" s="14" t="s">
        <v>140</v>
      </c>
    </row>
    <row r="8" spans="1:5">
      <c r="A8" s="6" t="s">
        <v>47</v>
      </c>
      <c r="B8" s="39" t="s">
        <v>139</v>
      </c>
      <c r="C8" s="7">
        <v>38</v>
      </c>
      <c r="D8" s="16"/>
      <c r="E8" s="14" t="s">
        <v>142</v>
      </c>
    </row>
    <row r="9" spans="1:5">
      <c r="A9" s="6" t="s">
        <v>48</v>
      </c>
      <c r="B9" s="39" t="s">
        <v>139</v>
      </c>
      <c r="C9" s="7">
        <v>38</v>
      </c>
      <c r="D9" s="16"/>
      <c r="E9" s="14" t="s">
        <v>142</v>
      </c>
    </row>
    <row r="10" spans="1:5">
      <c r="A10" s="6" t="s">
        <v>49</v>
      </c>
      <c r="B10" s="39" t="s">
        <v>141</v>
      </c>
      <c r="C10" s="7">
        <v>38</v>
      </c>
      <c r="D10" s="16"/>
      <c r="E10" s="14" t="s">
        <v>140</v>
      </c>
    </row>
    <row r="11" spans="1:5">
      <c r="A11" s="6" t="s">
        <v>50</v>
      </c>
      <c r="B11" s="39" t="s">
        <v>143</v>
      </c>
      <c r="C11" s="7">
        <v>38</v>
      </c>
      <c r="D11" s="16"/>
      <c r="E11" s="14" t="s">
        <v>142</v>
      </c>
    </row>
    <row r="12" spans="1:5">
      <c r="A12" s="6" t="s">
        <v>51</v>
      </c>
      <c r="B12" s="39" t="s">
        <v>143</v>
      </c>
      <c r="C12" s="7">
        <v>69</v>
      </c>
      <c r="D12" s="20" t="s">
        <v>144</v>
      </c>
    </row>
    <row r="13" spans="1:5">
      <c r="A13" s="6" t="s">
        <v>52</v>
      </c>
      <c r="B13" s="39" t="s">
        <v>143</v>
      </c>
      <c r="C13" s="7">
        <v>38</v>
      </c>
      <c r="D13" s="16"/>
      <c r="E13" s="14" t="s">
        <v>140</v>
      </c>
    </row>
    <row r="14" spans="1:5">
      <c r="A14" s="6" t="s">
        <v>53</v>
      </c>
      <c r="B14" s="39" t="s">
        <v>143</v>
      </c>
      <c r="C14" s="7">
        <v>38</v>
      </c>
      <c r="D14" s="16"/>
      <c r="E14" s="14" t="s">
        <v>142</v>
      </c>
    </row>
    <row r="15" spans="1:5">
      <c r="A15" s="6" t="s">
        <v>54</v>
      </c>
      <c r="B15" s="39" t="s">
        <v>143</v>
      </c>
      <c r="C15" s="7">
        <v>38</v>
      </c>
      <c r="D15" s="16"/>
      <c r="E15" s="14" t="s">
        <v>142</v>
      </c>
    </row>
    <row r="16" spans="1:5">
      <c r="A16" s="6" t="s">
        <v>56</v>
      </c>
      <c r="B16" s="39" t="s">
        <v>141</v>
      </c>
      <c r="C16" s="7">
        <v>38</v>
      </c>
      <c r="D16" s="16"/>
      <c r="E16" s="14" t="s">
        <v>145</v>
      </c>
    </row>
    <row r="17" spans="1:5">
      <c r="A17" s="6" t="s">
        <v>57</v>
      </c>
      <c r="B17" s="39" t="s">
        <v>141</v>
      </c>
      <c r="C17" s="7">
        <v>38</v>
      </c>
      <c r="D17" s="16"/>
      <c r="E17" s="14" t="s">
        <v>142</v>
      </c>
    </row>
    <row r="18" spans="1:5">
      <c r="A18" s="6" t="s">
        <v>58</v>
      </c>
      <c r="B18" s="39" t="s">
        <v>141</v>
      </c>
      <c r="C18" s="7">
        <v>38</v>
      </c>
      <c r="D18" s="16"/>
      <c r="E18" s="14" t="s">
        <v>140</v>
      </c>
    </row>
    <row r="19" spans="1:5">
      <c r="A19" s="6" t="s">
        <v>59</v>
      </c>
      <c r="B19" s="39" t="s">
        <v>141</v>
      </c>
      <c r="C19" s="7">
        <v>38</v>
      </c>
      <c r="D19" s="16"/>
      <c r="E19" s="14" t="s">
        <v>140</v>
      </c>
    </row>
    <row r="20" spans="1:5">
      <c r="A20" s="6" t="s">
        <v>60</v>
      </c>
      <c r="B20" s="39" t="s">
        <v>141</v>
      </c>
      <c r="C20" s="7">
        <v>38</v>
      </c>
      <c r="D20" s="16"/>
      <c r="E20" s="14" t="s">
        <v>140</v>
      </c>
    </row>
    <row r="21" spans="1:5">
      <c r="A21" s="6" t="s">
        <v>61</v>
      </c>
      <c r="B21" s="39" t="s">
        <v>143</v>
      </c>
      <c r="C21" s="7">
        <v>38</v>
      </c>
      <c r="D21" s="16"/>
      <c r="E21" s="14" t="s">
        <v>142</v>
      </c>
    </row>
    <row r="22" spans="1:5">
      <c r="A22" s="6" t="s">
        <v>62</v>
      </c>
      <c r="B22" s="39" t="s">
        <v>143</v>
      </c>
      <c r="C22" s="7">
        <v>38</v>
      </c>
      <c r="D22" s="16"/>
      <c r="E22" s="14" t="s">
        <v>142</v>
      </c>
    </row>
    <row r="23" spans="1:5">
      <c r="A23" s="6" t="s">
        <v>63</v>
      </c>
      <c r="B23" s="39" t="s">
        <v>139</v>
      </c>
      <c r="C23" s="7">
        <v>38</v>
      </c>
      <c r="D23" s="16"/>
      <c r="E23" s="14" t="s">
        <v>140</v>
      </c>
    </row>
    <row r="24" spans="1:5">
      <c r="A24" s="6" t="s">
        <v>64</v>
      </c>
      <c r="B24" s="39" t="s">
        <v>143</v>
      </c>
      <c r="C24" s="7">
        <v>38</v>
      </c>
      <c r="D24" s="16"/>
      <c r="E24" s="14" t="s">
        <v>142</v>
      </c>
    </row>
    <row r="25" spans="1:5">
      <c r="A25" s="6" t="s">
        <v>65</v>
      </c>
      <c r="B25" s="39" t="s">
        <v>143</v>
      </c>
      <c r="C25" s="7">
        <v>38</v>
      </c>
      <c r="D25" s="16"/>
      <c r="E25" s="14" t="s">
        <v>140</v>
      </c>
    </row>
    <row r="26" spans="1:5">
      <c r="A26" s="6" t="s">
        <v>66</v>
      </c>
      <c r="B26" s="39" t="s">
        <v>141</v>
      </c>
      <c r="C26" s="7">
        <v>38</v>
      </c>
      <c r="D26" s="20" t="s">
        <v>146</v>
      </c>
      <c r="E26" s="14" t="s">
        <v>142</v>
      </c>
    </row>
    <row r="27" spans="1:5">
      <c r="A27" s="6" t="s">
        <v>67</v>
      </c>
      <c r="B27" s="39" t="s">
        <v>141</v>
      </c>
      <c r="C27" s="7">
        <v>38</v>
      </c>
      <c r="D27" s="20" t="s">
        <v>146</v>
      </c>
      <c r="E27" s="14" t="s">
        <v>142</v>
      </c>
    </row>
    <row r="28" spans="1:5">
      <c r="A28" s="6" t="s">
        <v>68</v>
      </c>
      <c r="B28" s="39" t="s">
        <v>143</v>
      </c>
      <c r="C28" s="7">
        <v>38</v>
      </c>
      <c r="D28" s="16"/>
      <c r="E28" s="14" t="s">
        <v>142</v>
      </c>
    </row>
    <row r="29" spans="1:5">
      <c r="A29" s="6" t="s">
        <v>69</v>
      </c>
      <c r="B29" s="39" t="s">
        <v>143</v>
      </c>
      <c r="C29" s="7">
        <v>38</v>
      </c>
      <c r="D29" s="16"/>
      <c r="E29" s="14" t="s">
        <v>142</v>
      </c>
    </row>
    <row r="30" spans="1:5">
      <c r="A30" s="6" t="s">
        <v>71</v>
      </c>
      <c r="B30" s="39" t="s">
        <v>139</v>
      </c>
      <c r="C30" s="7">
        <v>38</v>
      </c>
      <c r="D30" s="16"/>
      <c r="E30" s="14" t="s">
        <v>147</v>
      </c>
    </row>
    <row r="31" spans="1:5">
      <c r="A31" s="6" t="s">
        <v>73</v>
      </c>
      <c r="B31" s="39" t="s">
        <v>139</v>
      </c>
      <c r="C31" s="7">
        <v>38</v>
      </c>
      <c r="D31" s="16"/>
      <c r="E31" s="14" t="s">
        <v>140</v>
      </c>
    </row>
    <row r="32" spans="1:5">
      <c r="A32" s="6" t="s">
        <v>76</v>
      </c>
      <c r="B32" s="39" t="s">
        <v>139</v>
      </c>
      <c r="C32" s="21" t="s">
        <v>136</v>
      </c>
      <c r="D32" s="16"/>
    </row>
    <row r="33" spans="1:5">
      <c r="A33" s="6" t="s">
        <v>77</v>
      </c>
      <c r="B33" s="39" t="s">
        <v>141</v>
      </c>
      <c r="C33" s="7">
        <v>38</v>
      </c>
      <c r="D33" s="16"/>
      <c r="E33" s="14" t="s">
        <v>140</v>
      </c>
    </row>
    <row r="34" spans="1:5">
      <c r="A34" s="6" t="s">
        <v>79</v>
      </c>
      <c r="B34" s="39" t="s">
        <v>141</v>
      </c>
      <c r="C34" s="7">
        <v>38</v>
      </c>
      <c r="D34" s="20" t="s">
        <v>146</v>
      </c>
      <c r="E34" s="14" t="s">
        <v>142</v>
      </c>
    </row>
    <row r="35" spans="1:5">
      <c r="A35" s="6" t="s">
        <v>80</v>
      </c>
      <c r="B35" s="39" t="s">
        <v>139</v>
      </c>
      <c r="C35" s="7">
        <v>38</v>
      </c>
      <c r="D35" s="16"/>
      <c r="E35" s="14" t="s">
        <v>142</v>
      </c>
    </row>
    <row r="36" spans="1:5">
      <c r="A36" s="6" t="s">
        <v>81</v>
      </c>
      <c r="B36" s="39" t="s">
        <v>143</v>
      </c>
      <c r="C36" s="7">
        <v>38</v>
      </c>
      <c r="D36" s="16"/>
      <c r="E36" s="14" t="s">
        <v>140</v>
      </c>
    </row>
    <row r="37" spans="1:5">
      <c r="A37" s="6" t="s">
        <v>82</v>
      </c>
      <c r="B37" s="39" t="s">
        <v>141</v>
      </c>
      <c r="C37" s="7">
        <v>38</v>
      </c>
      <c r="D37" s="16"/>
      <c r="E37" s="14" t="s">
        <v>142</v>
      </c>
    </row>
    <row r="38" spans="1:5">
      <c r="A38" s="6" t="s">
        <v>83</v>
      </c>
      <c r="B38" s="39" t="s">
        <v>143</v>
      </c>
      <c r="C38" s="7">
        <v>38</v>
      </c>
      <c r="D38" s="16"/>
      <c r="E38" s="14" t="s">
        <v>140</v>
      </c>
    </row>
    <row r="39" spans="1:5">
      <c r="A39" s="6" t="s">
        <v>84</v>
      </c>
      <c r="B39" s="39" t="s">
        <v>139</v>
      </c>
      <c r="C39" s="7">
        <v>38</v>
      </c>
      <c r="D39" s="16"/>
      <c r="E39" s="14" t="s">
        <v>142</v>
      </c>
    </row>
    <row r="40" spans="1:5">
      <c r="A40" s="6" t="s">
        <v>85</v>
      </c>
      <c r="B40" s="39" t="s">
        <v>141</v>
      </c>
      <c r="C40" s="7">
        <v>38</v>
      </c>
      <c r="D40" s="16"/>
      <c r="E40" s="14" t="s">
        <v>142</v>
      </c>
    </row>
    <row r="41" spans="1:5">
      <c r="A41" s="6" t="s">
        <v>86</v>
      </c>
      <c r="B41" s="39" t="s">
        <v>143</v>
      </c>
      <c r="C41" s="7">
        <v>38</v>
      </c>
      <c r="D41" s="16"/>
      <c r="E41" s="14" t="s">
        <v>142</v>
      </c>
    </row>
    <row r="42" spans="1:5">
      <c r="A42" s="6" t="s">
        <v>87</v>
      </c>
      <c r="B42" s="39" t="s">
        <v>141</v>
      </c>
      <c r="C42" s="7">
        <v>38</v>
      </c>
      <c r="D42" s="16"/>
      <c r="E42" s="14" t="s">
        <v>140</v>
      </c>
    </row>
    <row r="43" spans="1:5">
      <c r="A43" s="6" t="s">
        <v>88</v>
      </c>
      <c r="B43" s="39" t="s">
        <v>141</v>
      </c>
      <c r="C43" s="21" t="s">
        <v>136</v>
      </c>
      <c r="D43" s="16"/>
    </row>
    <row r="44" spans="1:5">
      <c r="A44" s="6" t="s">
        <v>89</v>
      </c>
      <c r="B44" s="39" t="s">
        <v>141</v>
      </c>
      <c r="C44" s="7">
        <v>38</v>
      </c>
      <c r="D44" s="16"/>
      <c r="E44" s="14" t="s">
        <v>140</v>
      </c>
    </row>
    <row r="45" spans="1:5">
      <c r="A45" s="6" t="s">
        <v>90</v>
      </c>
      <c r="B45" s="39" t="s">
        <v>141</v>
      </c>
      <c r="C45" s="15">
        <v>75</v>
      </c>
      <c r="D45" s="16"/>
      <c r="E45" s="14" t="s">
        <v>142</v>
      </c>
    </row>
    <row r="46" spans="1:5">
      <c r="A46" s="6" t="s">
        <v>91</v>
      </c>
      <c r="B46" s="39" t="s">
        <v>143</v>
      </c>
      <c r="C46" s="7">
        <v>38</v>
      </c>
      <c r="D46" s="16"/>
      <c r="E46" s="14" t="s">
        <v>142</v>
      </c>
    </row>
    <row r="47" spans="1:5">
      <c r="A47" s="6" t="s">
        <v>92</v>
      </c>
      <c r="B47" s="39" t="s">
        <v>143</v>
      </c>
      <c r="C47" s="7">
        <v>38</v>
      </c>
      <c r="D47" s="16"/>
      <c r="E47" s="14" t="s">
        <v>140</v>
      </c>
    </row>
    <row r="48" spans="1:5">
      <c r="A48" s="6" t="s">
        <v>93</v>
      </c>
      <c r="B48" s="39" t="s">
        <v>139</v>
      </c>
      <c r="C48" s="7">
        <v>38</v>
      </c>
      <c r="D48" s="16"/>
      <c r="E48" s="14" t="s">
        <v>140</v>
      </c>
    </row>
    <row r="49" spans="1:5">
      <c r="A49" s="6" t="s">
        <v>94</v>
      </c>
      <c r="B49" s="39" t="s">
        <v>141</v>
      </c>
      <c r="C49" s="7">
        <v>38</v>
      </c>
      <c r="D49" s="16"/>
      <c r="E49" s="14" t="s">
        <v>140</v>
      </c>
    </row>
    <row r="50" spans="1:5">
      <c r="A50" s="6" t="s">
        <v>95</v>
      </c>
      <c r="B50" s="39" t="s">
        <v>143</v>
      </c>
      <c r="C50" s="7">
        <v>38</v>
      </c>
      <c r="D50" s="16"/>
      <c r="E50" s="14" t="s">
        <v>142</v>
      </c>
    </row>
    <row r="51" spans="1:5">
      <c r="A51" s="6" t="s">
        <v>96</v>
      </c>
      <c r="B51" s="39" t="s">
        <v>143</v>
      </c>
      <c r="C51" s="7">
        <v>38</v>
      </c>
      <c r="D51" s="16"/>
      <c r="E51" s="14" t="s">
        <v>142</v>
      </c>
    </row>
    <row r="52" spans="1:5">
      <c r="A52" s="6" t="s">
        <v>97</v>
      </c>
      <c r="B52" s="39" t="s">
        <v>141</v>
      </c>
      <c r="C52" s="7">
        <v>38</v>
      </c>
      <c r="D52" s="16"/>
      <c r="E52" s="14" t="s">
        <v>140</v>
      </c>
    </row>
    <row r="53" spans="1:5">
      <c r="A53" s="6" t="s">
        <v>98</v>
      </c>
      <c r="B53" s="39" t="s">
        <v>141</v>
      </c>
      <c r="C53" s="7">
        <v>38</v>
      </c>
      <c r="D53" s="16"/>
      <c r="E53" s="14" t="s">
        <v>140</v>
      </c>
    </row>
    <row r="54" spans="1:5">
      <c r="A54" s="6" t="s">
        <v>99</v>
      </c>
      <c r="B54" s="39" t="s">
        <v>141</v>
      </c>
      <c r="C54" s="7">
        <v>38</v>
      </c>
      <c r="D54" s="16"/>
      <c r="E54" s="14" t="s">
        <v>140</v>
      </c>
    </row>
    <row r="55" spans="1:5">
      <c r="A55" s="6" t="s">
        <v>100</v>
      </c>
      <c r="B55" s="39" t="s">
        <v>141</v>
      </c>
      <c r="C55" s="7">
        <v>38</v>
      </c>
      <c r="D55" s="16"/>
      <c r="E55" s="14" t="s">
        <v>140</v>
      </c>
    </row>
    <row r="56" spans="1:5">
      <c r="A56" s="6" t="s">
        <v>101</v>
      </c>
      <c r="B56" s="39" t="s">
        <v>141</v>
      </c>
      <c r="C56" s="7">
        <v>38</v>
      </c>
      <c r="D56" s="20" t="s">
        <v>146</v>
      </c>
      <c r="E56" s="14" t="s">
        <v>140</v>
      </c>
    </row>
    <row r="57" spans="1:5">
      <c r="A57" s="6" t="s">
        <v>102</v>
      </c>
      <c r="B57" s="39" t="s">
        <v>143</v>
      </c>
      <c r="C57" s="7">
        <v>38</v>
      </c>
      <c r="D57" s="16"/>
      <c r="E57" s="14" t="s">
        <v>142</v>
      </c>
    </row>
    <row r="58" spans="1:5">
      <c r="A58" s="6" t="s">
        <v>103</v>
      </c>
      <c r="B58" s="39" t="s">
        <v>139</v>
      </c>
      <c r="C58" s="7">
        <v>38</v>
      </c>
      <c r="D58" s="16"/>
      <c r="E58" s="14" t="s">
        <v>140</v>
      </c>
    </row>
    <row r="59" spans="1:5">
      <c r="A59" s="6" t="s">
        <v>104</v>
      </c>
      <c r="B59" s="39" t="s">
        <v>141</v>
      </c>
      <c r="C59" s="21" t="s">
        <v>136</v>
      </c>
    </row>
    <row r="60" spans="1:5">
      <c r="A60" s="6" t="s">
        <v>105</v>
      </c>
      <c r="B60" s="39" t="s">
        <v>141</v>
      </c>
      <c r="C60" s="7">
        <v>38</v>
      </c>
      <c r="E60" s="14" t="s">
        <v>140</v>
      </c>
    </row>
    <row r="61" spans="1:5">
      <c r="A61" s="6" t="s">
        <v>106</v>
      </c>
      <c r="B61" s="39" t="s">
        <v>141</v>
      </c>
      <c r="C61" s="7">
        <v>38</v>
      </c>
      <c r="D61" s="16"/>
      <c r="E61" s="14" t="s">
        <v>148</v>
      </c>
    </row>
    <row r="62" spans="1:5">
      <c r="A62" s="6" t="s">
        <v>107</v>
      </c>
      <c r="B62" s="39" t="s">
        <v>141</v>
      </c>
      <c r="C62" s="7">
        <v>38</v>
      </c>
      <c r="D62" s="16"/>
      <c r="E62" s="14" t="s">
        <v>140</v>
      </c>
    </row>
    <row r="63" spans="1:5">
      <c r="A63" s="6" t="s">
        <v>108</v>
      </c>
      <c r="B63" s="39" t="s">
        <v>139</v>
      </c>
      <c r="C63" s="7">
        <v>38</v>
      </c>
      <c r="D63" s="16"/>
      <c r="E63" s="14" t="s">
        <v>142</v>
      </c>
    </row>
    <row r="64" spans="1:5">
      <c r="A64" s="6" t="s">
        <v>109</v>
      </c>
      <c r="B64" s="39" t="s">
        <v>139</v>
      </c>
      <c r="C64" s="7">
        <v>38</v>
      </c>
      <c r="D64" s="16"/>
      <c r="E64" s="14" t="s">
        <v>142</v>
      </c>
    </row>
    <row r="65" spans="1:5">
      <c r="A65" s="6" t="s">
        <v>110</v>
      </c>
      <c r="B65" s="39" t="s">
        <v>143</v>
      </c>
      <c r="C65" s="7">
        <v>38</v>
      </c>
      <c r="D65" s="16"/>
      <c r="E65" s="14" t="s">
        <v>142</v>
      </c>
    </row>
    <row r="66" spans="1:5">
      <c r="A66" s="6" t="s">
        <v>111</v>
      </c>
      <c r="B66" s="39" t="s">
        <v>143</v>
      </c>
      <c r="C66" s="7">
        <v>38</v>
      </c>
      <c r="D66" s="16"/>
      <c r="E66" s="14" t="s">
        <v>140</v>
      </c>
    </row>
    <row r="67" spans="1:5">
      <c r="A67" s="6" t="s">
        <v>112</v>
      </c>
      <c r="B67" s="39" t="s">
        <v>143</v>
      </c>
      <c r="C67" s="7">
        <v>38</v>
      </c>
      <c r="D67" s="16"/>
      <c r="E67" s="14" t="s">
        <v>140</v>
      </c>
    </row>
    <row r="68" spans="1:5">
      <c r="A68" s="6" t="s">
        <v>113</v>
      </c>
      <c r="B68" s="39" t="s">
        <v>143</v>
      </c>
      <c r="C68" s="7">
        <v>38</v>
      </c>
      <c r="D68" s="16"/>
      <c r="E68" s="14" t="s">
        <v>140</v>
      </c>
    </row>
    <row r="69" spans="1:5">
      <c r="A69" s="6" t="s">
        <v>114</v>
      </c>
      <c r="B69" s="39" t="s">
        <v>139</v>
      </c>
      <c r="C69" s="7">
        <v>38</v>
      </c>
      <c r="D69" s="16"/>
      <c r="E69" s="14" t="s">
        <v>140</v>
      </c>
    </row>
    <row r="70" spans="1:5">
      <c r="A70" s="6" t="s">
        <v>115</v>
      </c>
      <c r="B70" s="39" t="s">
        <v>139</v>
      </c>
      <c r="C70" s="7">
        <v>38</v>
      </c>
      <c r="D70" s="16"/>
      <c r="E70" s="14" t="s">
        <v>140</v>
      </c>
    </row>
    <row r="71" spans="1:5">
      <c r="A71" s="6" t="s">
        <v>116</v>
      </c>
      <c r="B71" s="39" t="s">
        <v>143</v>
      </c>
      <c r="C71" s="7">
        <v>38</v>
      </c>
      <c r="D71" s="16"/>
      <c r="E71" s="14" t="s">
        <v>142</v>
      </c>
    </row>
    <row r="72" spans="1:5">
      <c r="A72" s="6" t="s">
        <v>117</v>
      </c>
      <c r="B72" s="39" t="s">
        <v>139</v>
      </c>
      <c r="C72" s="21" t="s">
        <v>136</v>
      </c>
      <c r="D72" s="16"/>
    </row>
    <row r="73" spans="1:5">
      <c r="A73" s="6" t="s">
        <v>118</v>
      </c>
      <c r="B73" s="39" t="s">
        <v>141</v>
      </c>
      <c r="C73" s="7">
        <v>38</v>
      </c>
      <c r="D73" s="16"/>
      <c r="E73" s="14" t="s">
        <v>142</v>
      </c>
    </row>
  </sheetData>
  <autoFilter ref="A1:E73" xr:uid="{00000000-0009-0000-0000-000003000000}"/>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G73"/>
  <sheetViews>
    <sheetView zoomScaleNormal="100" workbookViewId="0"/>
  </sheetViews>
  <sheetFormatPr defaultColWidth="8.7109375" defaultRowHeight="11.1"/>
  <cols>
    <col min="1" max="1" width="21.42578125" style="6" bestFit="1" customWidth="1"/>
    <col min="2" max="2" width="8.7109375" style="6" bestFit="1" customWidth="1"/>
    <col min="3" max="3" width="13.85546875" style="24" bestFit="1" customWidth="1"/>
    <col min="4" max="4" width="23.42578125" style="36" bestFit="1" customWidth="1"/>
    <col min="5" max="5" width="25.42578125" style="36" bestFit="1" customWidth="1"/>
    <col min="6" max="6" width="24.85546875" style="36" bestFit="1" customWidth="1"/>
    <col min="7" max="7" width="63.42578125" style="14" bestFit="1" customWidth="1"/>
    <col min="8" max="16384" width="8.7109375" style="6"/>
  </cols>
  <sheetData>
    <row r="1" spans="1:7">
      <c r="A1" s="13" t="s">
        <v>1</v>
      </c>
      <c r="B1" s="40" t="s">
        <v>149</v>
      </c>
      <c r="C1" s="23" t="s">
        <v>2</v>
      </c>
      <c r="D1" s="34" t="s">
        <v>150</v>
      </c>
      <c r="E1" s="34" t="s">
        <v>151</v>
      </c>
      <c r="F1" s="34" t="s">
        <v>152</v>
      </c>
      <c r="G1" s="1" t="s">
        <v>129</v>
      </c>
    </row>
    <row r="2" spans="1:7">
      <c r="A2" s="6" t="s">
        <v>38</v>
      </c>
      <c r="B2" s="36">
        <v>115.00000000000001</v>
      </c>
      <c r="C2" s="24">
        <v>79</v>
      </c>
      <c r="D2" s="35">
        <f>82.4+1.4+1.2</f>
        <v>85.000000000000014</v>
      </c>
      <c r="E2" s="35">
        <f>12.3+2.7</f>
        <v>15</v>
      </c>
      <c r="F2" s="35">
        <v>0</v>
      </c>
      <c r="G2" s="6"/>
    </row>
    <row r="3" spans="1:7">
      <c r="A3" s="6" t="s">
        <v>39</v>
      </c>
      <c r="B3" s="36">
        <v>146</v>
      </c>
      <c r="C3" s="24">
        <v>74</v>
      </c>
      <c r="D3" s="35" t="s">
        <v>153</v>
      </c>
      <c r="E3" s="35" t="s">
        <v>153</v>
      </c>
      <c r="F3" s="35" t="s">
        <v>153</v>
      </c>
      <c r="G3" s="6" t="s">
        <v>154</v>
      </c>
    </row>
    <row r="4" spans="1:7">
      <c r="A4" s="6" t="s">
        <v>41</v>
      </c>
      <c r="B4" s="36">
        <v>175.5</v>
      </c>
      <c r="C4" s="24">
        <v>73</v>
      </c>
      <c r="D4" s="35">
        <v>24.5</v>
      </c>
      <c r="E4" s="35">
        <v>75.5</v>
      </c>
      <c r="F4" s="35">
        <v>0</v>
      </c>
      <c r="G4" s="6"/>
    </row>
    <row r="5" spans="1:7">
      <c r="A5" s="6" t="s">
        <v>44</v>
      </c>
      <c r="B5" s="36">
        <v>177.5</v>
      </c>
      <c r="C5" s="24">
        <v>73</v>
      </c>
      <c r="D5" s="35">
        <v>30</v>
      </c>
      <c r="E5" s="35">
        <v>65</v>
      </c>
      <c r="F5" s="35">
        <v>5</v>
      </c>
      <c r="G5" s="6"/>
    </row>
    <row r="6" spans="1:7">
      <c r="A6" s="6" t="s">
        <v>45</v>
      </c>
      <c r="B6" s="36">
        <v>181.5</v>
      </c>
      <c r="C6" s="24">
        <v>73</v>
      </c>
      <c r="D6" s="35">
        <v>20</v>
      </c>
      <c r="E6" s="35">
        <v>79</v>
      </c>
      <c r="F6" s="35">
        <v>1</v>
      </c>
      <c r="G6" s="6"/>
    </row>
    <row r="7" spans="1:7">
      <c r="A7" s="6" t="s">
        <v>46</v>
      </c>
      <c r="B7" s="36">
        <v>194.5</v>
      </c>
      <c r="C7" s="24">
        <v>73</v>
      </c>
      <c r="D7" s="35">
        <v>5.5</v>
      </c>
      <c r="E7" s="35">
        <v>94.5</v>
      </c>
      <c r="F7" s="35">
        <v>0</v>
      </c>
      <c r="G7" s="6"/>
    </row>
    <row r="8" spans="1:7">
      <c r="A8" s="6" t="s">
        <v>47</v>
      </c>
      <c r="B8" s="36">
        <v>100</v>
      </c>
      <c r="C8" s="24">
        <v>74</v>
      </c>
      <c r="D8" s="35" t="s">
        <v>153</v>
      </c>
      <c r="E8" s="35" t="s">
        <v>153</v>
      </c>
      <c r="F8" s="35" t="s">
        <v>153</v>
      </c>
      <c r="G8" s="6" t="s">
        <v>154</v>
      </c>
    </row>
    <row r="9" spans="1:7">
      <c r="A9" s="6" t="s">
        <v>48</v>
      </c>
      <c r="B9" s="36">
        <v>100</v>
      </c>
      <c r="C9" s="24">
        <v>74</v>
      </c>
      <c r="D9" s="35" t="s">
        <v>153</v>
      </c>
      <c r="E9" s="35" t="s">
        <v>153</v>
      </c>
      <c r="F9" s="35" t="s">
        <v>153</v>
      </c>
      <c r="G9" s="6" t="s">
        <v>154</v>
      </c>
    </row>
    <row r="10" spans="1:7">
      <c r="A10" s="6" t="s">
        <v>49</v>
      </c>
      <c r="B10" s="36">
        <v>175</v>
      </c>
      <c r="C10" s="24">
        <v>73</v>
      </c>
      <c r="D10" s="35">
        <v>28</v>
      </c>
      <c r="E10" s="35">
        <v>70</v>
      </c>
      <c r="F10" s="35">
        <v>2</v>
      </c>
      <c r="G10" s="6"/>
    </row>
    <row r="11" spans="1:7">
      <c r="A11" s="6" t="s">
        <v>50</v>
      </c>
      <c r="B11" s="36">
        <v>186</v>
      </c>
      <c r="C11" s="24">
        <v>80</v>
      </c>
      <c r="D11" s="35">
        <f>29+29+7</f>
        <v>65</v>
      </c>
      <c r="E11" s="35">
        <f>1</f>
        <v>1</v>
      </c>
      <c r="F11" s="35">
        <f>31+3</f>
        <v>34</v>
      </c>
      <c r="G11" s="6"/>
    </row>
    <row r="12" spans="1:7">
      <c r="A12" s="6" t="s">
        <v>51</v>
      </c>
      <c r="B12" s="36">
        <v>221</v>
      </c>
      <c r="C12" s="24">
        <v>77</v>
      </c>
      <c r="D12" s="35">
        <v>0</v>
      </c>
      <c r="E12" s="35">
        <v>86</v>
      </c>
      <c r="F12" s="35">
        <v>14</v>
      </c>
      <c r="G12" s="25" t="s">
        <v>155</v>
      </c>
    </row>
    <row r="13" spans="1:7">
      <c r="A13" s="6" t="s">
        <v>52</v>
      </c>
      <c r="B13" s="36">
        <v>249.5</v>
      </c>
      <c r="C13" s="24">
        <v>81</v>
      </c>
      <c r="D13" s="35">
        <v>0</v>
      </c>
      <c r="E13" s="35">
        <v>67</v>
      </c>
      <c r="F13" s="35">
        <v>33</v>
      </c>
      <c r="G13" s="6"/>
    </row>
    <row r="14" spans="1:7">
      <c r="A14" s="6" t="s">
        <v>53</v>
      </c>
      <c r="B14" s="36">
        <v>295</v>
      </c>
      <c r="C14" s="24">
        <v>73</v>
      </c>
      <c r="D14" s="35">
        <v>1</v>
      </c>
      <c r="E14" s="35">
        <v>35</v>
      </c>
      <c r="F14" s="35">
        <v>64</v>
      </c>
      <c r="G14" s="6"/>
    </row>
    <row r="15" spans="1:7">
      <c r="A15" s="6" t="s">
        <v>54</v>
      </c>
      <c r="B15" s="36">
        <v>310</v>
      </c>
      <c r="C15" s="24">
        <v>73</v>
      </c>
      <c r="D15" s="35">
        <v>4</v>
      </c>
      <c r="E15" s="35">
        <v>20</v>
      </c>
      <c r="F15" s="35">
        <v>76</v>
      </c>
      <c r="G15" s="6"/>
    </row>
    <row r="16" spans="1:7">
      <c r="A16" s="6" t="s">
        <v>56</v>
      </c>
      <c r="B16" s="24" t="s">
        <v>153</v>
      </c>
      <c r="C16" s="35" t="s">
        <v>153</v>
      </c>
      <c r="D16" s="35" t="s">
        <v>153</v>
      </c>
      <c r="E16" s="35" t="s">
        <v>153</v>
      </c>
      <c r="F16" s="35" t="s">
        <v>153</v>
      </c>
      <c r="G16" s="6"/>
    </row>
    <row r="17" spans="1:7">
      <c r="A17" s="6" t="s">
        <v>57</v>
      </c>
      <c r="B17" s="36">
        <f>85*2+3*3.5+12</f>
        <v>192.5</v>
      </c>
      <c r="C17" s="24">
        <v>82</v>
      </c>
      <c r="D17" s="35">
        <v>12</v>
      </c>
      <c r="E17" s="35">
        <v>85</v>
      </c>
      <c r="F17" s="35">
        <v>3</v>
      </c>
      <c r="G17" s="6" t="s">
        <v>156</v>
      </c>
    </row>
    <row r="18" spans="1:7">
      <c r="A18" s="6" t="s">
        <v>58</v>
      </c>
      <c r="B18" s="36">
        <v>156.1</v>
      </c>
      <c r="C18" s="24">
        <v>73</v>
      </c>
      <c r="D18" s="35">
        <v>46</v>
      </c>
      <c r="E18" s="35">
        <f>100-D18-F18</f>
        <v>52.6</v>
      </c>
      <c r="F18" s="35">
        <v>1.4</v>
      </c>
      <c r="G18" s="6"/>
    </row>
    <row r="19" spans="1:7">
      <c r="A19" s="6" t="s">
        <v>59</v>
      </c>
      <c r="B19" s="36">
        <v>201.5</v>
      </c>
      <c r="C19" s="24">
        <v>73</v>
      </c>
      <c r="D19" s="35">
        <v>15</v>
      </c>
      <c r="E19" s="35">
        <f>100-D19-F19</f>
        <v>74</v>
      </c>
      <c r="F19" s="35">
        <v>11</v>
      </c>
      <c r="G19" s="6"/>
    </row>
    <row r="20" spans="1:7">
      <c r="A20" s="6" t="s">
        <v>60</v>
      </c>
      <c r="B20" s="36">
        <v>195.15</v>
      </c>
      <c r="C20" s="24">
        <v>73</v>
      </c>
      <c r="D20" s="35">
        <f>AVERAGE(12.1,28.2)</f>
        <v>20.149999999999999</v>
      </c>
      <c r="E20" s="35">
        <f>100-D20-F20</f>
        <v>69.649999999999991</v>
      </c>
      <c r="F20" s="35">
        <f>AVERAGE(9.1,11.3)</f>
        <v>10.199999999999999</v>
      </c>
      <c r="G20" s="6"/>
    </row>
    <row r="21" spans="1:7">
      <c r="A21" s="6" t="s">
        <v>61</v>
      </c>
      <c r="B21" s="36">
        <v>197</v>
      </c>
      <c r="C21" s="24">
        <v>83</v>
      </c>
      <c r="D21" s="35">
        <v>3</v>
      </c>
      <c r="E21" s="35">
        <v>97</v>
      </c>
      <c r="F21" s="35">
        <v>0</v>
      </c>
      <c r="G21" s="6" t="s">
        <v>157</v>
      </c>
    </row>
    <row r="22" spans="1:7">
      <c r="A22" s="6" t="s">
        <v>62</v>
      </c>
      <c r="B22" s="36">
        <v>230</v>
      </c>
      <c r="C22" s="24">
        <v>84</v>
      </c>
      <c r="D22" s="35">
        <v>0</v>
      </c>
      <c r="E22" s="35">
        <v>80</v>
      </c>
      <c r="F22" s="35">
        <v>20</v>
      </c>
      <c r="G22" s="6"/>
    </row>
    <row r="23" spans="1:7">
      <c r="A23" s="6" t="s">
        <v>63</v>
      </c>
      <c r="B23" s="36">
        <v>124.5</v>
      </c>
      <c r="C23" s="24">
        <v>85</v>
      </c>
      <c r="D23" s="35">
        <f>40+1+6+25+5</f>
        <v>77</v>
      </c>
      <c r="E23" s="35">
        <v>22</v>
      </c>
      <c r="F23" s="35">
        <v>1</v>
      </c>
      <c r="G23" s="6"/>
    </row>
    <row r="24" spans="1:7">
      <c r="A24" s="6" t="s">
        <v>64</v>
      </c>
      <c r="B24" s="36">
        <v>216</v>
      </c>
      <c r="C24" s="24">
        <v>92</v>
      </c>
      <c r="D24" s="35">
        <v>32</v>
      </c>
      <c r="E24" s="35">
        <v>36</v>
      </c>
      <c r="F24" s="35">
        <v>32</v>
      </c>
      <c r="G24" s="6" t="s">
        <v>158</v>
      </c>
    </row>
    <row r="25" spans="1:7">
      <c r="A25" s="6" t="s">
        <v>65</v>
      </c>
      <c r="B25" s="36">
        <v>219.5</v>
      </c>
      <c r="C25" s="24">
        <v>93</v>
      </c>
      <c r="D25" s="35">
        <v>21</v>
      </c>
      <c r="E25" s="35">
        <f>100-F25-D25</f>
        <v>52</v>
      </c>
      <c r="F25" s="35">
        <v>27</v>
      </c>
      <c r="G25" s="6"/>
    </row>
    <row r="26" spans="1:7">
      <c r="A26" s="6" t="s">
        <v>66</v>
      </c>
      <c r="B26" s="36">
        <v>175.1</v>
      </c>
      <c r="C26" s="24">
        <v>73</v>
      </c>
      <c r="D26" s="35">
        <v>24.9</v>
      </c>
      <c r="E26" s="35">
        <f>100-D26</f>
        <v>75.099999999999994</v>
      </c>
      <c r="F26" s="35">
        <v>0</v>
      </c>
      <c r="G26" s="6"/>
    </row>
    <row r="27" spans="1:7">
      <c r="A27" s="6" t="s">
        <v>67</v>
      </c>
      <c r="B27" s="36">
        <v>198</v>
      </c>
      <c r="C27" s="24">
        <v>73</v>
      </c>
      <c r="D27" s="35">
        <v>2</v>
      </c>
      <c r="E27" s="35">
        <v>98</v>
      </c>
      <c r="F27" s="35">
        <v>0</v>
      </c>
      <c r="G27" s="6"/>
    </row>
    <row r="28" spans="1:7">
      <c r="A28" s="6" t="s">
        <v>68</v>
      </c>
      <c r="B28" s="36">
        <v>278</v>
      </c>
      <c r="C28" s="24">
        <v>77</v>
      </c>
      <c r="D28" s="35">
        <v>0</v>
      </c>
      <c r="E28" s="35">
        <v>48</v>
      </c>
      <c r="F28" s="35">
        <v>52</v>
      </c>
      <c r="G28" s="25" t="s">
        <v>159</v>
      </c>
    </row>
    <row r="29" spans="1:7">
      <c r="A29" s="6" t="s">
        <v>69</v>
      </c>
      <c r="B29" s="36">
        <v>305</v>
      </c>
      <c r="C29" s="24">
        <v>73</v>
      </c>
      <c r="D29" s="35">
        <v>0</v>
      </c>
      <c r="E29" s="35">
        <v>30</v>
      </c>
      <c r="F29" s="35">
        <v>70</v>
      </c>
      <c r="G29" s="6"/>
    </row>
    <row r="30" spans="1:7">
      <c r="A30" s="6" t="s">
        <v>71</v>
      </c>
      <c r="B30" s="36">
        <v>115.20000000000002</v>
      </c>
      <c r="C30" s="24">
        <v>86</v>
      </c>
      <c r="D30" s="35">
        <v>84.8</v>
      </c>
      <c r="E30" s="35">
        <f>100-D30</f>
        <v>15.200000000000003</v>
      </c>
      <c r="F30" s="35">
        <v>0</v>
      </c>
      <c r="G30" s="6"/>
    </row>
    <row r="31" spans="1:7">
      <c r="A31" s="6" t="s">
        <v>73</v>
      </c>
      <c r="B31" s="36">
        <v>114</v>
      </c>
      <c r="C31" s="24">
        <v>74</v>
      </c>
      <c r="D31" s="35">
        <v>86</v>
      </c>
      <c r="E31" s="35">
        <v>14</v>
      </c>
      <c r="F31" s="35">
        <v>0</v>
      </c>
      <c r="G31" s="6"/>
    </row>
    <row r="32" spans="1:7">
      <c r="A32" s="6" t="s">
        <v>76</v>
      </c>
      <c r="B32" s="24" t="s">
        <v>153</v>
      </c>
      <c r="C32" s="35" t="s">
        <v>153</v>
      </c>
      <c r="D32" s="35" t="s">
        <v>153</v>
      </c>
      <c r="E32" s="35" t="s">
        <v>153</v>
      </c>
      <c r="F32" s="35" t="s">
        <v>153</v>
      </c>
      <c r="G32" s="6"/>
    </row>
    <row r="33" spans="1:7">
      <c r="A33" s="6" t="s">
        <v>77</v>
      </c>
      <c r="B33" s="36">
        <v>181</v>
      </c>
      <c r="C33" s="24">
        <v>74</v>
      </c>
      <c r="D33" s="35">
        <v>34</v>
      </c>
      <c r="E33" s="35">
        <f>100-D33-F33</f>
        <v>56</v>
      </c>
      <c r="F33" s="35">
        <v>10</v>
      </c>
      <c r="G33" s="6"/>
    </row>
    <row r="34" spans="1:7">
      <c r="A34" s="6" t="s">
        <v>79</v>
      </c>
      <c r="B34" s="36">
        <v>157</v>
      </c>
      <c r="C34" s="24">
        <v>73</v>
      </c>
      <c r="D34" s="35">
        <v>43</v>
      </c>
      <c r="E34" s="35">
        <f>100-D34-F34</f>
        <v>57</v>
      </c>
      <c r="F34" s="35">
        <v>0</v>
      </c>
      <c r="G34" s="6"/>
    </row>
    <row r="35" spans="1:7">
      <c r="A35" s="6" t="s">
        <v>80</v>
      </c>
      <c r="B35" s="36">
        <v>143</v>
      </c>
      <c r="C35" s="24">
        <v>73</v>
      </c>
      <c r="D35" s="35">
        <v>57</v>
      </c>
      <c r="E35" s="35">
        <v>43</v>
      </c>
      <c r="F35" s="35">
        <v>0</v>
      </c>
      <c r="G35" s="6"/>
    </row>
    <row r="36" spans="1:7">
      <c r="A36" s="6" t="s">
        <v>81</v>
      </c>
      <c r="B36" s="36">
        <v>218.5</v>
      </c>
      <c r="C36" s="24">
        <v>87</v>
      </c>
      <c r="D36" s="35">
        <v>18</v>
      </c>
      <c r="E36" s="35">
        <v>60</v>
      </c>
      <c r="F36" s="35">
        <v>23</v>
      </c>
      <c r="G36" s="6"/>
    </row>
    <row r="37" spans="1:7">
      <c r="A37" s="6" t="s">
        <v>82</v>
      </c>
      <c r="B37" s="36">
        <v>166</v>
      </c>
      <c r="C37" s="24">
        <v>74</v>
      </c>
      <c r="D37" s="35">
        <v>34</v>
      </c>
      <c r="E37" s="35">
        <v>66</v>
      </c>
      <c r="F37" s="35">
        <v>0</v>
      </c>
      <c r="G37" s="6"/>
    </row>
    <row r="38" spans="1:7">
      <c r="A38" s="6" t="s">
        <v>83</v>
      </c>
      <c r="B38" s="36">
        <v>224</v>
      </c>
      <c r="C38" s="24" t="s">
        <v>160</v>
      </c>
      <c r="D38" s="35">
        <v>0</v>
      </c>
      <c r="E38" s="35">
        <v>84</v>
      </c>
      <c r="F38" s="35">
        <v>16</v>
      </c>
      <c r="G38" s="6" t="s">
        <v>161</v>
      </c>
    </row>
    <row r="39" spans="1:7">
      <c r="A39" s="6" t="s">
        <v>84</v>
      </c>
      <c r="B39" s="24" t="s">
        <v>153</v>
      </c>
      <c r="C39" s="35" t="s">
        <v>153</v>
      </c>
      <c r="D39" s="35" t="s">
        <v>153</v>
      </c>
      <c r="E39" s="35" t="s">
        <v>153</v>
      </c>
      <c r="F39" s="35" t="s">
        <v>153</v>
      </c>
      <c r="G39" s="6"/>
    </row>
    <row r="40" spans="1:7">
      <c r="A40" s="6" t="s">
        <v>85</v>
      </c>
      <c r="B40" s="36">
        <v>226.5</v>
      </c>
      <c r="C40" s="24">
        <v>74</v>
      </c>
      <c r="D40" s="35">
        <f>AVERAGE(9.3,8.5)</f>
        <v>8.9</v>
      </c>
      <c r="E40" s="35">
        <f>100-D40-F40</f>
        <v>67.599999999999994</v>
      </c>
      <c r="F40" s="35">
        <f>AVERAGE(17.1,29.9)</f>
        <v>23.5</v>
      </c>
      <c r="G40" s="6"/>
    </row>
    <row r="41" spans="1:7">
      <c r="A41" s="6" t="s">
        <v>86</v>
      </c>
      <c r="B41" s="36">
        <v>327.5</v>
      </c>
      <c r="C41" s="24">
        <v>73</v>
      </c>
      <c r="D41" s="35">
        <v>0</v>
      </c>
      <c r="E41" s="35">
        <v>15</v>
      </c>
      <c r="F41" s="35">
        <v>85</v>
      </c>
      <c r="G41" s="6"/>
    </row>
    <row r="42" spans="1:7">
      <c r="A42" s="6" t="s">
        <v>87</v>
      </c>
      <c r="B42" s="36">
        <v>200</v>
      </c>
      <c r="C42" s="24">
        <v>74</v>
      </c>
      <c r="D42" s="35">
        <v>5.8</v>
      </c>
      <c r="E42" s="35">
        <f>100-D42-F42</f>
        <v>90.3</v>
      </c>
      <c r="F42" s="35">
        <v>3.9</v>
      </c>
      <c r="G42" s="6"/>
    </row>
    <row r="43" spans="1:7">
      <c r="A43" s="6" t="s">
        <v>88</v>
      </c>
      <c r="B43" s="24" t="s">
        <v>153</v>
      </c>
      <c r="C43" s="35" t="s">
        <v>153</v>
      </c>
      <c r="D43" s="35" t="s">
        <v>153</v>
      </c>
      <c r="E43" s="35" t="s">
        <v>153</v>
      </c>
      <c r="F43" s="35" t="s">
        <v>153</v>
      </c>
      <c r="G43" s="6"/>
    </row>
    <row r="44" spans="1:7">
      <c r="A44" s="6" t="s">
        <v>89</v>
      </c>
      <c r="B44" s="36">
        <v>159</v>
      </c>
      <c r="C44" s="24">
        <v>76</v>
      </c>
      <c r="D44" s="35" t="s">
        <v>153</v>
      </c>
      <c r="E44" s="35" t="s">
        <v>153</v>
      </c>
      <c r="F44" s="35" t="s">
        <v>153</v>
      </c>
      <c r="G44" s="6" t="s">
        <v>162</v>
      </c>
    </row>
    <row r="45" spans="1:7">
      <c r="A45" s="6" t="s">
        <v>90</v>
      </c>
      <c r="B45" s="36">
        <v>203.2</v>
      </c>
      <c r="C45" s="24">
        <v>75</v>
      </c>
      <c r="D45" s="35">
        <f>5.9+2.3</f>
        <v>8.1999999999999993</v>
      </c>
      <c r="E45" s="35">
        <v>84.2</v>
      </c>
      <c r="F45" s="35">
        <v>7.6</v>
      </c>
      <c r="G45" s="6"/>
    </row>
    <row r="46" spans="1:7">
      <c r="A46" s="6" t="s">
        <v>91</v>
      </c>
      <c r="B46" s="36">
        <v>219.5</v>
      </c>
      <c r="C46" s="24">
        <v>89</v>
      </c>
      <c r="D46" s="35">
        <v>0</v>
      </c>
      <c r="E46" s="35">
        <v>87</v>
      </c>
      <c r="F46" s="35">
        <v>13</v>
      </c>
      <c r="G46" s="6" t="s">
        <v>163</v>
      </c>
    </row>
    <row r="47" spans="1:7">
      <c r="A47" s="6" t="s">
        <v>92</v>
      </c>
      <c r="B47" s="36">
        <v>222.5</v>
      </c>
      <c r="C47" s="24">
        <v>74</v>
      </c>
      <c r="D47" s="35" t="s">
        <v>153</v>
      </c>
      <c r="E47" s="35" t="s">
        <v>153</v>
      </c>
      <c r="F47" s="35" t="s">
        <v>153</v>
      </c>
      <c r="G47" s="6" t="s">
        <v>154</v>
      </c>
    </row>
    <row r="48" spans="1:7">
      <c r="A48" s="6" t="s">
        <v>93</v>
      </c>
      <c r="B48" s="36">
        <v>105</v>
      </c>
      <c r="C48" s="24">
        <v>74</v>
      </c>
      <c r="D48" s="35">
        <v>95</v>
      </c>
      <c r="E48" s="35">
        <v>5</v>
      </c>
      <c r="F48" s="35">
        <v>0</v>
      </c>
      <c r="G48" s="6"/>
    </row>
    <row r="49" spans="1:7">
      <c r="A49" s="6" t="s">
        <v>94</v>
      </c>
      <c r="B49" s="24" t="s">
        <v>153</v>
      </c>
      <c r="C49" s="35" t="s">
        <v>153</v>
      </c>
      <c r="D49" s="35" t="s">
        <v>153</v>
      </c>
      <c r="E49" s="35" t="s">
        <v>153</v>
      </c>
      <c r="F49" s="35" t="s">
        <v>153</v>
      </c>
      <c r="G49" s="6"/>
    </row>
    <row r="50" spans="1:7">
      <c r="A50" s="6" t="s">
        <v>95</v>
      </c>
      <c r="B50" s="36">
        <v>245</v>
      </c>
      <c r="C50" s="24">
        <v>77</v>
      </c>
      <c r="D50" s="35">
        <v>0</v>
      </c>
      <c r="E50" s="35">
        <v>70</v>
      </c>
      <c r="F50" s="35">
        <v>30</v>
      </c>
      <c r="G50" s="25" t="s">
        <v>164</v>
      </c>
    </row>
    <row r="51" spans="1:7">
      <c r="A51" s="6" t="s">
        <v>96</v>
      </c>
      <c r="B51" s="36">
        <v>195</v>
      </c>
      <c r="C51" s="24">
        <v>76</v>
      </c>
      <c r="D51" s="35" t="s">
        <v>153</v>
      </c>
      <c r="E51" s="35" t="s">
        <v>153</v>
      </c>
      <c r="F51" s="35" t="s">
        <v>153</v>
      </c>
      <c r="G51" s="6" t="s">
        <v>162</v>
      </c>
    </row>
    <row r="52" spans="1:7">
      <c r="A52" s="6" t="s">
        <v>97</v>
      </c>
      <c r="B52" s="24" t="s">
        <v>153</v>
      </c>
      <c r="C52" s="35" t="s">
        <v>153</v>
      </c>
      <c r="D52" s="35" t="s">
        <v>153</v>
      </c>
      <c r="E52" s="35" t="s">
        <v>153</v>
      </c>
      <c r="F52" s="35" t="s">
        <v>153</v>
      </c>
      <c r="G52" s="6"/>
    </row>
    <row r="53" spans="1:7">
      <c r="A53" s="6" t="s">
        <v>98</v>
      </c>
      <c r="B53" s="36">
        <v>178</v>
      </c>
      <c r="C53" s="24">
        <v>73</v>
      </c>
      <c r="D53" s="35">
        <v>28</v>
      </c>
      <c r="E53" s="35">
        <v>68</v>
      </c>
      <c r="F53" s="35">
        <v>4</v>
      </c>
      <c r="G53" s="6"/>
    </row>
    <row r="54" spans="1:7">
      <c r="A54" s="6" t="s">
        <v>99</v>
      </c>
      <c r="B54" s="36">
        <v>207.2</v>
      </c>
      <c r="C54" s="24">
        <v>74</v>
      </c>
      <c r="D54" s="35">
        <v>7.8</v>
      </c>
      <c r="E54" s="35">
        <f>100-D54-F54</f>
        <v>82.2</v>
      </c>
      <c r="F54" s="35">
        <v>10</v>
      </c>
      <c r="G54" s="6"/>
    </row>
    <row r="55" spans="1:7">
      <c r="A55" s="6" t="s">
        <v>100</v>
      </c>
      <c r="B55" s="36">
        <v>207</v>
      </c>
      <c r="C55" s="24">
        <v>77</v>
      </c>
      <c r="D55" s="35">
        <v>8</v>
      </c>
      <c r="E55" s="35">
        <f>100-D55-F55</f>
        <v>82</v>
      </c>
      <c r="F55" s="35">
        <v>10</v>
      </c>
      <c r="G55" s="25" t="s">
        <v>165</v>
      </c>
    </row>
    <row r="56" spans="1:7">
      <c r="A56" s="6" t="s">
        <v>101</v>
      </c>
      <c r="B56" s="36">
        <v>199</v>
      </c>
      <c r="C56" s="24">
        <v>74</v>
      </c>
      <c r="D56" s="35">
        <v>7</v>
      </c>
      <c r="E56" s="35">
        <f>100-D56-F56</f>
        <v>89</v>
      </c>
      <c r="F56" s="35">
        <v>4</v>
      </c>
      <c r="G56" s="6"/>
    </row>
    <row r="57" spans="1:7">
      <c r="A57" s="6" t="s">
        <v>102</v>
      </c>
      <c r="B57" s="36">
        <v>216.5</v>
      </c>
      <c r="C57" s="24">
        <v>77</v>
      </c>
      <c r="D57" s="35">
        <v>0</v>
      </c>
      <c r="E57" s="35">
        <f>100-D57-F57</f>
        <v>89</v>
      </c>
      <c r="F57" s="35">
        <v>11</v>
      </c>
      <c r="G57" s="25"/>
    </row>
    <row r="58" spans="1:7">
      <c r="A58" s="6" t="s">
        <v>103</v>
      </c>
      <c r="B58" s="36">
        <v>121.5</v>
      </c>
      <c r="C58" s="24">
        <v>74</v>
      </c>
      <c r="D58" s="35">
        <v>78.3</v>
      </c>
      <c r="E58" s="35">
        <f>100-D58-F58</f>
        <v>21.700000000000003</v>
      </c>
      <c r="F58" s="35">
        <v>0</v>
      </c>
      <c r="G58" s="6"/>
    </row>
    <row r="59" spans="1:7">
      <c r="A59" s="22" t="s">
        <v>104</v>
      </c>
      <c r="B59" s="41">
        <v>196</v>
      </c>
      <c r="C59" s="26">
        <v>88</v>
      </c>
      <c r="D59" s="35">
        <v>4</v>
      </c>
      <c r="E59" s="35">
        <v>96</v>
      </c>
      <c r="F59" s="35">
        <v>0</v>
      </c>
      <c r="G59" s="6"/>
    </row>
    <row r="60" spans="1:7">
      <c r="A60" s="6" t="s">
        <v>105</v>
      </c>
      <c r="B60" s="36">
        <v>197.5</v>
      </c>
      <c r="C60" s="24">
        <v>73</v>
      </c>
      <c r="D60" s="35">
        <v>2.5</v>
      </c>
      <c r="E60" s="35">
        <v>97.5</v>
      </c>
      <c r="F60" s="35">
        <v>0</v>
      </c>
      <c r="G60" s="6"/>
    </row>
    <row r="61" spans="1:7">
      <c r="A61" s="6" t="s">
        <v>106</v>
      </c>
      <c r="B61" s="24" t="s">
        <v>153</v>
      </c>
      <c r="C61" s="35" t="s">
        <v>153</v>
      </c>
      <c r="D61" s="35" t="s">
        <v>153</v>
      </c>
      <c r="E61" s="35" t="s">
        <v>153</v>
      </c>
      <c r="F61" s="35" t="s">
        <v>153</v>
      </c>
      <c r="G61" s="6"/>
    </row>
    <row r="62" spans="1:7">
      <c r="A62" s="6" t="s">
        <v>107</v>
      </c>
      <c r="B62" s="36">
        <v>200.5</v>
      </c>
      <c r="C62" s="24">
        <v>73</v>
      </c>
      <c r="D62" s="35">
        <v>13</v>
      </c>
      <c r="E62" s="35">
        <f>100-D62-F62</f>
        <v>78</v>
      </c>
      <c r="F62" s="35">
        <v>9</v>
      </c>
      <c r="G62" s="6"/>
    </row>
    <row r="63" spans="1:7">
      <c r="A63" s="6" t="s">
        <v>108</v>
      </c>
      <c r="B63" s="36">
        <v>159</v>
      </c>
      <c r="C63" s="24">
        <v>73</v>
      </c>
      <c r="D63" s="35">
        <v>41</v>
      </c>
      <c r="E63" s="35">
        <v>59</v>
      </c>
      <c r="F63" s="35">
        <v>0</v>
      </c>
      <c r="G63" s="6"/>
    </row>
    <row r="64" spans="1:7">
      <c r="A64" s="6" t="s">
        <v>109</v>
      </c>
      <c r="B64" s="24" t="s">
        <v>153</v>
      </c>
      <c r="C64" s="35" t="s">
        <v>153</v>
      </c>
      <c r="D64" s="35" t="s">
        <v>153</v>
      </c>
      <c r="E64" s="35" t="s">
        <v>153</v>
      </c>
      <c r="F64" s="35" t="s">
        <v>153</v>
      </c>
      <c r="G64" s="6"/>
    </row>
    <row r="65" spans="1:7">
      <c r="A65" s="6" t="s">
        <v>110</v>
      </c>
      <c r="B65" s="36">
        <v>235</v>
      </c>
      <c r="C65" s="24">
        <v>73</v>
      </c>
      <c r="D65" s="35">
        <v>10</v>
      </c>
      <c r="E65" s="35">
        <v>60</v>
      </c>
      <c r="F65" s="35">
        <v>30</v>
      </c>
      <c r="G65" s="6"/>
    </row>
    <row r="66" spans="1:7">
      <c r="A66" s="6" t="s">
        <v>111</v>
      </c>
      <c r="B66" s="36">
        <v>246.8</v>
      </c>
      <c r="C66" s="24">
        <v>73</v>
      </c>
      <c r="D66" s="35">
        <v>0</v>
      </c>
      <c r="E66" s="35">
        <f>100-F66</f>
        <v>68.8</v>
      </c>
      <c r="F66" s="35">
        <v>31.2</v>
      </c>
      <c r="G66" s="6"/>
    </row>
    <row r="67" spans="1:7">
      <c r="A67" s="6" t="s">
        <v>112</v>
      </c>
      <c r="B67" s="24" t="s">
        <v>153</v>
      </c>
      <c r="C67" s="35" t="s">
        <v>153</v>
      </c>
      <c r="D67" s="35" t="s">
        <v>153</v>
      </c>
      <c r="E67" s="35" t="s">
        <v>153</v>
      </c>
      <c r="F67" s="35" t="s">
        <v>153</v>
      </c>
      <c r="G67" s="6"/>
    </row>
    <row r="68" spans="1:7">
      <c r="A68" s="6" t="s">
        <v>113</v>
      </c>
      <c r="B68" s="36">
        <v>323</v>
      </c>
      <c r="C68" s="24">
        <v>73</v>
      </c>
      <c r="D68" s="35">
        <v>0</v>
      </c>
      <c r="E68" s="35">
        <v>18</v>
      </c>
      <c r="F68" s="35">
        <v>82</v>
      </c>
      <c r="G68" s="6"/>
    </row>
    <row r="69" spans="1:7">
      <c r="A69" s="6" t="s">
        <v>114</v>
      </c>
      <c r="B69" s="36">
        <v>153.5</v>
      </c>
      <c r="C69" s="24">
        <v>74</v>
      </c>
      <c r="D69" s="35" t="s">
        <v>153</v>
      </c>
      <c r="E69" s="35" t="s">
        <v>153</v>
      </c>
      <c r="F69" s="35" t="s">
        <v>153</v>
      </c>
      <c r="G69" s="6" t="s">
        <v>154</v>
      </c>
    </row>
    <row r="70" spans="1:7">
      <c r="A70" s="6" t="s">
        <v>115</v>
      </c>
      <c r="B70" s="36">
        <v>167</v>
      </c>
      <c r="C70" s="24">
        <v>73</v>
      </c>
      <c r="D70" s="35">
        <v>45</v>
      </c>
      <c r="E70" s="35">
        <f>100-D70-F70</f>
        <v>47</v>
      </c>
      <c r="F70" s="35">
        <v>8</v>
      </c>
      <c r="G70" s="6"/>
    </row>
    <row r="71" spans="1:7">
      <c r="A71" s="6" t="s">
        <v>116</v>
      </c>
      <c r="B71" s="36">
        <v>335</v>
      </c>
      <c r="C71" s="24">
        <v>73</v>
      </c>
      <c r="D71" s="35">
        <v>0</v>
      </c>
      <c r="E71" s="35">
        <v>10</v>
      </c>
      <c r="F71" s="35">
        <v>90</v>
      </c>
      <c r="G71" s="6" t="s">
        <v>166</v>
      </c>
    </row>
    <row r="72" spans="1:7">
      <c r="A72" s="6" t="s">
        <v>117</v>
      </c>
      <c r="B72" s="24" t="s">
        <v>153</v>
      </c>
      <c r="C72" s="35" t="s">
        <v>153</v>
      </c>
      <c r="D72" s="35" t="s">
        <v>153</v>
      </c>
      <c r="E72" s="35" t="s">
        <v>153</v>
      </c>
      <c r="F72" s="35" t="s">
        <v>153</v>
      </c>
      <c r="G72" s="6"/>
    </row>
    <row r="73" spans="1:7">
      <c r="A73" s="6" t="s">
        <v>118</v>
      </c>
      <c r="B73" s="36">
        <v>179.3</v>
      </c>
      <c r="C73" s="24">
        <v>78</v>
      </c>
      <c r="D73" s="35">
        <v>20.9</v>
      </c>
      <c r="E73" s="35">
        <f>73.9+5.3</f>
        <v>79.2</v>
      </c>
      <c r="F73" s="35">
        <v>0</v>
      </c>
      <c r="G73" s="6" t="s">
        <v>167</v>
      </c>
    </row>
  </sheetData>
  <autoFilter ref="A1:G73" xr:uid="{00000000-0009-0000-0000-000004000000}"/>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E73"/>
  <sheetViews>
    <sheetView zoomScaleNormal="100" workbookViewId="0"/>
  </sheetViews>
  <sheetFormatPr defaultColWidth="8.7109375" defaultRowHeight="11.1"/>
  <cols>
    <col min="1" max="1" width="25.42578125" style="22" bestFit="1" customWidth="1"/>
    <col min="2" max="2" width="12.42578125" style="22" bestFit="1" customWidth="1"/>
    <col min="3" max="3" width="11.140625" style="22" bestFit="1" customWidth="1"/>
    <col min="4" max="4" width="16.28515625" style="22" bestFit="1" customWidth="1"/>
    <col min="5" max="5" width="67.42578125" style="22" bestFit="1" customWidth="1"/>
    <col min="6" max="16384" width="8.7109375" style="6"/>
  </cols>
  <sheetData>
    <row r="1" spans="1:5">
      <c r="A1" s="27" t="s">
        <v>1</v>
      </c>
      <c r="B1" s="28" t="s">
        <v>168</v>
      </c>
      <c r="C1" s="28" t="s">
        <v>169</v>
      </c>
      <c r="D1" s="28" t="s">
        <v>170</v>
      </c>
      <c r="E1" s="28" t="s">
        <v>171</v>
      </c>
    </row>
    <row r="2" spans="1:5">
      <c r="A2" s="22" t="s">
        <v>38</v>
      </c>
      <c r="B2" s="29" t="s">
        <v>172</v>
      </c>
      <c r="C2" s="29" t="s">
        <v>173</v>
      </c>
      <c r="D2" s="29" t="s">
        <v>174</v>
      </c>
      <c r="E2" s="29"/>
    </row>
    <row r="3" spans="1:5">
      <c r="A3" s="22" t="s">
        <v>39</v>
      </c>
      <c r="B3" s="29" t="s">
        <v>172</v>
      </c>
      <c r="C3" s="29" t="s">
        <v>173</v>
      </c>
      <c r="D3" s="29" t="s">
        <v>174</v>
      </c>
      <c r="E3" s="29"/>
    </row>
    <row r="4" spans="1:5">
      <c r="A4" s="22" t="s">
        <v>41</v>
      </c>
      <c r="B4" s="29" t="s">
        <v>172</v>
      </c>
      <c r="C4" s="29" t="s">
        <v>173</v>
      </c>
      <c r="D4" s="29" t="s">
        <v>174</v>
      </c>
      <c r="E4" s="29"/>
    </row>
    <row r="5" spans="1:5">
      <c r="A5" s="22" t="s">
        <v>44</v>
      </c>
      <c r="B5" s="29" t="s">
        <v>175</v>
      </c>
      <c r="C5" s="29" t="s">
        <v>176</v>
      </c>
      <c r="D5" s="29" t="s">
        <v>176</v>
      </c>
      <c r="E5" s="29"/>
    </row>
    <row r="6" spans="1:5">
      <c r="A6" s="22" t="s">
        <v>45</v>
      </c>
      <c r="B6" s="29" t="s">
        <v>177</v>
      </c>
      <c r="C6" s="29" t="s">
        <v>173</v>
      </c>
      <c r="D6" s="29" t="s">
        <v>174</v>
      </c>
      <c r="E6" s="29"/>
    </row>
    <row r="7" spans="1:5">
      <c r="A7" s="22" t="s">
        <v>46</v>
      </c>
      <c r="B7" s="29" t="s">
        <v>177</v>
      </c>
      <c r="C7" s="29" t="s">
        <v>173</v>
      </c>
      <c r="D7" s="29" t="s">
        <v>174</v>
      </c>
      <c r="E7" s="29"/>
    </row>
    <row r="8" spans="1:5">
      <c r="A8" s="22" t="s">
        <v>47</v>
      </c>
      <c r="B8" s="29" t="s">
        <v>175</v>
      </c>
      <c r="C8" s="29" t="s">
        <v>176</v>
      </c>
      <c r="D8" s="29" t="s">
        <v>176</v>
      </c>
      <c r="E8" s="29"/>
    </row>
    <row r="9" spans="1:5">
      <c r="A9" s="22" t="s">
        <v>48</v>
      </c>
      <c r="B9" s="29" t="s">
        <v>175</v>
      </c>
      <c r="C9" s="29" t="s">
        <v>176</v>
      </c>
      <c r="D9" s="29" t="s">
        <v>176</v>
      </c>
      <c r="E9" s="29"/>
    </row>
    <row r="10" spans="1:5">
      <c r="A10" s="22" t="s">
        <v>49</v>
      </c>
      <c r="B10" s="29" t="s">
        <v>175</v>
      </c>
      <c r="C10" s="29" t="s">
        <v>176</v>
      </c>
      <c r="D10" s="29" t="s">
        <v>176</v>
      </c>
      <c r="E10" s="29"/>
    </row>
    <row r="11" spans="1:5">
      <c r="A11" s="22" t="s">
        <v>50</v>
      </c>
      <c r="B11" s="29" t="s">
        <v>178</v>
      </c>
      <c r="C11" s="29" t="s">
        <v>176</v>
      </c>
      <c r="D11" s="29" t="s">
        <v>176</v>
      </c>
      <c r="E11" s="29" t="s">
        <v>179</v>
      </c>
    </row>
    <row r="12" spans="1:5">
      <c r="A12" s="22" t="s">
        <v>51</v>
      </c>
      <c r="B12" s="29" t="s">
        <v>178</v>
      </c>
      <c r="C12" s="29" t="s">
        <v>176</v>
      </c>
      <c r="D12" s="29" t="s">
        <v>176</v>
      </c>
      <c r="E12" s="29" t="s">
        <v>180</v>
      </c>
    </row>
    <row r="13" spans="1:5">
      <c r="A13" s="22" t="s">
        <v>52</v>
      </c>
      <c r="B13" s="29" t="s">
        <v>178</v>
      </c>
      <c r="C13" s="29" t="s">
        <v>176</v>
      </c>
      <c r="D13" s="29" t="s">
        <v>176</v>
      </c>
      <c r="E13" s="29" t="s">
        <v>181</v>
      </c>
    </row>
    <row r="14" spans="1:5">
      <c r="A14" s="22" t="s">
        <v>53</v>
      </c>
      <c r="B14" s="29" t="s">
        <v>177</v>
      </c>
      <c r="C14" s="29" t="s">
        <v>173</v>
      </c>
      <c r="D14" s="29" t="s">
        <v>174</v>
      </c>
      <c r="E14" s="29"/>
    </row>
    <row r="15" spans="1:5">
      <c r="A15" s="22" t="s">
        <v>54</v>
      </c>
      <c r="B15" s="29" t="s">
        <v>177</v>
      </c>
      <c r="C15" s="29" t="s">
        <v>173</v>
      </c>
      <c r="D15" s="29" t="s">
        <v>174</v>
      </c>
      <c r="E15" s="29"/>
    </row>
    <row r="16" spans="1:5">
      <c r="A16" s="22" t="s">
        <v>56</v>
      </c>
      <c r="B16" s="29" t="s">
        <v>177</v>
      </c>
      <c r="C16" s="29" t="s">
        <v>173</v>
      </c>
      <c r="D16" s="29" t="s">
        <v>174</v>
      </c>
      <c r="E16" s="29"/>
    </row>
    <row r="17" spans="1:5">
      <c r="A17" s="22" t="s">
        <v>57</v>
      </c>
      <c r="B17" s="29" t="s">
        <v>177</v>
      </c>
      <c r="C17" s="29" t="s">
        <v>173</v>
      </c>
      <c r="D17" s="29" t="s">
        <v>174</v>
      </c>
      <c r="E17" s="29"/>
    </row>
    <row r="18" spans="1:5">
      <c r="A18" s="22" t="s">
        <v>58</v>
      </c>
      <c r="B18" s="29" t="s">
        <v>177</v>
      </c>
      <c r="C18" s="29" t="s">
        <v>182</v>
      </c>
      <c r="D18" s="29" t="s">
        <v>174</v>
      </c>
      <c r="E18" s="29"/>
    </row>
    <row r="19" spans="1:5">
      <c r="A19" s="22" t="s">
        <v>59</v>
      </c>
      <c r="B19" s="29" t="s">
        <v>172</v>
      </c>
      <c r="C19" s="29" t="s">
        <v>173</v>
      </c>
      <c r="D19" s="29" t="s">
        <v>174</v>
      </c>
      <c r="E19" s="29"/>
    </row>
    <row r="20" spans="1:5">
      <c r="A20" s="22" t="s">
        <v>60</v>
      </c>
      <c r="B20" s="29" t="s">
        <v>183</v>
      </c>
      <c r="C20" s="29" t="s">
        <v>182</v>
      </c>
      <c r="D20" s="29" t="s">
        <v>174</v>
      </c>
      <c r="E20" s="29"/>
    </row>
    <row r="21" spans="1:5">
      <c r="A21" s="22" t="s">
        <v>61</v>
      </c>
      <c r="B21" s="29" t="s">
        <v>184</v>
      </c>
      <c r="C21" s="29" t="s">
        <v>185</v>
      </c>
      <c r="D21" s="29" t="s">
        <v>185</v>
      </c>
      <c r="E21" s="29"/>
    </row>
    <row r="22" spans="1:5">
      <c r="A22" s="22" t="s">
        <v>62</v>
      </c>
      <c r="B22" s="29" t="s">
        <v>186</v>
      </c>
      <c r="C22" s="29" t="s">
        <v>185</v>
      </c>
      <c r="D22" s="29" t="s">
        <v>176</v>
      </c>
      <c r="E22" s="22" t="s">
        <v>187</v>
      </c>
    </row>
    <row r="23" spans="1:5">
      <c r="A23" s="22" t="s">
        <v>63</v>
      </c>
      <c r="B23" s="29" t="s">
        <v>178</v>
      </c>
      <c r="C23" s="29" t="s">
        <v>173</v>
      </c>
      <c r="D23" s="29" t="s">
        <v>174</v>
      </c>
      <c r="E23" s="29" t="s">
        <v>188</v>
      </c>
    </row>
    <row r="24" spans="1:5">
      <c r="A24" s="22" t="s">
        <v>64</v>
      </c>
      <c r="B24" s="29" t="s">
        <v>189</v>
      </c>
      <c r="C24" s="29" t="s">
        <v>185</v>
      </c>
      <c r="D24" s="29" t="s">
        <v>185</v>
      </c>
      <c r="E24" s="29"/>
    </row>
    <row r="25" spans="1:5">
      <c r="A25" s="22" t="s">
        <v>65</v>
      </c>
      <c r="B25" s="29" t="s">
        <v>183</v>
      </c>
      <c r="C25" s="29" t="s">
        <v>182</v>
      </c>
      <c r="D25" s="29" t="s">
        <v>174</v>
      </c>
      <c r="E25" s="29"/>
    </row>
    <row r="26" spans="1:5">
      <c r="A26" s="22" t="s">
        <v>66</v>
      </c>
      <c r="B26" s="29" t="s">
        <v>177</v>
      </c>
      <c r="C26" s="29" t="s">
        <v>173</v>
      </c>
      <c r="D26" s="29" t="s">
        <v>174</v>
      </c>
      <c r="E26" s="29"/>
    </row>
    <row r="27" spans="1:5">
      <c r="A27" s="22" t="s">
        <v>67</v>
      </c>
      <c r="B27" s="29" t="s">
        <v>190</v>
      </c>
      <c r="C27" s="29" t="s">
        <v>176</v>
      </c>
      <c r="D27" s="29" t="s">
        <v>176</v>
      </c>
      <c r="E27" s="29" t="s">
        <v>191</v>
      </c>
    </row>
    <row r="28" spans="1:5">
      <c r="A28" s="22" t="s">
        <v>68</v>
      </c>
      <c r="B28" s="29" t="s">
        <v>192</v>
      </c>
      <c r="C28" s="29" t="s">
        <v>185</v>
      </c>
      <c r="D28" s="29" t="s">
        <v>185</v>
      </c>
      <c r="E28" s="22" t="s">
        <v>193</v>
      </c>
    </row>
    <row r="29" spans="1:5">
      <c r="A29" s="22" t="s">
        <v>69</v>
      </c>
      <c r="B29" s="29" t="s">
        <v>194</v>
      </c>
      <c r="C29" s="29" t="s">
        <v>185</v>
      </c>
      <c r="D29" s="29" t="s">
        <v>176</v>
      </c>
      <c r="E29" s="22" t="s">
        <v>195</v>
      </c>
    </row>
    <row r="30" spans="1:5">
      <c r="A30" s="22" t="s">
        <v>71</v>
      </c>
      <c r="B30" s="30" t="s">
        <v>153</v>
      </c>
      <c r="C30" s="29" t="s">
        <v>182</v>
      </c>
      <c r="D30" s="29" t="s">
        <v>174</v>
      </c>
      <c r="E30" s="29"/>
    </row>
    <row r="31" spans="1:5">
      <c r="A31" s="22" t="s">
        <v>73</v>
      </c>
      <c r="B31" s="29" t="s">
        <v>172</v>
      </c>
      <c r="C31" s="29" t="s">
        <v>182</v>
      </c>
      <c r="D31" s="29" t="s">
        <v>174</v>
      </c>
      <c r="E31" s="29"/>
    </row>
    <row r="32" spans="1:5">
      <c r="A32" s="22" t="s">
        <v>76</v>
      </c>
      <c r="B32" s="30" t="s">
        <v>153</v>
      </c>
      <c r="C32" s="30" t="s">
        <v>153</v>
      </c>
      <c r="D32" s="29" t="s">
        <v>174</v>
      </c>
      <c r="E32" s="31" t="s">
        <v>136</v>
      </c>
    </row>
    <row r="33" spans="1:5">
      <c r="A33" s="22" t="s">
        <v>77</v>
      </c>
      <c r="B33" s="29" t="s">
        <v>175</v>
      </c>
      <c r="C33" s="29" t="s">
        <v>176</v>
      </c>
      <c r="D33" s="29" t="s">
        <v>176</v>
      </c>
      <c r="E33" s="29"/>
    </row>
    <row r="34" spans="1:5">
      <c r="A34" s="22" t="s">
        <v>79</v>
      </c>
      <c r="B34" s="29" t="s">
        <v>175</v>
      </c>
      <c r="C34" s="29" t="s">
        <v>176</v>
      </c>
      <c r="D34" s="29" t="s">
        <v>176</v>
      </c>
      <c r="E34" s="29"/>
    </row>
    <row r="35" spans="1:5">
      <c r="A35" s="22" t="s">
        <v>80</v>
      </c>
      <c r="B35" s="29" t="s">
        <v>175</v>
      </c>
      <c r="C35" s="29" t="s">
        <v>176</v>
      </c>
      <c r="D35" s="29" t="s">
        <v>176</v>
      </c>
      <c r="E35" s="29"/>
    </row>
    <row r="36" spans="1:5">
      <c r="A36" s="22" t="s">
        <v>81</v>
      </c>
      <c r="B36" s="29" t="s">
        <v>177</v>
      </c>
      <c r="C36" s="29" t="s">
        <v>173</v>
      </c>
      <c r="D36" s="29" t="s">
        <v>174</v>
      </c>
      <c r="E36" s="29"/>
    </row>
    <row r="37" spans="1:5">
      <c r="A37" s="22" t="s">
        <v>82</v>
      </c>
      <c r="B37" s="29" t="s">
        <v>177</v>
      </c>
      <c r="C37" s="29" t="s">
        <v>173</v>
      </c>
      <c r="D37" s="29" t="s">
        <v>174</v>
      </c>
      <c r="E37" s="29"/>
    </row>
    <row r="38" spans="1:5">
      <c r="A38" s="22" t="s">
        <v>83</v>
      </c>
      <c r="B38" s="29" t="s">
        <v>178</v>
      </c>
      <c r="C38" s="29" t="s">
        <v>176</v>
      </c>
      <c r="D38" s="29" t="s">
        <v>176</v>
      </c>
      <c r="E38" s="29" t="s">
        <v>196</v>
      </c>
    </row>
    <row r="39" spans="1:5">
      <c r="A39" s="22" t="s">
        <v>84</v>
      </c>
      <c r="B39" s="22" t="s">
        <v>189</v>
      </c>
      <c r="C39" s="29" t="s">
        <v>185</v>
      </c>
      <c r="D39" s="29" t="s">
        <v>185</v>
      </c>
      <c r="E39" s="29"/>
    </row>
    <row r="40" spans="1:5">
      <c r="A40" s="22" t="s">
        <v>85</v>
      </c>
      <c r="B40" s="29" t="s">
        <v>177</v>
      </c>
      <c r="C40" s="29" t="s">
        <v>173</v>
      </c>
      <c r="D40" s="29" t="s">
        <v>174</v>
      </c>
      <c r="E40" s="29"/>
    </row>
    <row r="41" spans="1:5">
      <c r="A41" s="22" t="s">
        <v>86</v>
      </c>
      <c r="B41" s="29" t="s">
        <v>186</v>
      </c>
      <c r="C41" s="29" t="s">
        <v>185</v>
      </c>
      <c r="D41" s="29" t="s">
        <v>176</v>
      </c>
      <c r="E41" s="22" t="s">
        <v>197</v>
      </c>
    </row>
    <row r="42" spans="1:5">
      <c r="A42" s="22" t="s">
        <v>87</v>
      </c>
      <c r="B42" s="29" t="s">
        <v>177</v>
      </c>
      <c r="C42" s="29" t="s">
        <v>173</v>
      </c>
      <c r="D42" s="29" t="s">
        <v>174</v>
      </c>
      <c r="E42" s="29"/>
    </row>
    <row r="43" spans="1:5">
      <c r="A43" s="22" t="s">
        <v>88</v>
      </c>
      <c r="B43" s="29" t="s">
        <v>177</v>
      </c>
      <c r="C43" s="29" t="s">
        <v>153</v>
      </c>
      <c r="D43" s="29" t="s">
        <v>174</v>
      </c>
      <c r="E43" s="29"/>
    </row>
    <row r="44" spans="1:5">
      <c r="A44" s="22" t="s">
        <v>89</v>
      </c>
      <c r="B44" s="29" t="s">
        <v>177</v>
      </c>
      <c r="C44" s="29" t="s">
        <v>173</v>
      </c>
      <c r="D44" s="29" t="s">
        <v>174</v>
      </c>
      <c r="E44" s="29"/>
    </row>
    <row r="45" spans="1:5">
      <c r="A45" s="22" t="s">
        <v>90</v>
      </c>
      <c r="B45" s="29" t="s">
        <v>177</v>
      </c>
      <c r="C45" s="29" t="s">
        <v>173</v>
      </c>
      <c r="D45" s="29" t="s">
        <v>174</v>
      </c>
      <c r="E45" s="29"/>
    </row>
    <row r="46" spans="1:5">
      <c r="A46" s="22" t="s">
        <v>91</v>
      </c>
      <c r="B46" s="29" t="s">
        <v>198</v>
      </c>
      <c r="C46" s="29" t="s">
        <v>185</v>
      </c>
      <c r="D46" s="29" t="s">
        <v>185</v>
      </c>
      <c r="E46" s="22" t="s">
        <v>193</v>
      </c>
    </row>
    <row r="47" spans="1:5">
      <c r="A47" s="22" t="s">
        <v>92</v>
      </c>
      <c r="B47" s="29" t="s">
        <v>177</v>
      </c>
      <c r="C47" s="29" t="s">
        <v>173</v>
      </c>
      <c r="D47" s="29" t="s">
        <v>174</v>
      </c>
      <c r="E47" s="29"/>
    </row>
    <row r="48" spans="1:5">
      <c r="A48" s="22" t="s">
        <v>93</v>
      </c>
      <c r="B48" s="29" t="s">
        <v>183</v>
      </c>
      <c r="C48" s="29" t="s">
        <v>173</v>
      </c>
      <c r="D48" s="29" t="s">
        <v>174</v>
      </c>
      <c r="E48" s="29"/>
    </row>
    <row r="49" spans="1:5">
      <c r="A49" s="22" t="s">
        <v>94</v>
      </c>
      <c r="B49" s="29" t="s">
        <v>175</v>
      </c>
      <c r="C49" s="29" t="s">
        <v>176</v>
      </c>
      <c r="D49" s="29" t="s">
        <v>176</v>
      </c>
      <c r="E49" s="29"/>
    </row>
    <row r="50" spans="1:5">
      <c r="A50" s="22" t="s">
        <v>95</v>
      </c>
      <c r="B50" s="29" t="s">
        <v>189</v>
      </c>
      <c r="C50" s="29" t="s">
        <v>185</v>
      </c>
      <c r="D50" s="29" t="s">
        <v>185</v>
      </c>
      <c r="E50" s="29"/>
    </row>
    <row r="51" spans="1:5">
      <c r="A51" s="22" t="s">
        <v>96</v>
      </c>
      <c r="B51" s="29" t="s">
        <v>194</v>
      </c>
      <c r="C51" s="29" t="s">
        <v>185</v>
      </c>
      <c r="D51" s="29" t="s">
        <v>176</v>
      </c>
      <c r="E51" s="22" t="s">
        <v>199</v>
      </c>
    </row>
    <row r="52" spans="1:5">
      <c r="A52" s="22" t="s">
        <v>97</v>
      </c>
      <c r="B52" s="29" t="s">
        <v>177</v>
      </c>
      <c r="C52" s="29" t="s">
        <v>173</v>
      </c>
      <c r="D52" s="29" t="s">
        <v>174</v>
      </c>
      <c r="E52" s="29"/>
    </row>
    <row r="53" spans="1:5">
      <c r="A53" s="22" t="s">
        <v>98</v>
      </c>
      <c r="B53" s="29" t="s">
        <v>177</v>
      </c>
      <c r="C53" s="29" t="s">
        <v>173</v>
      </c>
      <c r="D53" s="29" t="s">
        <v>174</v>
      </c>
      <c r="E53" s="29"/>
    </row>
    <row r="54" spans="1:5">
      <c r="A54" s="22" t="s">
        <v>99</v>
      </c>
      <c r="B54" s="29" t="s">
        <v>177</v>
      </c>
      <c r="C54" s="29" t="s">
        <v>173</v>
      </c>
      <c r="D54" s="29" t="s">
        <v>174</v>
      </c>
      <c r="E54" s="29"/>
    </row>
    <row r="55" spans="1:5">
      <c r="A55" s="22" t="s">
        <v>100</v>
      </c>
      <c r="B55" s="29" t="s">
        <v>177</v>
      </c>
      <c r="C55" s="29" t="s">
        <v>173</v>
      </c>
      <c r="D55" s="29" t="s">
        <v>174</v>
      </c>
      <c r="E55" s="29"/>
    </row>
    <row r="56" spans="1:5">
      <c r="A56" s="22" t="s">
        <v>101</v>
      </c>
      <c r="B56" s="29" t="s">
        <v>172</v>
      </c>
      <c r="C56" s="29" t="s">
        <v>173</v>
      </c>
      <c r="D56" s="29" t="s">
        <v>174</v>
      </c>
      <c r="E56" s="29"/>
    </row>
    <row r="57" spans="1:5">
      <c r="A57" s="22" t="s">
        <v>102</v>
      </c>
      <c r="B57" s="29" t="s">
        <v>189</v>
      </c>
      <c r="C57" s="29" t="s">
        <v>185</v>
      </c>
      <c r="D57" s="29" t="s">
        <v>185</v>
      </c>
      <c r="E57" s="29"/>
    </row>
    <row r="58" spans="1:5">
      <c r="A58" s="22" t="s">
        <v>103</v>
      </c>
      <c r="B58" s="29" t="s">
        <v>177</v>
      </c>
      <c r="C58" s="29" t="s">
        <v>173</v>
      </c>
      <c r="D58" s="29" t="s">
        <v>174</v>
      </c>
      <c r="E58" s="29"/>
    </row>
    <row r="59" spans="1:5">
      <c r="A59" s="22" t="s">
        <v>104</v>
      </c>
      <c r="B59" s="22" t="s">
        <v>153</v>
      </c>
      <c r="C59" s="22" t="s">
        <v>153</v>
      </c>
      <c r="D59" s="29" t="s">
        <v>176</v>
      </c>
      <c r="E59" s="22" t="s">
        <v>200</v>
      </c>
    </row>
    <row r="60" spans="1:5">
      <c r="A60" s="22" t="s">
        <v>105</v>
      </c>
      <c r="B60" s="22" t="s">
        <v>153</v>
      </c>
      <c r="C60" s="22" t="s">
        <v>153</v>
      </c>
      <c r="D60" s="29" t="s">
        <v>176</v>
      </c>
      <c r="E60" s="22" t="s">
        <v>200</v>
      </c>
    </row>
    <row r="61" spans="1:5">
      <c r="A61" s="22" t="s">
        <v>106</v>
      </c>
      <c r="B61" s="29" t="s">
        <v>198</v>
      </c>
      <c r="C61" s="29" t="s">
        <v>185</v>
      </c>
      <c r="D61" s="29" t="s">
        <v>201</v>
      </c>
      <c r="E61" s="29" t="s">
        <v>202</v>
      </c>
    </row>
    <row r="62" spans="1:5">
      <c r="A62" s="22" t="s">
        <v>107</v>
      </c>
      <c r="B62" s="29" t="s">
        <v>198</v>
      </c>
      <c r="C62" s="29" t="s">
        <v>185</v>
      </c>
      <c r="D62" s="29" t="s">
        <v>201</v>
      </c>
      <c r="E62" s="29" t="s">
        <v>202</v>
      </c>
    </row>
    <row r="63" spans="1:5">
      <c r="A63" s="22" t="s">
        <v>108</v>
      </c>
      <c r="B63" s="29" t="s">
        <v>178</v>
      </c>
      <c r="C63" s="29" t="s">
        <v>173</v>
      </c>
      <c r="D63" s="29" t="s">
        <v>174</v>
      </c>
      <c r="E63" s="29" t="s">
        <v>203</v>
      </c>
    </row>
    <row r="64" spans="1:5">
      <c r="A64" s="22" t="s">
        <v>109</v>
      </c>
      <c r="B64" s="29" t="s">
        <v>172</v>
      </c>
      <c r="C64" s="29" t="s">
        <v>173</v>
      </c>
      <c r="D64" s="29" t="s">
        <v>174</v>
      </c>
      <c r="E64" s="29"/>
    </row>
    <row r="65" spans="1:5">
      <c r="A65" s="22" t="s">
        <v>110</v>
      </c>
      <c r="B65" s="29" t="s">
        <v>178</v>
      </c>
      <c r="C65" s="29" t="s">
        <v>176</v>
      </c>
      <c r="D65" s="29" t="s">
        <v>176</v>
      </c>
      <c r="E65" s="29" t="s">
        <v>196</v>
      </c>
    </row>
    <row r="66" spans="1:5">
      <c r="A66" s="22" t="s">
        <v>111</v>
      </c>
      <c r="B66" s="29" t="s">
        <v>178</v>
      </c>
      <c r="C66" s="29" t="s">
        <v>176</v>
      </c>
      <c r="D66" s="29" t="s">
        <v>176</v>
      </c>
      <c r="E66" s="29" t="s">
        <v>180</v>
      </c>
    </row>
    <row r="67" spans="1:5">
      <c r="A67" s="22" t="s">
        <v>112</v>
      </c>
      <c r="B67" s="29" t="s">
        <v>178</v>
      </c>
      <c r="C67" s="29" t="s">
        <v>176</v>
      </c>
      <c r="D67" s="29" t="s">
        <v>176</v>
      </c>
      <c r="E67" s="29" t="s">
        <v>181</v>
      </c>
    </row>
    <row r="68" spans="1:5">
      <c r="A68" s="22" t="s">
        <v>113</v>
      </c>
      <c r="B68" s="29" t="s">
        <v>177</v>
      </c>
      <c r="C68" s="29" t="s">
        <v>173</v>
      </c>
      <c r="D68" s="29" t="s">
        <v>174</v>
      </c>
      <c r="E68" s="29"/>
    </row>
    <row r="69" spans="1:5">
      <c r="A69" s="22" t="s">
        <v>114</v>
      </c>
      <c r="B69" s="29" t="s">
        <v>172</v>
      </c>
      <c r="C69" s="29" t="s">
        <v>173</v>
      </c>
      <c r="D69" s="29" t="s">
        <v>174</v>
      </c>
      <c r="E69" s="29"/>
    </row>
    <row r="70" spans="1:5">
      <c r="A70" s="22" t="s">
        <v>115</v>
      </c>
      <c r="B70" s="29" t="s">
        <v>175</v>
      </c>
      <c r="C70" s="29" t="s">
        <v>176</v>
      </c>
      <c r="D70" s="29" t="s">
        <v>176</v>
      </c>
      <c r="E70" s="29"/>
    </row>
    <row r="71" spans="1:5">
      <c r="A71" s="22" t="s">
        <v>116</v>
      </c>
      <c r="B71" s="29" t="s">
        <v>189</v>
      </c>
      <c r="C71" s="29" t="s">
        <v>185</v>
      </c>
      <c r="D71" s="29" t="s">
        <v>185</v>
      </c>
      <c r="E71" s="29"/>
    </row>
    <row r="72" spans="1:5">
      <c r="A72" s="22" t="s">
        <v>117</v>
      </c>
      <c r="B72" s="30" t="s">
        <v>183</v>
      </c>
      <c r="C72" s="29" t="s">
        <v>153</v>
      </c>
      <c r="D72" s="29" t="s">
        <v>174</v>
      </c>
      <c r="E72" s="29"/>
    </row>
    <row r="73" spans="1:5">
      <c r="A73" s="22" t="s">
        <v>118</v>
      </c>
      <c r="B73" s="29" t="s">
        <v>177</v>
      </c>
      <c r="C73" s="29" t="s">
        <v>176</v>
      </c>
      <c r="D73" s="29" t="s">
        <v>174</v>
      </c>
      <c r="E73" s="29" t="s">
        <v>204</v>
      </c>
    </row>
  </sheetData>
  <autoFilter ref="A1:E7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D73"/>
  <sheetViews>
    <sheetView zoomScaleNormal="100" workbookViewId="0"/>
  </sheetViews>
  <sheetFormatPr defaultColWidth="8.7109375" defaultRowHeight="11.1"/>
  <cols>
    <col min="1" max="1" width="17.85546875" style="6" bestFit="1" customWidth="1"/>
    <col min="2" max="2" width="15.85546875" style="6" bestFit="1" customWidth="1"/>
    <col min="3" max="3" width="12.140625" style="32" bestFit="1" customWidth="1"/>
    <col min="4" max="16384" width="8.7109375" style="6"/>
  </cols>
  <sheetData>
    <row r="1" spans="1:4">
      <c r="A1" s="13" t="s">
        <v>1</v>
      </c>
      <c r="B1" s="40" t="s">
        <v>205</v>
      </c>
      <c r="C1" s="23" t="s">
        <v>2</v>
      </c>
    </row>
    <row r="2" spans="1:4">
      <c r="A2" s="6" t="s">
        <v>38</v>
      </c>
      <c r="B2" s="36">
        <v>6.6833333333333336</v>
      </c>
      <c r="C2" s="32">
        <v>38</v>
      </c>
      <c r="D2" s="37"/>
    </row>
    <row r="3" spans="1:4">
      <c r="A3" s="6" t="s">
        <v>39</v>
      </c>
      <c r="B3" s="36">
        <v>15.5484375</v>
      </c>
      <c r="C3" s="32">
        <v>38</v>
      </c>
      <c r="D3" s="37"/>
    </row>
    <row r="4" spans="1:4">
      <c r="A4" s="6" t="s">
        <v>41</v>
      </c>
      <c r="B4" s="36">
        <v>6.9650000000000007</v>
      </c>
      <c r="C4" s="32">
        <v>38</v>
      </c>
      <c r="D4" s="37"/>
    </row>
    <row r="5" spans="1:4">
      <c r="A5" s="6" t="s">
        <v>44</v>
      </c>
      <c r="B5" s="36">
        <v>3.5125000000000002</v>
      </c>
      <c r="C5" s="32">
        <v>38</v>
      </c>
      <c r="D5" s="37"/>
    </row>
    <row r="6" spans="1:4">
      <c r="A6" s="6" t="s">
        <v>45</v>
      </c>
      <c r="B6" s="36">
        <v>28.017857142857142</v>
      </c>
      <c r="C6" s="32">
        <v>38</v>
      </c>
      <c r="D6" s="37"/>
    </row>
    <row r="7" spans="1:4">
      <c r="A7" s="6" t="s">
        <v>46</v>
      </c>
      <c r="B7" s="36">
        <v>25.5</v>
      </c>
      <c r="C7" s="32">
        <v>38</v>
      </c>
      <c r="D7" s="37"/>
    </row>
    <row r="8" spans="1:4">
      <c r="A8" s="6" t="s">
        <v>47</v>
      </c>
      <c r="B8" s="36">
        <v>2.6666666666666665</v>
      </c>
      <c r="C8" s="32">
        <v>38</v>
      </c>
      <c r="D8" s="37"/>
    </row>
    <row r="9" spans="1:4">
      <c r="A9" s="6" t="s">
        <v>48</v>
      </c>
      <c r="B9" s="36" t="s">
        <v>153</v>
      </c>
      <c r="C9" s="33" t="s">
        <v>153</v>
      </c>
      <c r="D9" s="37"/>
    </row>
    <row r="10" spans="1:4">
      <c r="A10" s="6" t="s">
        <v>49</v>
      </c>
      <c r="B10" s="36">
        <v>3.3666666666666663</v>
      </c>
      <c r="C10" s="32">
        <v>38</v>
      </c>
      <c r="D10" s="37"/>
    </row>
    <row r="11" spans="1:4">
      <c r="A11" s="6" t="s">
        <v>50</v>
      </c>
      <c r="B11" s="36">
        <v>6.5</v>
      </c>
      <c r="C11" s="32">
        <v>38</v>
      </c>
      <c r="D11" s="37"/>
    </row>
    <row r="12" spans="1:4">
      <c r="A12" s="6" t="s">
        <v>51</v>
      </c>
      <c r="B12" s="36">
        <v>7.8777777777777782</v>
      </c>
      <c r="C12" s="32">
        <v>38</v>
      </c>
      <c r="D12" s="37"/>
    </row>
    <row r="13" spans="1:4">
      <c r="A13" s="6" t="s">
        <v>52</v>
      </c>
      <c r="B13" s="36">
        <v>5.6285714285714281</v>
      </c>
      <c r="C13" s="32">
        <v>38</v>
      </c>
      <c r="D13" s="37"/>
    </row>
    <row r="14" spans="1:4">
      <c r="A14" s="6" t="s">
        <v>53</v>
      </c>
      <c r="B14" s="36">
        <v>21.125</v>
      </c>
      <c r="C14" s="32">
        <v>38</v>
      </c>
      <c r="D14" s="37"/>
    </row>
    <row r="15" spans="1:4">
      <c r="A15" s="6" t="s">
        <v>54</v>
      </c>
      <c r="B15" s="36">
        <v>12.059999999999999</v>
      </c>
      <c r="C15" s="32">
        <v>38</v>
      </c>
      <c r="D15" s="37"/>
    </row>
    <row r="16" spans="1:4">
      <c r="A16" s="6" t="s">
        <v>56</v>
      </c>
      <c r="B16" s="36">
        <v>15</v>
      </c>
      <c r="C16" s="32">
        <v>38</v>
      </c>
      <c r="D16" s="37"/>
    </row>
    <row r="17" spans="1:4">
      <c r="A17" s="6" t="s">
        <v>57</v>
      </c>
      <c r="B17" s="36">
        <v>95</v>
      </c>
      <c r="C17" s="32">
        <v>38</v>
      </c>
      <c r="D17" s="37"/>
    </row>
    <row r="18" spans="1:4">
      <c r="A18" s="6" t="s">
        <v>58</v>
      </c>
      <c r="B18" s="36">
        <v>26.293749999999999</v>
      </c>
      <c r="C18" s="32">
        <v>38</v>
      </c>
      <c r="D18" s="37"/>
    </row>
    <row r="19" spans="1:4">
      <c r="A19" s="6" t="s">
        <v>59</v>
      </c>
      <c r="B19" s="36">
        <v>21.274999999999999</v>
      </c>
      <c r="C19" s="32">
        <v>38</v>
      </c>
      <c r="D19" s="37"/>
    </row>
    <row r="20" spans="1:4">
      <c r="A20" s="6" t="s">
        <v>60</v>
      </c>
      <c r="B20" s="36">
        <v>18.25</v>
      </c>
      <c r="C20" s="32">
        <v>38</v>
      </c>
      <c r="D20" s="37"/>
    </row>
    <row r="21" spans="1:4">
      <c r="A21" s="6" t="s">
        <v>61</v>
      </c>
      <c r="B21" s="36">
        <v>5.5</v>
      </c>
      <c r="C21" s="32">
        <v>38</v>
      </c>
      <c r="D21" s="37"/>
    </row>
    <row r="22" spans="1:4">
      <c r="A22" s="6" t="s">
        <v>62</v>
      </c>
      <c r="B22" s="36">
        <v>2</v>
      </c>
      <c r="C22" s="32">
        <v>38</v>
      </c>
      <c r="D22" s="37"/>
    </row>
    <row r="23" spans="1:4">
      <c r="A23" s="6" t="s">
        <v>63</v>
      </c>
      <c r="B23" s="36">
        <v>9</v>
      </c>
      <c r="C23" s="32">
        <v>38</v>
      </c>
      <c r="D23" s="37"/>
    </row>
    <row r="24" spans="1:4">
      <c r="A24" s="6" t="s">
        <v>64</v>
      </c>
      <c r="B24" s="36">
        <v>1.75</v>
      </c>
      <c r="C24" s="32">
        <v>38</v>
      </c>
      <c r="D24" s="37"/>
    </row>
    <row r="25" spans="1:4">
      <c r="A25" s="6" t="s">
        <v>65</v>
      </c>
      <c r="B25" s="36">
        <v>26.519999999999996</v>
      </c>
      <c r="C25" s="32">
        <v>38</v>
      </c>
      <c r="D25" s="37"/>
    </row>
    <row r="26" spans="1:4">
      <c r="A26" s="6" t="s">
        <v>66</v>
      </c>
      <c r="B26" s="36">
        <v>10.08</v>
      </c>
      <c r="C26" s="32">
        <v>38</v>
      </c>
      <c r="D26" s="37"/>
    </row>
    <row r="27" spans="1:4">
      <c r="A27" s="6" t="s">
        <v>67</v>
      </c>
      <c r="B27" s="36">
        <v>2.6999999999999997</v>
      </c>
      <c r="C27" s="32">
        <v>38</v>
      </c>
      <c r="D27" s="37"/>
    </row>
    <row r="28" spans="1:4">
      <c r="A28" s="6" t="s">
        <v>68</v>
      </c>
      <c r="B28" s="36">
        <v>1</v>
      </c>
      <c r="C28" s="32">
        <v>38</v>
      </c>
      <c r="D28" s="37"/>
    </row>
    <row r="29" spans="1:4">
      <c r="A29" s="6" t="s">
        <v>69</v>
      </c>
      <c r="B29" s="36">
        <v>2.25</v>
      </c>
      <c r="C29" s="32">
        <v>38</v>
      </c>
      <c r="D29" s="37"/>
    </row>
    <row r="30" spans="1:4">
      <c r="A30" s="6" t="s">
        <v>71</v>
      </c>
      <c r="B30" s="36">
        <v>13</v>
      </c>
      <c r="C30" s="32">
        <v>38</v>
      </c>
      <c r="D30" s="37"/>
    </row>
    <row r="31" spans="1:4">
      <c r="A31" s="6" t="s">
        <v>73</v>
      </c>
      <c r="B31" s="36">
        <v>10.047058823529412</v>
      </c>
      <c r="C31" s="32">
        <v>38</v>
      </c>
      <c r="D31" s="37"/>
    </row>
    <row r="32" spans="1:4">
      <c r="A32" s="6" t="s">
        <v>76</v>
      </c>
      <c r="B32" s="36">
        <v>6.4</v>
      </c>
      <c r="C32" s="33">
        <v>102</v>
      </c>
      <c r="D32" s="37"/>
    </row>
    <row r="33" spans="1:4">
      <c r="A33" s="6" t="s">
        <v>77</v>
      </c>
      <c r="B33" s="36">
        <v>3.5142857142857147</v>
      </c>
      <c r="C33" s="32">
        <v>38</v>
      </c>
      <c r="D33" s="37"/>
    </row>
    <row r="34" spans="1:4">
      <c r="A34" s="6" t="s">
        <v>79</v>
      </c>
      <c r="B34" s="36">
        <v>3.45</v>
      </c>
      <c r="C34" s="32">
        <v>38</v>
      </c>
      <c r="D34" s="37"/>
    </row>
    <row r="35" spans="1:4">
      <c r="A35" s="6" t="s">
        <v>80</v>
      </c>
      <c r="B35" s="36">
        <v>3.28</v>
      </c>
      <c r="C35" s="32">
        <v>38</v>
      </c>
      <c r="D35" s="37"/>
    </row>
    <row r="36" spans="1:4">
      <c r="A36" s="6" t="s">
        <v>81</v>
      </c>
      <c r="B36" s="36">
        <v>20.309090909090909</v>
      </c>
      <c r="C36" s="32">
        <v>38</v>
      </c>
      <c r="D36" s="37"/>
    </row>
    <row r="37" spans="1:4">
      <c r="A37" s="6" t="s">
        <v>82</v>
      </c>
      <c r="B37" s="36">
        <v>15.75</v>
      </c>
      <c r="C37" s="32">
        <v>38</v>
      </c>
      <c r="D37" s="37"/>
    </row>
    <row r="38" spans="1:4">
      <c r="A38" s="6" t="s">
        <v>83</v>
      </c>
      <c r="B38" s="36">
        <v>5.4</v>
      </c>
      <c r="C38" s="32">
        <v>38</v>
      </c>
      <c r="D38" s="37"/>
    </row>
    <row r="39" spans="1:4">
      <c r="A39" s="6" t="s">
        <v>84</v>
      </c>
      <c r="B39" s="36" t="s">
        <v>153</v>
      </c>
      <c r="C39" s="33" t="s">
        <v>153</v>
      </c>
      <c r="D39" s="37"/>
    </row>
    <row r="40" spans="1:4">
      <c r="A40" s="6" t="s">
        <v>85</v>
      </c>
      <c r="B40" s="36">
        <v>15.680952380952384</v>
      </c>
      <c r="C40" s="32">
        <v>38</v>
      </c>
      <c r="D40" s="37"/>
    </row>
    <row r="41" spans="1:4">
      <c r="A41" s="6" t="s">
        <v>86</v>
      </c>
      <c r="B41" s="36">
        <v>2</v>
      </c>
      <c r="C41" s="32">
        <v>38</v>
      </c>
      <c r="D41" s="37"/>
    </row>
    <row r="42" spans="1:4">
      <c r="A42" s="6" t="s">
        <v>87</v>
      </c>
      <c r="B42" s="36">
        <v>27.521428571428572</v>
      </c>
      <c r="C42" s="32">
        <v>38</v>
      </c>
      <c r="D42" s="37"/>
    </row>
    <row r="43" spans="1:4">
      <c r="A43" s="6" t="s">
        <v>88</v>
      </c>
      <c r="B43" s="36">
        <v>22</v>
      </c>
      <c r="C43" s="33">
        <v>104</v>
      </c>
      <c r="D43" s="37"/>
    </row>
    <row r="44" spans="1:4">
      <c r="A44" s="6" t="s">
        <v>89</v>
      </c>
      <c r="B44" s="36">
        <v>36.362499999999997</v>
      </c>
      <c r="C44" s="32">
        <v>38</v>
      </c>
      <c r="D44" s="37"/>
    </row>
    <row r="45" spans="1:4">
      <c r="A45" s="22" t="s">
        <v>90</v>
      </c>
      <c r="B45" s="36">
        <v>95</v>
      </c>
      <c r="C45" s="32">
        <v>38</v>
      </c>
      <c r="D45" s="37"/>
    </row>
    <row r="46" spans="1:4">
      <c r="A46" s="6" t="s">
        <v>91</v>
      </c>
      <c r="B46" s="36">
        <v>5.0999999999999996</v>
      </c>
      <c r="C46" s="32">
        <v>38</v>
      </c>
      <c r="D46" s="37"/>
    </row>
    <row r="47" spans="1:4">
      <c r="A47" s="6" t="s">
        <v>92</v>
      </c>
      <c r="B47" s="36">
        <v>68.375</v>
      </c>
      <c r="C47" s="32">
        <v>38</v>
      </c>
      <c r="D47" s="37"/>
    </row>
    <row r="48" spans="1:4">
      <c r="A48" s="6" t="s">
        <v>93</v>
      </c>
      <c r="B48" s="36">
        <v>9.9400000000000013</v>
      </c>
      <c r="C48" s="32">
        <v>38</v>
      </c>
      <c r="D48" s="37"/>
    </row>
    <row r="49" spans="1:4">
      <c r="A49" s="6" t="s">
        <v>94</v>
      </c>
      <c r="B49" s="36">
        <v>3.5</v>
      </c>
      <c r="C49" s="32">
        <v>38</v>
      </c>
      <c r="D49" s="37"/>
    </row>
    <row r="50" spans="1:4">
      <c r="A50" s="6" t="s">
        <v>95</v>
      </c>
      <c r="B50" s="36">
        <v>1</v>
      </c>
      <c r="C50" s="32">
        <v>38</v>
      </c>
      <c r="D50" s="37"/>
    </row>
    <row r="51" spans="1:4">
      <c r="A51" s="6" t="s">
        <v>96</v>
      </c>
      <c r="B51" s="36">
        <v>2.25</v>
      </c>
      <c r="C51" s="32">
        <v>38</v>
      </c>
      <c r="D51" s="37"/>
    </row>
    <row r="52" spans="1:4">
      <c r="A52" s="6" t="s">
        <v>97</v>
      </c>
      <c r="B52" s="36">
        <v>67.5</v>
      </c>
      <c r="C52" s="32">
        <v>38</v>
      </c>
      <c r="D52" s="37"/>
    </row>
    <row r="53" spans="1:4">
      <c r="A53" s="6" t="s">
        <v>98</v>
      </c>
      <c r="B53" s="36">
        <v>42.707142857142863</v>
      </c>
      <c r="C53" s="32">
        <v>38</v>
      </c>
      <c r="D53" s="37"/>
    </row>
    <row r="54" spans="1:4">
      <c r="A54" s="6" t="s">
        <v>99</v>
      </c>
      <c r="B54" s="36">
        <v>47.045161290322575</v>
      </c>
      <c r="C54" s="32">
        <v>38</v>
      </c>
      <c r="D54" s="37"/>
    </row>
    <row r="55" spans="1:4">
      <c r="A55" s="6" t="s">
        <v>100</v>
      </c>
      <c r="B55" s="36">
        <v>48.204999999999998</v>
      </c>
      <c r="C55" s="32">
        <v>38</v>
      </c>
      <c r="D55" s="37"/>
    </row>
    <row r="56" spans="1:4">
      <c r="A56" s="6" t="s">
        <v>101</v>
      </c>
      <c r="B56" s="36">
        <v>41.125</v>
      </c>
      <c r="C56" s="32">
        <v>38</v>
      </c>
      <c r="D56" s="37"/>
    </row>
    <row r="57" spans="1:4">
      <c r="A57" s="6" t="s">
        <v>102</v>
      </c>
      <c r="B57" s="36">
        <v>1.25</v>
      </c>
      <c r="C57" s="32">
        <v>38</v>
      </c>
      <c r="D57" s="37"/>
    </row>
    <row r="58" spans="1:4">
      <c r="A58" s="6" t="s">
        <v>103</v>
      </c>
      <c r="B58" s="36">
        <v>29.180000000000003</v>
      </c>
      <c r="C58" s="32">
        <v>38</v>
      </c>
      <c r="D58" s="37"/>
    </row>
    <row r="59" spans="1:4">
      <c r="A59" s="6" t="s">
        <v>104</v>
      </c>
      <c r="B59" s="36">
        <v>2.9</v>
      </c>
      <c r="C59" s="32">
        <v>11</v>
      </c>
      <c r="D59" s="37"/>
    </row>
    <row r="60" spans="1:4">
      <c r="A60" s="6" t="s">
        <v>105</v>
      </c>
      <c r="B60" s="36">
        <v>2.6500000000000004</v>
      </c>
      <c r="C60" s="32">
        <v>38</v>
      </c>
      <c r="D60" s="37"/>
    </row>
    <row r="61" spans="1:4">
      <c r="A61" s="6" t="s">
        <v>106</v>
      </c>
      <c r="B61" s="36">
        <v>2</v>
      </c>
      <c r="C61" s="32">
        <v>38</v>
      </c>
      <c r="D61" s="37"/>
    </row>
    <row r="62" spans="1:4">
      <c r="A62" s="6" t="s">
        <v>107</v>
      </c>
      <c r="B62" s="36">
        <v>1.5999999999999999</v>
      </c>
      <c r="C62" s="32">
        <v>38</v>
      </c>
      <c r="D62" s="37"/>
    </row>
    <row r="63" spans="1:4">
      <c r="A63" s="6" t="s">
        <v>108</v>
      </c>
      <c r="B63" s="36">
        <v>5.92</v>
      </c>
      <c r="C63" s="32">
        <v>38</v>
      </c>
      <c r="D63" s="37"/>
    </row>
    <row r="64" spans="1:4">
      <c r="A64" s="6" t="s">
        <v>109</v>
      </c>
      <c r="B64" s="36">
        <v>21.45</v>
      </c>
      <c r="C64" s="32">
        <v>38</v>
      </c>
      <c r="D64" s="37"/>
    </row>
    <row r="65" spans="1:4">
      <c r="A65" s="6" t="s">
        <v>110</v>
      </c>
      <c r="B65" s="36">
        <v>5.15</v>
      </c>
      <c r="C65" s="32">
        <v>38</v>
      </c>
      <c r="D65" s="37"/>
    </row>
    <row r="66" spans="1:4">
      <c r="A66" s="6" t="s">
        <v>111</v>
      </c>
      <c r="B66" s="36">
        <v>5</v>
      </c>
      <c r="C66" s="32">
        <v>38</v>
      </c>
      <c r="D66" s="37"/>
    </row>
    <row r="67" spans="1:4">
      <c r="A67" s="6" t="s">
        <v>112</v>
      </c>
      <c r="B67" s="36">
        <v>6.2983333333333329</v>
      </c>
      <c r="C67" s="32">
        <v>38</v>
      </c>
      <c r="D67" s="37"/>
    </row>
    <row r="68" spans="1:4">
      <c r="A68" s="6" t="s">
        <v>113</v>
      </c>
      <c r="B68" s="36">
        <v>37.80833333333333</v>
      </c>
      <c r="C68" s="32">
        <v>38</v>
      </c>
      <c r="D68" s="37"/>
    </row>
    <row r="69" spans="1:4">
      <c r="A69" s="6" t="s">
        <v>114</v>
      </c>
      <c r="B69" s="36">
        <v>24.75</v>
      </c>
      <c r="C69" s="32">
        <v>38</v>
      </c>
      <c r="D69" s="37"/>
    </row>
    <row r="70" spans="1:4">
      <c r="A70" s="6" t="s">
        <v>115</v>
      </c>
      <c r="B70" s="36">
        <v>3.8600000000000003</v>
      </c>
      <c r="C70" s="32">
        <v>38</v>
      </c>
      <c r="D70" s="37"/>
    </row>
    <row r="71" spans="1:4">
      <c r="A71" s="6" t="s">
        <v>116</v>
      </c>
      <c r="B71" s="36">
        <v>2</v>
      </c>
      <c r="C71" s="32">
        <v>38</v>
      </c>
      <c r="D71" s="37"/>
    </row>
    <row r="72" spans="1:4">
      <c r="A72" s="6" t="s">
        <v>117</v>
      </c>
      <c r="B72" s="36">
        <v>5.3666666666666671</v>
      </c>
      <c r="C72" s="32">
        <v>103</v>
      </c>
      <c r="D72" s="37"/>
    </row>
    <row r="73" spans="1:4">
      <c r="A73" s="6" t="s">
        <v>118</v>
      </c>
      <c r="B73" s="36">
        <v>5.9333333333333336</v>
      </c>
      <c r="C73" s="32">
        <v>38</v>
      </c>
      <c r="D73" s="37"/>
    </row>
  </sheetData>
  <autoFilter ref="A1:C7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G937"/>
  <sheetViews>
    <sheetView topLeftCell="C1" workbookViewId="0">
      <selection activeCell="C1" sqref="C1"/>
    </sheetView>
  </sheetViews>
  <sheetFormatPr defaultColWidth="9.140625" defaultRowHeight="11.1" outlineLevelCol="1"/>
  <cols>
    <col min="1" max="1" width="20.7109375" style="45" hidden="1" customWidth="1" outlineLevel="1"/>
    <col min="2" max="2" width="41.28515625" style="45" hidden="1" customWidth="1" outlineLevel="1"/>
    <col min="3" max="3" width="21.42578125" style="6" bestFit="1" customWidth="1" collapsed="1"/>
    <col min="4" max="4" width="14" style="7" bestFit="1" customWidth="1"/>
    <col min="5" max="5" width="31.7109375" style="14" bestFit="1" customWidth="1"/>
    <col min="6" max="6" width="125.7109375" style="14" bestFit="1" customWidth="1"/>
    <col min="7" max="7" width="69.140625" style="6" bestFit="1" customWidth="1"/>
    <col min="8" max="16384" width="9.140625" style="6"/>
  </cols>
  <sheetData>
    <row r="1" spans="1:7">
      <c r="A1" s="42" t="s">
        <v>206</v>
      </c>
      <c r="B1" s="43" t="s">
        <v>207</v>
      </c>
      <c r="C1" s="1" t="s">
        <v>1</v>
      </c>
      <c r="D1" s="1" t="s">
        <v>208</v>
      </c>
      <c r="E1" s="44" t="s">
        <v>138</v>
      </c>
      <c r="F1" s="44" t="s">
        <v>209</v>
      </c>
      <c r="G1" s="13" t="s">
        <v>129</v>
      </c>
    </row>
    <row r="2" spans="1:7" ht="10.5" customHeight="1">
      <c r="A2" s="45" t="str">
        <f>IF(COUNTIF($B$2:B2,B2)=1,"ok","dup")</f>
        <v>ok</v>
      </c>
      <c r="B2" s="45" t="str">
        <f t="shared" ref="B2:B65" si="0">C2&amp;D2</f>
        <v>Allenopithecus_nigroviridis40</v>
      </c>
      <c r="C2" s="6" t="s">
        <v>210</v>
      </c>
      <c r="D2" s="7">
        <v>40</v>
      </c>
      <c r="E2" s="14" t="s">
        <v>211</v>
      </c>
    </row>
    <row r="3" spans="1:7" ht="10.5" customHeight="1">
      <c r="A3" s="45" t="str">
        <f>IF(COUNTIF($B$2:B3,B3)=1,"ok","dup")</f>
        <v>ok</v>
      </c>
      <c r="B3" s="45" t="str">
        <f t="shared" si="0"/>
        <v>Alouatta_caraya8.05</v>
      </c>
      <c r="C3" s="6" t="s">
        <v>38</v>
      </c>
      <c r="D3" s="7">
        <v>8.0500000000000007</v>
      </c>
      <c r="E3" s="14" t="s">
        <v>212</v>
      </c>
    </row>
    <row r="4" spans="1:7" ht="10.5" customHeight="1">
      <c r="A4" s="45" t="str">
        <f>IF(COUNTIF($B$2:B4,B4)=1,"ok","dup")</f>
        <v>ok</v>
      </c>
      <c r="B4" s="45" t="str">
        <f t="shared" si="0"/>
        <v>Alouatta_caraya7</v>
      </c>
      <c r="C4" s="6" t="s">
        <v>38</v>
      </c>
      <c r="D4" s="7">
        <v>7</v>
      </c>
      <c r="E4" s="14" t="s">
        <v>213</v>
      </c>
    </row>
    <row r="5" spans="1:7" ht="10.5" customHeight="1">
      <c r="A5" s="45" t="str">
        <f>IF(COUNTIF($B$2:B5,B5)=1,"ok","dup")</f>
        <v>dup</v>
      </c>
      <c r="B5" s="45" t="str">
        <f t="shared" si="0"/>
        <v>Alouatta_caraya8.05</v>
      </c>
      <c r="C5" s="6" t="s">
        <v>38</v>
      </c>
      <c r="D5" s="7">
        <v>8.0500000000000007</v>
      </c>
      <c r="E5" s="14" t="s">
        <v>211</v>
      </c>
    </row>
    <row r="6" spans="1:7" ht="10.5" customHeight="1">
      <c r="A6" s="45" t="str">
        <f>IF(COUNTIF($B$2:B6,B6)=1,"ok","dup")</f>
        <v>ok</v>
      </c>
      <c r="B6" s="45" t="str">
        <f t="shared" si="0"/>
        <v>Alouatta_caraya5</v>
      </c>
      <c r="C6" s="6" t="s">
        <v>38</v>
      </c>
      <c r="D6" s="7">
        <v>5</v>
      </c>
      <c r="E6" s="14" t="s">
        <v>214</v>
      </c>
      <c r="F6" s="14" t="s">
        <v>215</v>
      </c>
    </row>
    <row r="7" spans="1:7" ht="10.5" customHeight="1">
      <c r="A7" s="45" t="str">
        <f>IF(COUNTIF($B$2:B7,B7)=1,"ok","dup")</f>
        <v>ok</v>
      </c>
      <c r="B7" s="45" t="str">
        <f t="shared" si="0"/>
        <v>Alouatta_palliata12.2</v>
      </c>
      <c r="C7" s="6" t="s">
        <v>39</v>
      </c>
      <c r="D7" s="7">
        <v>12.2</v>
      </c>
      <c r="E7" s="14" t="s">
        <v>216</v>
      </c>
      <c r="F7" s="14" t="s">
        <v>217</v>
      </c>
    </row>
    <row r="8" spans="1:7">
      <c r="A8" s="45" t="str">
        <f>IF(COUNTIF($B$2:B8,B8)=1,"ok","dup")</f>
        <v>ok</v>
      </c>
      <c r="B8" s="45" t="str">
        <f t="shared" si="0"/>
        <v>Alouatta_palliata15.5</v>
      </c>
      <c r="C8" s="6" t="s">
        <v>39</v>
      </c>
      <c r="D8" s="7">
        <v>15.5</v>
      </c>
      <c r="E8" s="14" t="s">
        <v>216</v>
      </c>
      <c r="F8" s="14" t="s">
        <v>217</v>
      </c>
    </row>
    <row r="9" spans="1:7" ht="10.5" customHeight="1">
      <c r="A9" s="45" t="str">
        <f>IF(COUNTIF($B$2:B9,B9)=1,"ok","dup")</f>
        <v>ok</v>
      </c>
      <c r="B9" s="45" t="str">
        <f t="shared" si="0"/>
        <v>Alouatta_palliata9.1</v>
      </c>
      <c r="C9" s="6" t="s">
        <v>39</v>
      </c>
      <c r="D9" s="7">
        <v>9.1</v>
      </c>
      <c r="E9" s="14" t="s">
        <v>216</v>
      </c>
      <c r="F9" s="14" t="s">
        <v>217</v>
      </c>
    </row>
    <row r="10" spans="1:7" ht="10.5" customHeight="1">
      <c r="A10" s="45" t="str">
        <f>IF(COUNTIF($B$2:B10,B10)=1,"ok","dup")</f>
        <v>ok</v>
      </c>
      <c r="B10" s="45" t="str">
        <f t="shared" si="0"/>
        <v>Alouatta_palliata12.15</v>
      </c>
      <c r="C10" s="6" t="s">
        <v>39</v>
      </c>
      <c r="D10" s="7">
        <v>12.15</v>
      </c>
      <c r="E10" s="14" t="s">
        <v>212</v>
      </c>
    </row>
    <row r="11" spans="1:7" ht="10.5" customHeight="1">
      <c r="A11" s="45" t="str">
        <f>IF(COUNTIF($B$2:B11,B11)=1,"ok","dup")</f>
        <v>dup</v>
      </c>
      <c r="B11" s="45" t="str">
        <f t="shared" si="0"/>
        <v>Alouatta_palliata15.5</v>
      </c>
      <c r="C11" s="6" t="s">
        <v>39</v>
      </c>
      <c r="D11" s="7">
        <v>15.5</v>
      </c>
      <c r="E11" s="14" t="s">
        <v>212</v>
      </c>
    </row>
    <row r="12" spans="1:7" ht="10.5" customHeight="1">
      <c r="A12" s="45" t="str">
        <f>IF(COUNTIF($B$2:B12,B12)=1,"ok","dup")</f>
        <v>ok</v>
      </c>
      <c r="B12" s="45" t="str">
        <f t="shared" si="0"/>
        <v>Alouatta_palliata19</v>
      </c>
      <c r="C12" s="6" t="s">
        <v>39</v>
      </c>
      <c r="D12" s="7">
        <v>19</v>
      </c>
      <c r="E12" s="14" t="s">
        <v>212</v>
      </c>
    </row>
    <row r="13" spans="1:7" ht="10.5" customHeight="1">
      <c r="A13" s="45" t="str">
        <f>IF(COUNTIF($B$2:B13,B13)=1,"ok","dup")</f>
        <v>ok</v>
      </c>
      <c r="B13" s="45" t="str">
        <f t="shared" si="0"/>
        <v>Alouatta_palliata6</v>
      </c>
      <c r="C13" s="6" t="s">
        <v>39</v>
      </c>
      <c r="D13" s="7">
        <v>6</v>
      </c>
      <c r="E13" s="14" t="s">
        <v>212</v>
      </c>
      <c r="F13" s="46"/>
    </row>
    <row r="14" spans="1:7" ht="10.5" customHeight="1">
      <c r="A14" s="45" t="str">
        <f>IF(COUNTIF($B$2:B14,B14)=1,"ok","dup")</f>
        <v>dup</v>
      </c>
      <c r="B14" s="45" t="str">
        <f t="shared" si="0"/>
        <v>Alouatta_palliata9.1</v>
      </c>
      <c r="C14" s="6" t="s">
        <v>39</v>
      </c>
      <c r="D14" s="7">
        <v>9.1</v>
      </c>
      <c r="E14" s="14" t="s">
        <v>212</v>
      </c>
    </row>
    <row r="15" spans="1:7">
      <c r="A15" s="45" t="str">
        <f>IF(COUNTIF($B$2:B15,B15)=1,"ok","dup")</f>
        <v>ok</v>
      </c>
      <c r="B15" s="45" t="str">
        <f t="shared" si="0"/>
        <v>Alouatta_palliata14</v>
      </c>
      <c r="C15" s="6" t="s">
        <v>39</v>
      </c>
      <c r="D15" s="7">
        <v>14</v>
      </c>
      <c r="E15" s="14" t="s">
        <v>218</v>
      </c>
      <c r="F15" s="14" t="s">
        <v>219</v>
      </c>
    </row>
    <row r="16" spans="1:7">
      <c r="A16" s="45" t="str">
        <f>IF(COUNTIF($B$2:B16,B16)=1,"ok","dup")</f>
        <v>ok</v>
      </c>
      <c r="B16" s="45" t="str">
        <f t="shared" si="0"/>
        <v>Alouatta_palliata17</v>
      </c>
      <c r="C16" s="6" t="s">
        <v>39</v>
      </c>
      <c r="D16" s="7">
        <v>17</v>
      </c>
      <c r="E16" s="14" t="s">
        <v>213</v>
      </c>
    </row>
    <row r="17" spans="1:7" ht="10.5" customHeight="1">
      <c r="A17" s="45" t="str">
        <f>IF(COUNTIF($B$2:B17,B17)=1,"ok","dup")</f>
        <v>ok</v>
      </c>
      <c r="B17" s="45" t="str">
        <f t="shared" si="0"/>
        <v>Alouatta_palliata12.5</v>
      </c>
      <c r="C17" s="6" t="s">
        <v>39</v>
      </c>
      <c r="D17" s="7">
        <v>12.5</v>
      </c>
      <c r="E17" s="14" t="s">
        <v>211</v>
      </c>
    </row>
    <row r="18" spans="1:7" ht="10.5" customHeight="1">
      <c r="A18" s="45" t="str">
        <f>IF(COUNTIF($B$2:B18,B18)=1,"ok","dup")</f>
        <v>ok</v>
      </c>
      <c r="B18" s="45" t="str">
        <f t="shared" si="0"/>
        <v>Alouatta_palliata10</v>
      </c>
      <c r="C18" s="6" t="s">
        <v>39</v>
      </c>
      <c r="D18" s="7">
        <v>10</v>
      </c>
      <c r="E18" s="14" t="s">
        <v>220</v>
      </c>
      <c r="F18" s="14" t="s">
        <v>221</v>
      </c>
      <c r="G18" s="6" t="s">
        <v>222</v>
      </c>
    </row>
    <row r="19" spans="1:7" ht="10.5" customHeight="1">
      <c r="A19" s="45" t="str">
        <f>IF(COUNTIF($B$2:B19,B19)=1,"ok","dup")</f>
        <v>ok</v>
      </c>
      <c r="B19" s="45" t="str">
        <f t="shared" si="0"/>
        <v>Alouatta_palliata11</v>
      </c>
      <c r="C19" s="6" t="s">
        <v>39</v>
      </c>
      <c r="D19" s="7">
        <v>11</v>
      </c>
      <c r="E19" s="14" t="s">
        <v>220</v>
      </c>
      <c r="F19" s="14" t="s">
        <v>223</v>
      </c>
      <c r="G19" s="6" t="s">
        <v>222</v>
      </c>
    </row>
    <row r="20" spans="1:7" ht="10.5" customHeight="1">
      <c r="A20" s="45" t="str">
        <f>IF(COUNTIF($B$2:B20,B20)=1,"ok","dup")</f>
        <v>ok</v>
      </c>
      <c r="B20" s="45" t="str">
        <f t="shared" si="0"/>
        <v>Alouatta_palliata11.3</v>
      </c>
      <c r="C20" s="6" t="s">
        <v>39</v>
      </c>
      <c r="D20" s="7">
        <v>11.3</v>
      </c>
      <c r="E20" s="14" t="s">
        <v>220</v>
      </c>
      <c r="F20" s="14" t="s">
        <v>224</v>
      </c>
      <c r="G20" s="6" t="s">
        <v>225</v>
      </c>
    </row>
    <row r="21" spans="1:7">
      <c r="A21" s="45" t="str">
        <f>IF(COUNTIF($B$2:B21,B21)=1,"ok","dup")</f>
        <v>ok</v>
      </c>
      <c r="B21" s="45" t="str">
        <f t="shared" si="0"/>
        <v>Alouatta_palliata12</v>
      </c>
      <c r="C21" s="6" t="s">
        <v>39</v>
      </c>
      <c r="D21" s="7">
        <v>12</v>
      </c>
      <c r="E21" s="14" t="s">
        <v>220</v>
      </c>
      <c r="F21" s="14" t="s">
        <v>223</v>
      </c>
      <c r="G21" s="6" t="s">
        <v>226</v>
      </c>
    </row>
    <row r="22" spans="1:7" ht="10.5" customHeight="1">
      <c r="A22" s="45" t="str">
        <f>IF(COUNTIF($B$2:B22,B22)=1,"ok","dup")</f>
        <v>dup</v>
      </c>
      <c r="B22" s="45" t="str">
        <f t="shared" si="0"/>
        <v>Alouatta_palliata12.2</v>
      </c>
      <c r="C22" s="6" t="s">
        <v>39</v>
      </c>
      <c r="D22" s="7">
        <v>12.2</v>
      </c>
      <c r="E22" s="14" t="s">
        <v>220</v>
      </c>
      <c r="F22" s="14" t="s">
        <v>227</v>
      </c>
      <c r="G22" s="6" t="s">
        <v>228</v>
      </c>
    </row>
    <row r="23" spans="1:7" ht="10.5" customHeight="1">
      <c r="A23" s="45" t="str">
        <f>IF(COUNTIF($B$2:B23,B23)=1,"ok","dup")</f>
        <v>ok</v>
      </c>
      <c r="B23" s="45" t="str">
        <f t="shared" si="0"/>
        <v>Alouatta_palliata13.7</v>
      </c>
      <c r="C23" s="6" t="s">
        <v>39</v>
      </c>
      <c r="D23" s="7">
        <v>13.7</v>
      </c>
      <c r="E23" s="14" t="s">
        <v>220</v>
      </c>
      <c r="F23" s="14" t="s">
        <v>229</v>
      </c>
      <c r="G23" s="6" t="s">
        <v>225</v>
      </c>
    </row>
    <row r="24" spans="1:7">
      <c r="A24" s="45" t="str">
        <f>IF(COUNTIF($B$2:B24,B24)=1,"ok","dup")</f>
        <v>ok</v>
      </c>
      <c r="B24" s="45" t="str">
        <f t="shared" si="0"/>
        <v>Alouatta_palliata13.8</v>
      </c>
      <c r="C24" s="6" t="s">
        <v>39</v>
      </c>
      <c r="D24" s="7">
        <v>13.8</v>
      </c>
      <c r="E24" s="14" t="s">
        <v>220</v>
      </c>
      <c r="F24" s="14" t="s">
        <v>230</v>
      </c>
      <c r="G24" s="6" t="s">
        <v>225</v>
      </c>
    </row>
    <row r="25" spans="1:7" ht="10.5" customHeight="1">
      <c r="A25" s="45" t="str">
        <f>IF(COUNTIF($B$2:B25,B25)=1,"ok","dup")</f>
        <v>dup</v>
      </c>
      <c r="B25" s="45" t="str">
        <f t="shared" si="0"/>
        <v>Alouatta_palliata14</v>
      </c>
      <c r="C25" s="6" t="s">
        <v>39</v>
      </c>
      <c r="D25" s="7">
        <v>14</v>
      </c>
      <c r="E25" s="14" t="s">
        <v>220</v>
      </c>
      <c r="F25" s="14" t="s">
        <v>231</v>
      </c>
    </row>
    <row r="26" spans="1:7" ht="10.5" customHeight="1">
      <c r="A26" s="45" t="str">
        <f>IF(COUNTIF($B$2:B26,B26)=1,"ok","dup")</f>
        <v>dup</v>
      </c>
      <c r="B26" s="45" t="str">
        <f t="shared" si="0"/>
        <v>Alouatta_palliata15.5</v>
      </c>
      <c r="C26" s="6" t="s">
        <v>39</v>
      </c>
      <c r="D26" s="7">
        <v>15.5</v>
      </c>
      <c r="E26" s="14" t="s">
        <v>220</v>
      </c>
      <c r="F26" s="14" t="s">
        <v>227</v>
      </c>
      <c r="G26" s="6" t="s">
        <v>228</v>
      </c>
    </row>
    <row r="27" spans="1:7" ht="10.5" customHeight="1">
      <c r="A27" s="45" t="str">
        <f>IF(COUNTIF($B$2:B27,B27)=1,"ok","dup")</f>
        <v>dup</v>
      </c>
      <c r="B27" s="45" t="str">
        <f t="shared" si="0"/>
        <v>Alouatta_palliata15.5</v>
      </c>
      <c r="C27" s="6" t="s">
        <v>39</v>
      </c>
      <c r="D27" s="7">
        <v>15.5</v>
      </c>
      <c r="E27" s="14" t="s">
        <v>220</v>
      </c>
      <c r="F27" s="14" t="s">
        <v>232</v>
      </c>
      <c r="G27" s="6" t="s">
        <v>225</v>
      </c>
    </row>
    <row r="28" spans="1:7" ht="10.5" customHeight="1">
      <c r="A28" s="45" t="str">
        <f>IF(COUNTIF($B$2:B28,B28)=1,"ok","dup")</f>
        <v>ok</v>
      </c>
      <c r="B28" s="45" t="str">
        <f t="shared" si="0"/>
        <v>Alouatta_palliata16.1</v>
      </c>
      <c r="C28" s="6" t="s">
        <v>39</v>
      </c>
      <c r="D28" s="7">
        <v>16.100000000000001</v>
      </c>
      <c r="E28" s="14" t="s">
        <v>220</v>
      </c>
      <c r="F28" s="14" t="s">
        <v>233</v>
      </c>
      <c r="G28" s="6" t="s">
        <v>225</v>
      </c>
    </row>
    <row r="29" spans="1:7" ht="10.5" customHeight="1">
      <c r="A29" s="45" t="str">
        <f>IF(COUNTIF($B$2:B29,B29)=1,"ok","dup")</f>
        <v>dup</v>
      </c>
      <c r="B29" s="45" t="str">
        <f t="shared" si="0"/>
        <v>Alouatta_palliata17</v>
      </c>
      <c r="C29" s="6" t="s">
        <v>39</v>
      </c>
      <c r="D29" s="7">
        <v>17</v>
      </c>
      <c r="E29" s="14" t="s">
        <v>220</v>
      </c>
      <c r="F29" s="14" t="s">
        <v>234</v>
      </c>
      <c r="G29" s="6" t="s">
        <v>235</v>
      </c>
    </row>
    <row r="30" spans="1:7">
      <c r="A30" s="45" t="str">
        <f>IF(COUNTIF($B$2:B30,B30)=1,"ok","dup")</f>
        <v>dup</v>
      </c>
      <c r="B30" s="45" t="str">
        <f t="shared" si="0"/>
        <v>Alouatta_palliata17</v>
      </c>
      <c r="C30" s="6" t="s">
        <v>39</v>
      </c>
      <c r="D30" s="7">
        <v>17</v>
      </c>
      <c r="E30" s="14" t="s">
        <v>220</v>
      </c>
      <c r="F30" s="14" t="s">
        <v>236</v>
      </c>
    </row>
    <row r="31" spans="1:7">
      <c r="A31" s="45" t="str">
        <f>IF(COUNTIF($B$2:B31,B31)=1,"ok","dup")</f>
        <v>dup</v>
      </c>
      <c r="B31" s="45" t="str">
        <f t="shared" si="0"/>
        <v>Alouatta_palliata17</v>
      </c>
      <c r="C31" s="6" t="s">
        <v>39</v>
      </c>
      <c r="D31" s="7">
        <v>17</v>
      </c>
      <c r="E31" s="14" t="s">
        <v>220</v>
      </c>
      <c r="F31" s="14" t="s">
        <v>236</v>
      </c>
    </row>
    <row r="32" spans="1:7" ht="10.5" customHeight="1">
      <c r="A32" s="45" t="str">
        <f>IF(COUNTIF($B$2:B32,B32)=1,"ok","dup")</f>
        <v>ok</v>
      </c>
      <c r="B32" s="45" t="str">
        <f t="shared" si="0"/>
        <v>Alouatta_palliata17.4</v>
      </c>
      <c r="C32" s="6" t="s">
        <v>39</v>
      </c>
      <c r="D32" s="7">
        <v>17.399999999999999</v>
      </c>
      <c r="E32" s="14" t="s">
        <v>220</v>
      </c>
      <c r="F32" s="14" t="s">
        <v>237</v>
      </c>
      <c r="G32" s="6" t="s">
        <v>225</v>
      </c>
    </row>
    <row r="33" spans="1:7" ht="10.5" customHeight="1">
      <c r="A33" s="45" t="str">
        <f>IF(COUNTIF($B$2:B33,B33)=1,"ok","dup")</f>
        <v>ok</v>
      </c>
      <c r="B33" s="45" t="str">
        <f t="shared" si="0"/>
        <v>Alouatta_palliata18</v>
      </c>
      <c r="C33" s="6" t="s">
        <v>39</v>
      </c>
      <c r="D33" s="7">
        <v>18</v>
      </c>
      <c r="E33" s="14" t="s">
        <v>220</v>
      </c>
      <c r="F33" s="14" t="s">
        <v>221</v>
      </c>
      <c r="G33" s="6" t="s">
        <v>222</v>
      </c>
    </row>
    <row r="34" spans="1:7" ht="10.5" customHeight="1">
      <c r="A34" s="45" t="str">
        <f>IF(COUNTIF($B$2:B34,B34)=1,"ok","dup")</f>
        <v>ok</v>
      </c>
      <c r="B34" s="45" t="str">
        <f t="shared" si="0"/>
        <v>Alouatta_palliata18.5</v>
      </c>
      <c r="C34" s="6" t="s">
        <v>39</v>
      </c>
      <c r="D34" s="7">
        <v>18.5</v>
      </c>
      <c r="E34" s="14" t="s">
        <v>220</v>
      </c>
      <c r="F34" s="14" t="s">
        <v>238</v>
      </c>
      <c r="G34" s="6" t="s">
        <v>239</v>
      </c>
    </row>
    <row r="35" spans="1:7" ht="10.5" customHeight="1">
      <c r="A35" s="45" t="str">
        <f>IF(COUNTIF($B$2:B35,B35)=1,"ok","dup")</f>
        <v>ok</v>
      </c>
      <c r="B35" s="45" t="str">
        <f t="shared" si="0"/>
        <v>Alouatta_palliata18.9</v>
      </c>
      <c r="C35" s="6" t="s">
        <v>39</v>
      </c>
      <c r="D35" s="7">
        <v>18.899999999999999</v>
      </c>
      <c r="E35" s="14" t="s">
        <v>220</v>
      </c>
      <c r="F35" s="14" t="s">
        <v>240</v>
      </c>
      <c r="G35" s="6" t="s">
        <v>225</v>
      </c>
    </row>
    <row r="36" spans="1:7">
      <c r="A36" s="45" t="str">
        <f>IF(COUNTIF($B$2:B36,B36)=1,"ok","dup")</f>
        <v>ok</v>
      </c>
      <c r="B36" s="45" t="str">
        <f t="shared" si="0"/>
        <v>Alouatta_palliata20.8</v>
      </c>
      <c r="C36" s="6" t="s">
        <v>39</v>
      </c>
      <c r="D36" s="7">
        <v>20.8</v>
      </c>
      <c r="E36" s="14" t="s">
        <v>220</v>
      </c>
      <c r="F36" s="14" t="s">
        <v>241</v>
      </c>
      <c r="G36" s="6" t="s">
        <v>225</v>
      </c>
    </row>
    <row r="37" spans="1:7" ht="10.5" customHeight="1">
      <c r="A37" s="45" t="str">
        <f>IF(COUNTIF($B$2:B37,B37)=1,"ok","dup")</f>
        <v>ok</v>
      </c>
      <c r="B37" s="45" t="str">
        <f t="shared" si="0"/>
        <v>Alouatta_palliata25</v>
      </c>
      <c r="C37" s="6" t="s">
        <v>39</v>
      </c>
      <c r="D37" s="7">
        <v>25</v>
      </c>
      <c r="E37" s="14" t="s">
        <v>220</v>
      </c>
      <c r="F37" s="14" t="s">
        <v>242</v>
      </c>
    </row>
    <row r="38" spans="1:7">
      <c r="A38" s="45" t="str">
        <f>IF(COUNTIF($B$2:B38,B38)=1,"ok","dup")</f>
        <v>ok</v>
      </c>
      <c r="B38" s="45" t="str">
        <f t="shared" si="0"/>
        <v>Alouatta_palliata26</v>
      </c>
      <c r="C38" s="6" t="s">
        <v>39</v>
      </c>
      <c r="D38" s="7">
        <v>26</v>
      </c>
      <c r="E38" s="14" t="s">
        <v>220</v>
      </c>
      <c r="F38" s="14" t="s">
        <v>243</v>
      </c>
    </row>
    <row r="39" spans="1:7" ht="10.5" customHeight="1">
      <c r="A39" s="45" t="str">
        <f>IF(COUNTIF($B$2:B39,B39)=1,"ok","dup")</f>
        <v>ok</v>
      </c>
      <c r="B39" s="45" t="str">
        <f t="shared" si="0"/>
        <v>Alouatta_palliata3</v>
      </c>
      <c r="C39" s="6" t="s">
        <v>39</v>
      </c>
      <c r="D39" s="7">
        <v>3</v>
      </c>
      <c r="E39" s="14" t="s">
        <v>220</v>
      </c>
      <c r="F39" s="14" t="s">
        <v>231</v>
      </c>
    </row>
    <row r="40" spans="1:7" ht="10.5" customHeight="1">
      <c r="A40" s="45" t="str">
        <f>IF(COUNTIF($B$2:B40,B40)=1,"ok","dup")</f>
        <v>ok</v>
      </c>
      <c r="B40" s="45" t="str">
        <f t="shared" si="0"/>
        <v>Alouatta_palliata4.2</v>
      </c>
      <c r="C40" s="6" t="s">
        <v>39</v>
      </c>
      <c r="D40" s="7">
        <v>4.2</v>
      </c>
      <c r="E40" s="14" t="s">
        <v>220</v>
      </c>
      <c r="F40" s="14" t="s">
        <v>244</v>
      </c>
      <c r="G40" s="6" t="s">
        <v>225</v>
      </c>
    </row>
    <row r="41" spans="1:7" ht="10.5" customHeight="1">
      <c r="A41" s="45" t="str">
        <f>IF(COUNTIF($B$2:B41,B41)=1,"ok","dup")</f>
        <v>ok</v>
      </c>
      <c r="B41" s="45" t="str">
        <f t="shared" si="0"/>
        <v>Alouatta_palliata40</v>
      </c>
      <c r="C41" s="6" t="s">
        <v>39</v>
      </c>
      <c r="D41" s="7">
        <v>40</v>
      </c>
      <c r="E41" s="14" t="s">
        <v>220</v>
      </c>
      <c r="F41" s="14" t="s">
        <v>245</v>
      </c>
    </row>
    <row r="42" spans="1:7" ht="10.5" customHeight="1">
      <c r="A42" s="45" t="str">
        <f>IF(COUNTIF($B$2:B42,B42)=1,"ok","dup")</f>
        <v>ok</v>
      </c>
      <c r="B42" s="45" t="str">
        <f t="shared" si="0"/>
        <v>Alouatta_palliata59</v>
      </c>
      <c r="C42" s="6" t="s">
        <v>39</v>
      </c>
      <c r="D42" s="7">
        <v>59</v>
      </c>
      <c r="E42" s="14" t="s">
        <v>220</v>
      </c>
      <c r="F42" s="14" t="s">
        <v>246</v>
      </c>
    </row>
    <row r="43" spans="1:7">
      <c r="A43" s="45" t="str">
        <f>IF(COUNTIF($B$2:B43,B43)=1,"ok","dup")</f>
        <v>dup</v>
      </c>
      <c r="B43" s="45" t="str">
        <f t="shared" si="0"/>
        <v>Alouatta_palliata6</v>
      </c>
      <c r="C43" s="6" t="s">
        <v>39</v>
      </c>
      <c r="D43" s="7">
        <v>6</v>
      </c>
      <c r="E43" s="14" t="s">
        <v>220</v>
      </c>
      <c r="F43" s="14" t="s">
        <v>246</v>
      </c>
    </row>
    <row r="44" spans="1:7" ht="10.5" customHeight="1">
      <c r="A44" s="45" t="str">
        <f>IF(COUNTIF($B$2:B44,B44)=1,"ok","dup")</f>
        <v>ok</v>
      </c>
      <c r="B44" s="45" t="str">
        <f t="shared" si="0"/>
        <v>Alouatta_palliata7</v>
      </c>
      <c r="C44" s="6" t="s">
        <v>39</v>
      </c>
      <c r="D44" s="7">
        <v>7</v>
      </c>
      <c r="E44" s="14" t="s">
        <v>220</v>
      </c>
      <c r="F44" s="14" t="s">
        <v>223</v>
      </c>
      <c r="G44" s="6" t="s">
        <v>222</v>
      </c>
    </row>
    <row r="45" spans="1:7" ht="10.5" customHeight="1">
      <c r="A45" s="45" t="str">
        <f>IF(COUNTIF($B$2:B45,B45)=1,"ok","dup")</f>
        <v>dup</v>
      </c>
      <c r="B45" s="45" t="str">
        <f t="shared" si="0"/>
        <v>Alouatta_palliata7</v>
      </c>
      <c r="C45" s="6" t="s">
        <v>39</v>
      </c>
      <c r="D45" s="7">
        <v>7</v>
      </c>
      <c r="E45" s="14" t="s">
        <v>220</v>
      </c>
      <c r="F45" s="14" t="s">
        <v>247</v>
      </c>
    </row>
    <row r="46" spans="1:7">
      <c r="A46" s="45" t="str">
        <f>IF(COUNTIF($B$2:B46,B46)=1,"ok","dup")</f>
        <v>dup</v>
      </c>
      <c r="B46" s="45" t="str">
        <f t="shared" si="0"/>
        <v>Alouatta_palliata7</v>
      </c>
      <c r="C46" s="6" t="s">
        <v>39</v>
      </c>
      <c r="D46" s="7">
        <v>7</v>
      </c>
      <c r="E46" s="14" t="s">
        <v>220</v>
      </c>
      <c r="F46" s="14" t="s">
        <v>246</v>
      </c>
    </row>
    <row r="47" spans="1:7" ht="10.5" customHeight="1">
      <c r="A47" s="45" t="str">
        <f>IF(COUNTIF($B$2:B47,B47)=1,"ok","dup")</f>
        <v>ok</v>
      </c>
      <c r="B47" s="45" t="str">
        <f t="shared" si="0"/>
        <v>Alouatta_palliata8</v>
      </c>
      <c r="C47" s="6" t="s">
        <v>39</v>
      </c>
      <c r="D47" s="7">
        <v>8</v>
      </c>
      <c r="E47" s="14" t="s">
        <v>220</v>
      </c>
      <c r="F47" s="14" t="s">
        <v>248</v>
      </c>
      <c r="G47" s="6" t="s">
        <v>225</v>
      </c>
    </row>
    <row r="48" spans="1:7">
      <c r="A48" s="45" t="str">
        <f>IF(COUNTIF($B$2:B48,B48)=1,"ok","dup")</f>
        <v>dup</v>
      </c>
      <c r="B48" s="45" t="str">
        <f t="shared" si="0"/>
        <v>Alouatta_palliata8</v>
      </c>
      <c r="C48" s="6" t="s">
        <v>39</v>
      </c>
      <c r="D48" s="7">
        <v>8</v>
      </c>
      <c r="E48" s="14" t="s">
        <v>220</v>
      </c>
      <c r="F48" s="14" t="s">
        <v>249</v>
      </c>
    </row>
    <row r="49" spans="1:7">
      <c r="A49" s="45" t="str">
        <f>IF(COUNTIF($B$2:B49,B49)=1,"ok","dup")</f>
        <v>ok</v>
      </c>
      <c r="B49" s="45" t="str">
        <f t="shared" si="0"/>
        <v>Alouatta_palliata8.1</v>
      </c>
      <c r="C49" s="6" t="s">
        <v>39</v>
      </c>
      <c r="D49" s="7">
        <v>8.1</v>
      </c>
      <c r="E49" s="14" t="s">
        <v>220</v>
      </c>
      <c r="F49" s="14" t="s">
        <v>250</v>
      </c>
      <c r="G49" s="6" t="s">
        <v>225</v>
      </c>
    </row>
    <row r="50" spans="1:7">
      <c r="A50" s="45" t="str">
        <f>IF(COUNTIF($B$2:B50,B50)=1,"ok","dup")</f>
        <v>ok</v>
      </c>
      <c r="B50" s="45" t="str">
        <f t="shared" si="0"/>
        <v>Alouatta_palliata9</v>
      </c>
      <c r="C50" s="6" t="s">
        <v>39</v>
      </c>
      <c r="D50" s="7">
        <v>9</v>
      </c>
      <c r="E50" s="14" t="s">
        <v>220</v>
      </c>
      <c r="F50" s="14" t="s">
        <v>249</v>
      </c>
    </row>
    <row r="51" spans="1:7">
      <c r="A51" s="45" t="str">
        <f>IF(COUNTIF($B$2:B51,B51)=1,"ok","dup")</f>
        <v>dup</v>
      </c>
      <c r="B51" s="45" t="str">
        <f t="shared" si="0"/>
        <v>Alouatta_palliata9.1</v>
      </c>
      <c r="C51" s="6" t="s">
        <v>39</v>
      </c>
      <c r="D51" s="7">
        <v>9.1</v>
      </c>
      <c r="E51" s="14" t="s">
        <v>220</v>
      </c>
      <c r="F51" s="14" t="s">
        <v>227</v>
      </c>
      <c r="G51" s="6" t="s">
        <v>228</v>
      </c>
    </row>
    <row r="52" spans="1:7">
      <c r="A52" s="45" t="str">
        <f>IF(COUNTIF($B$2:B52,B52)=1,"ok","dup")</f>
        <v>ok</v>
      </c>
      <c r="B52" s="45" t="str">
        <f t="shared" si="0"/>
        <v>Alouatta_palliata9.3</v>
      </c>
      <c r="C52" s="6" t="s">
        <v>39</v>
      </c>
      <c r="D52" s="7">
        <v>9.3000000000000007</v>
      </c>
      <c r="E52" s="14" t="s">
        <v>220</v>
      </c>
      <c r="F52" s="14" t="s">
        <v>251</v>
      </c>
      <c r="G52" s="6" t="s">
        <v>225</v>
      </c>
    </row>
    <row r="53" spans="1:7">
      <c r="A53" s="45" t="str">
        <f>IF(COUNTIF($B$2:B53,B53)=1,"ok","dup")</f>
        <v>ok</v>
      </c>
      <c r="B53" s="45" t="str">
        <f t="shared" si="0"/>
        <v>Alouatta_pigra5.3</v>
      </c>
      <c r="C53" s="6" t="s">
        <v>252</v>
      </c>
      <c r="D53" s="7">
        <v>5.3</v>
      </c>
      <c r="E53" s="14" t="s">
        <v>212</v>
      </c>
    </row>
    <row r="54" spans="1:7">
      <c r="A54" s="45" t="str">
        <f>IF(COUNTIF($B$2:B54,B54)=1,"ok","dup")</f>
        <v>ok</v>
      </c>
      <c r="B54" s="45" t="str">
        <f t="shared" si="0"/>
        <v>Alouatta_pigra5.5</v>
      </c>
      <c r="C54" s="6" t="s">
        <v>252</v>
      </c>
      <c r="D54" s="7">
        <v>5.5</v>
      </c>
      <c r="E54" s="14" t="s">
        <v>212</v>
      </c>
    </row>
    <row r="55" spans="1:7">
      <c r="A55" s="45" t="str">
        <f>IF(COUNTIF($B$2:B55,B55)=1,"ok","dup")</f>
        <v>ok</v>
      </c>
      <c r="B55" s="45" t="str">
        <f t="shared" si="0"/>
        <v>Alouatta_pigra7</v>
      </c>
      <c r="C55" s="6" t="s">
        <v>252</v>
      </c>
      <c r="D55" s="7">
        <v>7</v>
      </c>
      <c r="E55" s="14" t="s">
        <v>211</v>
      </c>
    </row>
    <row r="56" spans="1:7">
      <c r="A56" s="45" t="str">
        <f>IF(COUNTIF($B$2:B56,B56)=1,"ok","dup")</f>
        <v>ok</v>
      </c>
      <c r="B56" s="45" t="str">
        <f t="shared" si="0"/>
        <v>Alouatta_seniculus7.1</v>
      </c>
      <c r="C56" s="6" t="s">
        <v>41</v>
      </c>
      <c r="D56" s="7">
        <v>7.1</v>
      </c>
      <c r="E56" s="14" t="s">
        <v>216</v>
      </c>
      <c r="F56" s="14" t="s">
        <v>217</v>
      </c>
    </row>
    <row r="57" spans="1:7">
      <c r="A57" s="45" t="str">
        <f>IF(COUNTIF($B$2:B57,B57)=1,"ok","dup")</f>
        <v>ok</v>
      </c>
      <c r="B57" s="45" t="str">
        <f t="shared" si="0"/>
        <v>Alouatta_seniculus9</v>
      </c>
      <c r="C57" s="6" t="s">
        <v>41</v>
      </c>
      <c r="D57" s="7">
        <v>9</v>
      </c>
      <c r="E57" s="14" t="s">
        <v>216</v>
      </c>
      <c r="F57" s="14" t="s">
        <v>217</v>
      </c>
    </row>
    <row r="58" spans="1:7">
      <c r="A58" s="45" t="str">
        <f>IF(COUNTIF($B$2:B58,B58)=1,"ok","dup")</f>
        <v>ok</v>
      </c>
      <c r="B58" s="45" t="str">
        <f t="shared" si="0"/>
        <v>Alouatta_seniculus9.5</v>
      </c>
      <c r="C58" s="6" t="s">
        <v>41</v>
      </c>
      <c r="D58" s="7">
        <v>9.5</v>
      </c>
      <c r="E58" s="14" t="s">
        <v>216</v>
      </c>
      <c r="F58" s="14" t="s">
        <v>217</v>
      </c>
    </row>
    <row r="59" spans="1:7">
      <c r="A59" s="45" t="str">
        <f>IF(COUNTIF($B$2:B59,B59)=1,"ok","dup")</f>
        <v>ok</v>
      </c>
      <c r="B59" s="45" t="str">
        <f t="shared" si="0"/>
        <v>Alouatta_seniculus4.3</v>
      </c>
      <c r="C59" s="6" t="s">
        <v>41</v>
      </c>
      <c r="D59" s="7">
        <v>4.3</v>
      </c>
      <c r="E59" s="14" t="s">
        <v>212</v>
      </c>
    </row>
    <row r="60" spans="1:7">
      <c r="A60" s="45" t="str">
        <f>IF(COUNTIF($B$2:B60,B60)=1,"ok","dup")</f>
        <v>ok</v>
      </c>
      <c r="B60" s="45" t="str">
        <f t="shared" si="0"/>
        <v>Alouatta_seniculus6</v>
      </c>
      <c r="C60" s="6" t="s">
        <v>41</v>
      </c>
      <c r="D60" s="7">
        <v>6</v>
      </c>
      <c r="E60" s="14" t="s">
        <v>212</v>
      </c>
    </row>
    <row r="61" spans="1:7">
      <c r="A61" s="45" t="str">
        <f>IF(COUNTIF($B$2:B61,B61)=1,"ok","dup")</f>
        <v>ok</v>
      </c>
      <c r="B61" s="45" t="str">
        <f t="shared" si="0"/>
        <v>Alouatta_seniculus6.3</v>
      </c>
      <c r="C61" s="6" t="s">
        <v>41</v>
      </c>
      <c r="D61" s="7">
        <v>6.3</v>
      </c>
      <c r="E61" s="14" t="s">
        <v>212</v>
      </c>
    </row>
    <row r="62" spans="1:7">
      <c r="A62" s="45" t="str">
        <f>IF(COUNTIF($B$2:B62,B62)=1,"ok","dup")</f>
        <v>ok</v>
      </c>
      <c r="B62" s="45" t="str">
        <f t="shared" si="0"/>
        <v>Alouatta_seniculus6.95</v>
      </c>
      <c r="C62" s="6" t="s">
        <v>41</v>
      </c>
      <c r="D62" s="7">
        <v>6.9499999999999993</v>
      </c>
      <c r="E62" s="14" t="s">
        <v>212</v>
      </c>
    </row>
    <row r="63" spans="1:7">
      <c r="A63" s="45" t="str">
        <f>IF(COUNTIF($B$2:B63,B63)=1,"ok","dup")</f>
        <v>dup</v>
      </c>
      <c r="B63" s="45" t="str">
        <f t="shared" si="0"/>
        <v>Alouatta_seniculus7.1</v>
      </c>
      <c r="C63" s="6" t="s">
        <v>41</v>
      </c>
      <c r="D63" s="7">
        <v>7.1000000000000005</v>
      </c>
      <c r="E63" s="14" t="s">
        <v>212</v>
      </c>
    </row>
    <row r="64" spans="1:7">
      <c r="A64" s="45" t="str">
        <f>IF(COUNTIF($B$2:B64,B64)=1,"ok","dup")</f>
        <v>ok</v>
      </c>
      <c r="B64" s="45" t="str">
        <f t="shared" si="0"/>
        <v>Alouatta_seniculus7.4</v>
      </c>
      <c r="C64" s="6" t="s">
        <v>41</v>
      </c>
      <c r="D64" s="7">
        <v>7.4</v>
      </c>
      <c r="E64" s="14" t="s">
        <v>212</v>
      </c>
    </row>
    <row r="65" spans="1:7">
      <c r="A65" s="45" t="str">
        <f>IF(COUNTIF($B$2:B65,B65)=1,"ok","dup")</f>
        <v>dup</v>
      </c>
      <c r="B65" s="45" t="str">
        <f t="shared" si="0"/>
        <v>Alouatta_seniculus9</v>
      </c>
      <c r="C65" s="6" t="s">
        <v>41</v>
      </c>
      <c r="D65" s="7">
        <v>9</v>
      </c>
      <c r="E65" s="14" t="s">
        <v>212</v>
      </c>
    </row>
    <row r="66" spans="1:7">
      <c r="A66" s="45" t="str">
        <f>IF(COUNTIF($B$2:B66,B66)=1,"ok","dup")</f>
        <v>dup</v>
      </c>
      <c r="B66" s="45" t="str">
        <f t="shared" ref="B66:B129" si="1">C66&amp;D66</f>
        <v>Alouatta_seniculus9.5</v>
      </c>
      <c r="C66" s="6" t="s">
        <v>41</v>
      </c>
      <c r="D66" s="7">
        <v>9.5</v>
      </c>
      <c r="E66" s="14" t="s">
        <v>212</v>
      </c>
    </row>
    <row r="67" spans="1:7">
      <c r="A67" s="45" t="str">
        <f>IF(COUNTIF($B$2:B67,B67)=1,"ok","dup")</f>
        <v>dup</v>
      </c>
      <c r="B67" s="45" t="str">
        <f t="shared" si="1"/>
        <v>Alouatta_seniculus9</v>
      </c>
      <c r="C67" s="6" t="s">
        <v>41</v>
      </c>
      <c r="D67" s="7">
        <v>9</v>
      </c>
      <c r="E67" s="14" t="s">
        <v>218</v>
      </c>
      <c r="F67" s="14" t="s">
        <v>253</v>
      </c>
    </row>
    <row r="68" spans="1:7">
      <c r="A68" s="45" t="str">
        <f>IF(COUNTIF($B$2:B68,B68)=1,"ok","dup")</f>
        <v>ok</v>
      </c>
      <c r="B68" s="45" t="str">
        <f t="shared" si="1"/>
        <v>Alouatta_seniculus8.5</v>
      </c>
      <c r="C68" s="6" t="s">
        <v>41</v>
      </c>
      <c r="D68" s="7">
        <v>8.5</v>
      </c>
      <c r="E68" s="14" t="s">
        <v>213</v>
      </c>
    </row>
    <row r="69" spans="1:7">
      <c r="A69" s="45" t="str">
        <f>IF(COUNTIF($B$2:B69,B69)=1,"ok","dup")</f>
        <v>ok</v>
      </c>
      <c r="B69" s="45" t="str">
        <f t="shared" si="1"/>
        <v>Alouatta_seniculus4.6</v>
      </c>
      <c r="C69" s="6" t="s">
        <v>41</v>
      </c>
      <c r="D69" s="7">
        <v>4.5999999999999996</v>
      </c>
      <c r="E69" s="14" t="s">
        <v>211</v>
      </c>
    </row>
    <row r="70" spans="1:7">
      <c r="A70" s="45" t="str">
        <f>IF(COUNTIF($B$2:B70,B70)=1,"ok","dup")</f>
        <v>ok</v>
      </c>
      <c r="B70" s="45" t="str">
        <f t="shared" si="1"/>
        <v>Aotus_azarai3</v>
      </c>
      <c r="C70" s="6" t="s">
        <v>254</v>
      </c>
      <c r="D70" s="7">
        <v>3</v>
      </c>
      <c r="E70" s="14" t="s">
        <v>211</v>
      </c>
      <c r="G70" s="6" t="s">
        <v>255</v>
      </c>
    </row>
    <row r="71" spans="1:7">
      <c r="A71" s="45" t="str">
        <f>IF(COUNTIF($B$2:B71,B71)=1,"ok","dup")</f>
        <v>ok</v>
      </c>
      <c r="B71" s="45" t="str">
        <f t="shared" si="1"/>
        <v>Aotus_lemurinus3.5</v>
      </c>
      <c r="C71" s="6" t="s">
        <v>256</v>
      </c>
      <c r="D71" s="7">
        <v>3.5</v>
      </c>
      <c r="E71" s="14" t="s">
        <v>211</v>
      </c>
    </row>
    <row r="72" spans="1:7">
      <c r="A72" s="45" t="str">
        <f>IF(COUNTIF($B$2:B72,B72)=1,"ok","dup")</f>
        <v>ok</v>
      </c>
      <c r="B72" s="45" t="str">
        <f t="shared" si="1"/>
        <v>Aotus_trivirgatus3.1</v>
      </c>
      <c r="C72" s="6" t="s">
        <v>44</v>
      </c>
      <c r="D72" s="7">
        <v>3.1</v>
      </c>
      <c r="E72" s="14" t="s">
        <v>212</v>
      </c>
    </row>
    <row r="73" spans="1:7">
      <c r="A73" s="45" t="str">
        <f>IF(COUNTIF($B$2:B73,B73)=1,"ok","dup")</f>
        <v>ok</v>
      </c>
      <c r="B73" s="45" t="str">
        <f t="shared" si="1"/>
        <v>Aotus_trivirgatus3.5</v>
      </c>
      <c r="C73" s="6" t="s">
        <v>44</v>
      </c>
      <c r="D73" s="7">
        <v>3.5</v>
      </c>
      <c r="E73" s="14" t="s">
        <v>212</v>
      </c>
    </row>
    <row r="74" spans="1:7">
      <c r="A74" s="45" t="str">
        <f>IF(COUNTIF($B$2:B74,B74)=1,"ok","dup")</f>
        <v>ok</v>
      </c>
      <c r="B74" s="45" t="str">
        <f t="shared" si="1"/>
        <v>Aotus_trivirgatus1.5</v>
      </c>
      <c r="C74" s="6" t="s">
        <v>44</v>
      </c>
      <c r="D74" s="7">
        <v>1.5</v>
      </c>
      <c r="E74" s="14" t="s">
        <v>213</v>
      </c>
    </row>
    <row r="75" spans="1:7">
      <c r="A75" s="45" t="str">
        <f>IF(COUNTIF($B$2:B75,B75)=1,"ok","dup")</f>
        <v>dup</v>
      </c>
      <c r="B75" s="45" t="str">
        <f t="shared" si="1"/>
        <v>Aotus_trivirgatus3.5</v>
      </c>
      <c r="C75" s="6" t="s">
        <v>44</v>
      </c>
      <c r="D75" s="7">
        <v>3.5</v>
      </c>
      <c r="E75" s="14" t="s">
        <v>211</v>
      </c>
    </row>
    <row r="76" spans="1:7">
      <c r="A76" s="45" t="str">
        <f>IF(COUNTIF($B$2:B76,B76)=1,"ok","dup")</f>
        <v>dup</v>
      </c>
      <c r="B76" s="45" t="str">
        <f t="shared" si="1"/>
        <v>Aotus_trivirgatus1.5</v>
      </c>
      <c r="C76" s="6" t="s">
        <v>44</v>
      </c>
      <c r="D76" s="7">
        <v>1.5</v>
      </c>
      <c r="E76" s="14" t="s">
        <v>220</v>
      </c>
      <c r="F76" s="14" t="s">
        <v>257</v>
      </c>
      <c r="G76" s="6" t="s">
        <v>235</v>
      </c>
    </row>
    <row r="77" spans="1:7">
      <c r="A77" s="45" t="str">
        <f>IF(COUNTIF($B$2:B77,B77)=1,"ok","dup")</f>
        <v>ok</v>
      </c>
      <c r="B77" s="45" t="str">
        <f t="shared" si="1"/>
        <v>Aotus_trivirgatus2</v>
      </c>
      <c r="C77" s="6" t="s">
        <v>44</v>
      </c>
      <c r="D77" s="7">
        <v>2</v>
      </c>
      <c r="E77" s="14" t="s">
        <v>220</v>
      </c>
      <c r="F77" s="14" t="s">
        <v>258</v>
      </c>
    </row>
    <row r="78" spans="1:7">
      <c r="A78" s="45" t="str">
        <f>IF(COUNTIF($B$2:B78,B78)=1,"ok","dup")</f>
        <v>ok</v>
      </c>
      <c r="B78" s="45" t="str">
        <f t="shared" si="1"/>
        <v>Aotus_trivirgatus3</v>
      </c>
      <c r="C78" s="6" t="s">
        <v>44</v>
      </c>
      <c r="D78" s="7">
        <v>3</v>
      </c>
      <c r="E78" s="14" t="s">
        <v>220</v>
      </c>
      <c r="F78" s="14" t="s">
        <v>259</v>
      </c>
    </row>
    <row r="79" spans="1:7">
      <c r="A79" s="45" t="str">
        <f>IF(COUNTIF($B$2:B79,B79)=1,"ok","dup")</f>
        <v>dup</v>
      </c>
      <c r="B79" s="45" t="str">
        <f t="shared" si="1"/>
        <v>Aotus_trivirgatus3</v>
      </c>
      <c r="C79" s="6" t="s">
        <v>44</v>
      </c>
      <c r="D79" s="7">
        <v>3</v>
      </c>
      <c r="E79" s="14" t="s">
        <v>220</v>
      </c>
      <c r="F79" s="14" t="s">
        <v>259</v>
      </c>
    </row>
    <row r="80" spans="1:7">
      <c r="A80" s="45" t="str">
        <f>IF(COUNTIF($B$2:B80,B80)=1,"ok","dup")</f>
        <v>dup</v>
      </c>
      <c r="B80" s="45" t="str">
        <f t="shared" si="1"/>
        <v>Aotus_trivirgatus3</v>
      </c>
      <c r="C80" s="6" t="s">
        <v>44</v>
      </c>
      <c r="D80" s="7">
        <v>3</v>
      </c>
      <c r="E80" s="14" t="s">
        <v>220</v>
      </c>
      <c r="F80" s="14" t="s">
        <v>259</v>
      </c>
    </row>
    <row r="81" spans="1:6">
      <c r="A81" s="45" t="str">
        <f>IF(COUNTIF($B$2:B81,B81)=1,"ok","dup")</f>
        <v>ok</v>
      </c>
      <c r="B81" s="45" t="str">
        <f t="shared" si="1"/>
        <v>Aotus_trivirgatus4</v>
      </c>
      <c r="C81" s="6" t="s">
        <v>44</v>
      </c>
      <c r="D81" s="7">
        <v>4</v>
      </c>
      <c r="E81" s="14" t="s">
        <v>220</v>
      </c>
      <c r="F81" s="14" t="s">
        <v>259</v>
      </c>
    </row>
    <row r="82" spans="1:6">
      <c r="A82" s="45" t="str">
        <f>IF(COUNTIF($B$2:B82,B82)=1,"ok","dup")</f>
        <v>dup</v>
      </c>
      <c r="B82" s="45" t="str">
        <f t="shared" si="1"/>
        <v>Aotus_trivirgatus4</v>
      </c>
      <c r="C82" s="6" t="s">
        <v>44</v>
      </c>
      <c r="D82" s="7">
        <v>4</v>
      </c>
      <c r="E82" s="14" t="s">
        <v>220</v>
      </c>
      <c r="F82" s="14" t="s">
        <v>259</v>
      </c>
    </row>
    <row r="83" spans="1:6">
      <c r="A83" s="45" t="str">
        <f>IF(COUNTIF($B$2:B83,B83)=1,"ok","dup")</f>
        <v>dup</v>
      </c>
      <c r="B83" s="45" t="str">
        <f t="shared" si="1"/>
        <v>Aotus_trivirgatus4</v>
      </c>
      <c r="C83" s="6" t="s">
        <v>44</v>
      </c>
      <c r="D83" s="7">
        <v>4</v>
      </c>
      <c r="E83" s="14" t="s">
        <v>220</v>
      </c>
      <c r="F83" s="14" t="s">
        <v>260</v>
      </c>
    </row>
    <row r="84" spans="1:6">
      <c r="A84" s="45" t="str">
        <f>IF(COUNTIF($B$2:B84,B84)=1,"ok","dup")</f>
        <v>dup</v>
      </c>
      <c r="B84" s="45" t="str">
        <f t="shared" si="1"/>
        <v>Aotus_trivirgatus4</v>
      </c>
      <c r="C84" s="6" t="s">
        <v>44</v>
      </c>
      <c r="D84" s="7">
        <v>4</v>
      </c>
      <c r="E84" s="14" t="s">
        <v>220</v>
      </c>
      <c r="F84" s="14" t="s">
        <v>259</v>
      </c>
    </row>
    <row r="85" spans="1:6">
      <c r="A85" s="45" t="str">
        <f>IF(COUNTIF($B$2:B85,B85)=1,"ok","dup")</f>
        <v>dup</v>
      </c>
      <c r="B85" s="45" t="str">
        <f t="shared" si="1"/>
        <v>Aotus_trivirgatus4</v>
      </c>
      <c r="C85" s="6" t="s">
        <v>44</v>
      </c>
      <c r="D85" s="7">
        <v>4</v>
      </c>
      <c r="E85" s="14" t="s">
        <v>220</v>
      </c>
      <c r="F85" s="14" t="s">
        <v>258</v>
      </c>
    </row>
    <row r="86" spans="1:6">
      <c r="A86" s="45" t="str">
        <f>IF(COUNTIF($B$2:B86,B86)=1,"ok","dup")</f>
        <v>dup</v>
      </c>
      <c r="B86" s="45" t="str">
        <f t="shared" si="1"/>
        <v>Aotus_trivirgatus4</v>
      </c>
      <c r="C86" s="6" t="s">
        <v>44</v>
      </c>
      <c r="D86" s="7">
        <v>4</v>
      </c>
      <c r="E86" s="14" t="s">
        <v>220</v>
      </c>
      <c r="F86" s="14" t="s">
        <v>258</v>
      </c>
    </row>
    <row r="87" spans="1:6">
      <c r="A87" s="45" t="str">
        <f>IF(COUNTIF($B$2:B87,B87)=1,"ok","dup")</f>
        <v>ok</v>
      </c>
      <c r="B87" s="45" t="str">
        <f t="shared" si="1"/>
        <v>Aotus_trivirgatus5</v>
      </c>
      <c r="C87" s="6" t="s">
        <v>44</v>
      </c>
      <c r="D87" s="7">
        <v>5</v>
      </c>
      <c r="E87" s="14" t="s">
        <v>220</v>
      </c>
      <c r="F87" s="14" t="s">
        <v>259</v>
      </c>
    </row>
    <row r="88" spans="1:6">
      <c r="A88" s="45" t="str">
        <f>IF(COUNTIF($B$2:B88,B88)=1,"ok","dup")</f>
        <v>dup</v>
      </c>
      <c r="B88" s="45" t="str">
        <f t="shared" si="1"/>
        <v>Aotus_trivirgatus5</v>
      </c>
      <c r="C88" s="6" t="s">
        <v>44</v>
      </c>
      <c r="D88" s="7">
        <v>5</v>
      </c>
      <c r="E88" s="14" t="s">
        <v>220</v>
      </c>
      <c r="F88" s="14" t="s">
        <v>259</v>
      </c>
    </row>
    <row r="89" spans="1:6">
      <c r="A89" s="45" t="str">
        <f>IF(COUNTIF($B$2:B89,B89)=1,"ok","dup")</f>
        <v>dup</v>
      </c>
      <c r="B89" s="45" t="str">
        <f t="shared" si="1"/>
        <v>Aotus_trivirgatus5</v>
      </c>
      <c r="C89" s="6" t="s">
        <v>44</v>
      </c>
      <c r="D89" s="7">
        <v>5</v>
      </c>
      <c r="E89" s="14" t="s">
        <v>220</v>
      </c>
      <c r="F89" s="14" t="s">
        <v>259</v>
      </c>
    </row>
    <row r="90" spans="1:6">
      <c r="A90" s="45" t="str">
        <f>IF(COUNTIF($B$2:B90,B90)=1,"ok","dup")</f>
        <v>dup</v>
      </c>
      <c r="B90" s="45" t="str">
        <f t="shared" si="1"/>
        <v>Aotus_trivirgatus5</v>
      </c>
      <c r="C90" s="6" t="s">
        <v>44</v>
      </c>
      <c r="D90" s="7">
        <v>5</v>
      </c>
      <c r="E90" s="14" t="s">
        <v>220</v>
      </c>
      <c r="F90" s="14" t="s">
        <v>259</v>
      </c>
    </row>
    <row r="91" spans="1:6">
      <c r="A91" s="45" t="str">
        <f>IF(COUNTIF($B$2:B91,B91)=1,"ok","dup")</f>
        <v>ok</v>
      </c>
      <c r="B91" s="45" t="str">
        <f t="shared" si="1"/>
        <v>Aotus_trivirgatus6</v>
      </c>
      <c r="C91" s="6" t="s">
        <v>44</v>
      </c>
      <c r="D91" s="7">
        <v>6</v>
      </c>
      <c r="E91" s="14" t="s">
        <v>220</v>
      </c>
      <c r="F91" s="14" t="s">
        <v>261</v>
      </c>
    </row>
    <row r="92" spans="1:6">
      <c r="A92" s="45" t="str">
        <f>IF(COUNTIF($B$2:B92,B92)=1,"ok","dup")</f>
        <v>ok</v>
      </c>
      <c r="B92" s="45" t="str">
        <f t="shared" si="1"/>
        <v>Arctocebus_calabarensis1</v>
      </c>
      <c r="C92" s="6" t="s">
        <v>262</v>
      </c>
      <c r="D92" s="7">
        <v>1</v>
      </c>
      <c r="E92" s="14" t="s">
        <v>213</v>
      </c>
    </row>
    <row r="93" spans="1:6">
      <c r="A93" s="45" t="str">
        <f>IF(COUNTIF($B$2:B93,B93)=1,"ok","dup")</f>
        <v>ok</v>
      </c>
      <c r="B93" s="45" t="str">
        <f t="shared" si="1"/>
        <v>Arctocebus_calabarensis1.5</v>
      </c>
      <c r="C93" s="6" t="s">
        <v>262</v>
      </c>
      <c r="D93" s="7">
        <v>1.5</v>
      </c>
      <c r="E93" s="14" t="s">
        <v>211</v>
      </c>
    </row>
    <row r="94" spans="1:6">
      <c r="A94" s="45" t="str">
        <f>IF(COUNTIF($B$2:B94,B94)=1,"ok","dup")</f>
        <v>ok</v>
      </c>
      <c r="B94" s="45" t="str">
        <f t="shared" si="1"/>
        <v>Ateles_belzebuth18</v>
      </c>
      <c r="C94" s="6" t="s">
        <v>263</v>
      </c>
      <c r="D94" s="7">
        <v>18</v>
      </c>
      <c r="E94" s="14" t="s">
        <v>216</v>
      </c>
      <c r="F94" s="14" t="s">
        <v>264</v>
      </c>
    </row>
    <row r="95" spans="1:6">
      <c r="A95" s="45" t="str">
        <f>IF(COUNTIF($B$2:B95,B95)=1,"ok","dup")</f>
        <v>dup</v>
      </c>
      <c r="B95" s="45" t="str">
        <f t="shared" si="1"/>
        <v>Ateles_belzebuth18</v>
      </c>
      <c r="C95" s="6" t="s">
        <v>263</v>
      </c>
      <c r="D95" s="7">
        <v>18</v>
      </c>
      <c r="E95" s="14" t="s">
        <v>212</v>
      </c>
    </row>
    <row r="96" spans="1:6">
      <c r="A96" s="45" t="str">
        <f>IF(COUNTIF($B$2:B96,B96)=1,"ok","dup")</f>
        <v>ok</v>
      </c>
      <c r="B96" s="45" t="str">
        <f t="shared" si="1"/>
        <v>Ateles_belzebuth19.5</v>
      </c>
      <c r="C96" s="6" t="s">
        <v>263</v>
      </c>
      <c r="D96" s="7">
        <v>19.5</v>
      </c>
      <c r="E96" s="14" t="s">
        <v>212</v>
      </c>
    </row>
    <row r="97" spans="1:7">
      <c r="A97" s="45" t="str">
        <f>IF(COUNTIF($B$2:B97,B97)=1,"ok","dup")</f>
        <v>ok</v>
      </c>
      <c r="B97" s="45" t="str">
        <f t="shared" si="1"/>
        <v>Ateles_belzebuth12</v>
      </c>
      <c r="C97" s="6" t="s">
        <v>263</v>
      </c>
      <c r="D97" s="7">
        <v>12</v>
      </c>
      <c r="E97" s="14" t="s">
        <v>218</v>
      </c>
      <c r="F97" s="14" t="s">
        <v>265</v>
      </c>
    </row>
    <row r="98" spans="1:7">
      <c r="A98" s="45" t="str">
        <f>IF(COUNTIF($B$2:B98,B98)=1,"ok","dup")</f>
        <v>ok</v>
      </c>
      <c r="B98" s="45" t="str">
        <f t="shared" si="1"/>
        <v>Ateles_belzebuth20</v>
      </c>
      <c r="C98" s="6" t="s">
        <v>263</v>
      </c>
      <c r="D98" s="7">
        <v>20</v>
      </c>
      <c r="E98" s="14" t="s">
        <v>213</v>
      </c>
    </row>
    <row r="99" spans="1:7">
      <c r="A99" s="45" t="str">
        <f>IF(COUNTIF($B$2:B99,B99)=1,"ok","dup")</f>
        <v>ok</v>
      </c>
      <c r="B99" s="45" t="str">
        <f t="shared" si="1"/>
        <v>Ateles_belzebuth12.5</v>
      </c>
      <c r="C99" s="6" t="s">
        <v>263</v>
      </c>
      <c r="D99" s="7">
        <v>12.5</v>
      </c>
      <c r="E99" s="14" t="s">
        <v>211</v>
      </c>
    </row>
    <row r="100" spans="1:7">
      <c r="A100" s="45" t="str">
        <f>IF(COUNTIF($B$2:B100,B100)=1,"ok","dup")</f>
        <v>ok</v>
      </c>
      <c r="B100" s="45" t="str">
        <f t="shared" si="1"/>
        <v>Ateles_fusciceps5</v>
      </c>
      <c r="C100" s="6" t="s">
        <v>266</v>
      </c>
      <c r="D100" s="7">
        <v>5</v>
      </c>
      <c r="E100" s="14" t="s">
        <v>214</v>
      </c>
      <c r="F100" s="14" t="s">
        <v>267</v>
      </c>
    </row>
    <row r="101" spans="1:7">
      <c r="A101" s="45" t="str">
        <f>IF(COUNTIF($B$2:B101,B101)=1,"ok","dup")</f>
        <v>ok</v>
      </c>
      <c r="B101" s="45" t="str">
        <f t="shared" si="1"/>
        <v>Ateles_geoffroyi15</v>
      </c>
      <c r="C101" s="6" t="s">
        <v>45</v>
      </c>
      <c r="D101" s="7">
        <v>15</v>
      </c>
      <c r="E101" s="14" t="s">
        <v>212</v>
      </c>
    </row>
    <row r="102" spans="1:7">
      <c r="A102" s="45" t="str">
        <f>IF(COUNTIF($B$2:B102,B102)=1,"ok","dup")</f>
        <v>ok</v>
      </c>
      <c r="B102" s="45" t="str">
        <f t="shared" si="1"/>
        <v>Ateles_geoffroyi20</v>
      </c>
      <c r="C102" s="6" t="s">
        <v>45</v>
      </c>
      <c r="D102" s="7">
        <v>20</v>
      </c>
      <c r="E102" s="14" t="s">
        <v>218</v>
      </c>
      <c r="F102" s="14" t="s">
        <v>219</v>
      </c>
    </row>
    <row r="103" spans="1:7">
      <c r="A103" s="45" t="str">
        <f>IF(COUNTIF($B$2:B103,B103)=1,"ok","dup")</f>
        <v>dup</v>
      </c>
      <c r="B103" s="45" t="str">
        <f t="shared" si="1"/>
        <v>Ateles_geoffroyi20</v>
      </c>
      <c r="C103" s="6" t="s">
        <v>45</v>
      </c>
      <c r="D103" s="7">
        <v>20</v>
      </c>
      <c r="E103" s="14" t="s">
        <v>213</v>
      </c>
    </row>
    <row r="104" spans="1:7">
      <c r="A104" s="45" t="str">
        <f>IF(COUNTIF($B$2:B104,B104)=1,"ok","dup")</f>
        <v>ok</v>
      </c>
      <c r="B104" s="45" t="str">
        <f t="shared" si="1"/>
        <v>Ateles_geoffroyi19.75</v>
      </c>
      <c r="C104" s="6" t="s">
        <v>45</v>
      </c>
      <c r="D104" s="7">
        <v>19.75</v>
      </c>
      <c r="E104" s="14" t="s">
        <v>211</v>
      </c>
    </row>
    <row r="105" spans="1:7">
      <c r="A105" s="45" t="str">
        <f>IF(COUNTIF($B$2:B105,B105)=1,"ok","dup")</f>
        <v>dup</v>
      </c>
      <c r="B105" s="45" t="str">
        <f t="shared" si="1"/>
        <v>Ateles_geoffroyi20</v>
      </c>
      <c r="C105" s="6" t="s">
        <v>45</v>
      </c>
      <c r="D105" s="7">
        <v>20</v>
      </c>
      <c r="E105" s="14" t="s">
        <v>220</v>
      </c>
      <c r="F105" s="14" t="s">
        <v>268</v>
      </c>
      <c r="G105" s="6" t="s">
        <v>235</v>
      </c>
    </row>
    <row r="106" spans="1:7">
      <c r="A106" s="45" t="str">
        <f>IF(COUNTIF($B$2:B106,B106)=1,"ok","dup")</f>
        <v>ok</v>
      </c>
      <c r="B106" s="45" t="str">
        <f t="shared" si="1"/>
        <v>Ateles_geoffroyi22</v>
      </c>
      <c r="C106" s="6" t="s">
        <v>45</v>
      </c>
      <c r="D106" s="7">
        <v>22</v>
      </c>
      <c r="E106" s="14" t="s">
        <v>220</v>
      </c>
      <c r="F106" s="14" t="s">
        <v>269</v>
      </c>
    </row>
    <row r="107" spans="1:7">
      <c r="A107" s="45" t="str">
        <f>IF(COUNTIF($B$2:B107,B107)=1,"ok","dup")</f>
        <v>ok</v>
      </c>
      <c r="B107" s="45" t="str">
        <f t="shared" si="1"/>
        <v>Ateles_geoffroyi26</v>
      </c>
      <c r="C107" s="6" t="s">
        <v>45</v>
      </c>
      <c r="D107" s="7">
        <v>26</v>
      </c>
      <c r="E107" s="14" t="s">
        <v>220</v>
      </c>
      <c r="F107" s="14" t="s">
        <v>270</v>
      </c>
    </row>
    <row r="108" spans="1:7">
      <c r="A108" s="45" t="str">
        <f>IF(COUNTIF($B$2:B108,B108)=1,"ok","dup")</f>
        <v>ok</v>
      </c>
      <c r="B108" s="45" t="str">
        <f t="shared" si="1"/>
        <v>Ateles_geoffroyi35</v>
      </c>
      <c r="C108" s="6" t="s">
        <v>45</v>
      </c>
      <c r="D108" s="7">
        <v>35</v>
      </c>
      <c r="E108" s="14" t="s">
        <v>220</v>
      </c>
      <c r="F108" s="14" t="s">
        <v>271</v>
      </c>
    </row>
    <row r="109" spans="1:7">
      <c r="A109" s="45" t="str">
        <f>IF(COUNTIF($B$2:B109,B109)=1,"ok","dup")</f>
        <v>dup</v>
      </c>
      <c r="B109" s="45" t="str">
        <f t="shared" si="1"/>
        <v>Ateles_geoffroyi35</v>
      </c>
      <c r="C109" s="6" t="s">
        <v>45</v>
      </c>
      <c r="D109" s="7">
        <v>35</v>
      </c>
      <c r="E109" s="14" t="s">
        <v>220</v>
      </c>
      <c r="F109" s="14" t="s">
        <v>271</v>
      </c>
    </row>
    <row r="110" spans="1:7">
      <c r="A110" s="45" t="str">
        <f>IF(COUNTIF($B$2:B110,B110)=1,"ok","dup")</f>
        <v>ok</v>
      </c>
      <c r="B110" s="45" t="str">
        <f t="shared" si="1"/>
        <v>Ateles_geoffroyi36</v>
      </c>
      <c r="C110" s="6" t="s">
        <v>45</v>
      </c>
      <c r="D110" s="7">
        <v>36</v>
      </c>
      <c r="E110" s="14" t="s">
        <v>220</v>
      </c>
      <c r="F110" s="14" t="s">
        <v>271</v>
      </c>
    </row>
    <row r="111" spans="1:7">
      <c r="A111" s="45" t="str">
        <f>IF(COUNTIF($B$2:B111,B111)=1,"ok","dup")</f>
        <v>ok</v>
      </c>
      <c r="B111" s="45" t="str">
        <f t="shared" si="1"/>
        <v>Ateles_geoffroyi39</v>
      </c>
      <c r="C111" s="6" t="s">
        <v>45</v>
      </c>
      <c r="D111" s="7">
        <v>39</v>
      </c>
      <c r="E111" s="14" t="s">
        <v>220</v>
      </c>
      <c r="F111" s="14" t="s">
        <v>271</v>
      </c>
    </row>
    <row r="112" spans="1:7">
      <c r="A112" s="45" t="str">
        <f>IF(COUNTIF($B$2:B112,B112)=1,"ok","dup")</f>
        <v>ok</v>
      </c>
      <c r="B112" s="45" t="str">
        <f t="shared" si="1"/>
        <v>Ateles_geoffroyi4.5</v>
      </c>
      <c r="C112" s="6" t="s">
        <v>45</v>
      </c>
      <c r="D112" s="7">
        <v>4.5</v>
      </c>
      <c r="E112" s="14" t="s">
        <v>220</v>
      </c>
      <c r="F112" s="14" t="s">
        <v>272</v>
      </c>
      <c r="G112" s="6" t="s">
        <v>239</v>
      </c>
    </row>
    <row r="113" spans="1:6">
      <c r="A113" s="45" t="str">
        <f>IF(COUNTIF($B$2:B113,B113)=1,"ok","dup")</f>
        <v>ok</v>
      </c>
      <c r="B113" s="45" t="str">
        <f t="shared" si="1"/>
        <v>Ateles_geoffroyi40</v>
      </c>
      <c r="C113" s="6" t="s">
        <v>45</v>
      </c>
      <c r="D113" s="7">
        <v>40</v>
      </c>
      <c r="E113" s="14" t="s">
        <v>220</v>
      </c>
      <c r="F113" s="14" t="s">
        <v>271</v>
      </c>
    </row>
    <row r="114" spans="1:6">
      <c r="A114" s="45" t="str">
        <f>IF(COUNTIF($B$2:B114,B114)=1,"ok","dup")</f>
        <v>ok</v>
      </c>
      <c r="B114" s="45" t="str">
        <f t="shared" si="1"/>
        <v>Ateles_geoffroyi41</v>
      </c>
      <c r="C114" s="6" t="s">
        <v>45</v>
      </c>
      <c r="D114" s="7">
        <v>41</v>
      </c>
      <c r="E114" s="14" t="s">
        <v>220</v>
      </c>
      <c r="F114" s="14" t="s">
        <v>271</v>
      </c>
    </row>
    <row r="115" spans="1:6">
      <c r="A115" s="45" t="str">
        <f>IF(COUNTIF($B$2:B115,B115)=1,"ok","dup")</f>
        <v>ok</v>
      </c>
      <c r="B115" s="45" t="str">
        <f t="shared" si="1"/>
        <v>Ateles_geoffroyi42</v>
      </c>
      <c r="C115" s="6" t="s">
        <v>45</v>
      </c>
      <c r="D115" s="7">
        <v>42</v>
      </c>
      <c r="E115" s="14" t="s">
        <v>220</v>
      </c>
      <c r="F115" s="14" t="s">
        <v>273</v>
      </c>
    </row>
    <row r="116" spans="1:6">
      <c r="A116" s="45" t="str">
        <f>IF(COUNTIF($B$2:B116,B116)=1,"ok","dup")</f>
        <v>ok</v>
      </c>
      <c r="B116" s="45" t="str">
        <f t="shared" si="1"/>
        <v>Ateles_geoffroyi44</v>
      </c>
      <c r="C116" s="6" t="s">
        <v>45</v>
      </c>
      <c r="D116" s="7">
        <v>44</v>
      </c>
      <c r="E116" s="14" t="s">
        <v>220</v>
      </c>
      <c r="F116" s="14" t="s">
        <v>271</v>
      </c>
    </row>
    <row r="117" spans="1:6">
      <c r="A117" s="45" t="str">
        <f>IF(COUNTIF($B$2:B117,B117)=1,"ok","dup")</f>
        <v>ok</v>
      </c>
      <c r="B117" s="45" t="str">
        <f t="shared" si="1"/>
        <v>Ateles_geoffroyi8</v>
      </c>
      <c r="C117" s="6" t="s">
        <v>45</v>
      </c>
      <c r="D117" s="7">
        <v>8</v>
      </c>
      <c r="E117" s="14" t="s">
        <v>214</v>
      </c>
      <c r="F117" s="14" t="s">
        <v>274</v>
      </c>
    </row>
    <row r="118" spans="1:6">
      <c r="A118" s="45" t="str">
        <f>IF(COUNTIF($B$2:B118,B118)=1,"ok","dup")</f>
        <v>ok</v>
      </c>
      <c r="B118" s="45" t="str">
        <f t="shared" si="1"/>
        <v>Ateles_paniscus18</v>
      </c>
      <c r="C118" s="6" t="s">
        <v>46</v>
      </c>
      <c r="D118" s="7">
        <v>18</v>
      </c>
      <c r="E118" s="14" t="s">
        <v>216</v>
      </c>
      <c r="F118" s="14" t="s">
        <v>264</v>
      </c>
    </row>
    <row r="119" spans="1:6">
      <c r="A119" s="45" t="str">
        <f>IF(COUNTIF($B$2:B119,B119)=1,"ok","dup")</f>
        <v>dup</v>
      </c>
      <c r="B119" s="45" t="str">
        <f t="shared" si="1"/>
        <v>Ateles_paniscus18</v>
      </c>
      <c r="C119" s="6" t="s">
        <v>46</v>
      </c>
      <c r="D119" s="7">
        <v>18</v>
      </c>
      <c r="E119" s="14" t="s">
        <v>212</v>
      </c>
    </row>
    <row r="120" spans="1:6">
      <c r="A120" s="45" t="str">
        <f>IF(COUNTIF($B$2:B120,B120)=1,"ok","dup")</f>
        <v>ok</v>
      </c>
      <c r="B120" s="45" t="str">
        <f t="shared" si="1"/>
        <v>Ateles_paniscus38.5</v>
      </c>
      <c r="C120" s="6" t="s">
        <v>46</v>
      </c>
      <c r="D120" s="7">
        <v>38.5</v>
      </c>
      <c r="E120" s="14" t="s">
        <v>218</v>
      </c>
      <c r="F120" s="14" t="s">
        <v>275</v>
      </c>
    </row>
    <row r="121" spans="1:6">
      <c r="A121" s="45" t="str">
        <f>IF(COUNTIF($B$2:B121,B121)=1,"ok","dup")</f>
        <v>ok</v>
      </c>
      <c r="B121" s="45" t="str">
        <f t="shared" si="1"/>
        <v>Ateles_paniscus20</v>
      </c>
      <c r="C121" s="6" t="s">
        <v>46</v>
      </c>
      <c r="D121" s="7">
        <v>20</v>
      </c>
      <c r="E121" s="14" t="s">
        <v>213</v>
      </c>
    </row>
    <row r="122" spans="1:6">
      <c r="A122" s="45" t="str">
        <f>IF(COUNTIF($B$2:B122,B122)=1,"ok","dup")</f>
        <v>dup</v>
      </c>
      <c r="B122" s="45" t="str">
        <f t="shared" si="1"/>
        <v>Ateles_paniscus18</v>
      </c>
      <c r="C122" s="6" t="s">
        <v>46</v>
      </c>
      <c r="D122" s="7">
        <v>18</v>
      </c>
      <c r="E122" s="14" t="s">
        <v>211</v>
      </c>
    </row>
    <row r="123" spans="1:6">
      <c r="A123" s="45" t="str">
        <f>IF(COUNTIF($B$2:B123,B123)=1,"ok","dup")</f>
        <v>ok</v>
      </c>
      <c r="B123" s="45" t="str">
        <f t="shared" si="1"/>
        <v>Avahi_laniger2.5</v>
      </c>
      <c r="C123" s="6" t="s">
        <v>47</v>
      </c>
      <c r="D123" s="7">
        <v>2.5</v>
      </c>
      <c r="E123" s="14" t="s">
        <v>276</v>
      </c>
      <c r="F123" s="14" t="s">
        <v>277</v>
      </c>
    </row>
    <row r="124" spans="1:6">
      <c r="A124" s="45" t="str">
        <f>IF(COUNTIF($B$2:B124,B124)=1,"ok","dup")</f>
        <v>ok</v>
      </c>
      <c r="B124" s="45" t="str">
        <f t="shared" si="1"/>
        <v>Avahi_laniger2</v>
      </c>
      <c r="C124" s="6" t="s">
        <v>47</v>
      </c>
      <c r="D124" s="7">
        <v>2</v>
      </c>
      <c r="E124" s="14" t="s">
        <v>218</v>
      </c>
      <c r="F124" s="14" t="s">
        <v>278</v>
      </c>
    </row>
    <row r="125" spans="1:6">
      <c r="A125" s="45" t="str">
        <f>IF(COUNTIF($B$2:B125,B125)=1,"ok","dup")</f>
        <v>ok</v>
      </c>
      <c r="B125" s="45" t="str">
        <f t="shared" si="1"/>
        <v>Avahi_laniger3.5</v>
      </c>
      <c r="C125" s="6" t="s">
        <v>47</v>
      </c>
      <c r="D125" s="7">
        <v>3.5</v>
      </c>
      <c r="E125" s="14" t="s">
        <v>211</v>
      </c>
    </row>
    <row r="126" spans="1:6">
      <c r="A126" s="45" t="str">
        <f>IF(COUNTIF($B$2:B126,B126)=1,"ok","dup")</f>
        <v>ok</v>
      </c>
      <c r="B126" s="45" t="str">
        <f t="shared" si="1"/>
        <v>Brachyteles_arachnoides24.5</v>
      </c>
      <c r="C126" s="6" t="s">
        <v>279</v>
      </c>
      <c r="D126" s="7">
        <v>24.5</v>
      </c>
      <c r="E126" s="14" t="s">
        <v>216</v>
      </c>
      <c r="F126" s="14" t="s">
        <v>280</v>
      </c>
    </row>
    <row r="127" spans="1:6">
      <c r="A127" s="45" t="str">
        <f>IF(COUNTIF($B$2:B127,B127)=1,"ok","dup")</f>
        <v>ok</v>
      </c>
      <c r="B127" s="45" t="str">
        <f t="shared" si="1"/>
        <v>Brachyteles_arachnoides45</v>
      </c>
      <c r="C127" s="6" t="s">
        <v>279</v>
      </c>
      <c r="D127" s="7">
        <v>45</v>
      </c>
      <c r="E127" s="14" t="s">
        <v>216</v>
      </c>
      <c r="F127" s="14" t="s">
        <v>281</v>
      </c>
    </row>
    <row r="128" spans="1:6">
      <c r="A128" s="45" t="str">
        <f>IF(COUNTIF($B$2:B128,B128)=1,"ok","dup")</f>
        <v>ok</v>
      </c>
      <c r="B128" s="45" t="str">
        <f t="shared" si="1"/>
        <v>Brachyteles_arachnoides20</v>
      </c>
      <c r="C128" s="6" t="s">
        <v>279</v>
      </c>
      <c r="D128" s="7">
        <v>20</v>
      </c>
      <c r="E128" s="14" t="s">
        <v>212</v>
      </c>
    </row>
    <row r="129" spans="1:6">
      <c r="A129" s="45" t="str">
        <f>IF(COUNTIF($B$2:B129,B129)=1,"ok","dup")</f>
        <v>ok</v>
      </c>
      <c r="B129" s="45" t="str">
        <f t="shared" si="1"/>
        <v>Brachyteles_arachnoides22</v>
      </c>
      <c r="C129" s="6" t="s">
        <v>279</v>
      </c>
      <c r="D129" s="7">
        <v>22</v>
      </c>
      <c r="E129" s="14" t="s">
        <v>212</v>
      </c>
    </row>
    <row r="130" spans="1:6">
      <c r="A130" s="45" t="str">
        <f>IF(COUNTIF($B$2:B130,B130)=1,"ok","dup")</f>
        <v>ok</v>
      </c>
      <c r="B130" s="45" t="str">
        <f t="shared" ref="B130:B193" si="2">C130&amp;D130</f>
        <v>Brachyteles_arachnoides25</v>
      </c>
      <c r="C130" s="6" t="s">
        <v>279</v>
      </c>
      <c r="D130" s="7">
        <v>25</v>
      </c>
      <c r="E130" s="14" t="s">
        <v>212</v>
      </c>
    </row>
    <row r="131" spans="1:6">
      <c r="A131" s="45" t="str">
        <f>IF(COUNTIF($B$2:B131,B131)=1,"ok","dup")</f>
        <v>ok</v>
      </c>
      <c r="B131" s="45" t="str">
        <f t="shared" si="2"/>
        <v>Brachyteles_arachnoides26</v>
      </c>
      <c r="C131" s="6" t="s">
        <v>279</v>
      </c>
      <c r="D131" s="7">
        <v>26</v>
      </c>
      <c r="E131" s="14" t="s">
        <v>218</v>
      </c>
      <c r="F131" s="14" t="s">
        <v>280</v>
      </c>
    </row>
    <row r="132" spans="1:6">
      <c r="A132" s="45" t="str">
        <f>IF(COUNTIF($B$2:B132,B132)=1,"ok","dup")</f>
        <v>dup</v>
      </c>
      <c r="B132" s="45" t="str">
        <f t="shared" si="2"/>
        <v>Brachyteles_arachnoides26</v>
      </c>
      <c r="C132" s="6" t="s">
        <v>279</v>
      </c>
      <c r="D132" s="7">
        <v>26</v>
      </c>
      <c r="E132" s="14" t="s">
        <v>211</v>
      </c>
    </row>
    <row r="133" spans="1:6">
      <c r="A133" s="45" t="str">
        <f>IF(COUNTIF($B$2:B133,B133)=1,"ok","dup")</f>
        <v>ok</v>
      </c>
      <c r="B133" s="45" t="str">
        <f t="shared" si="2"/>
        <v>Bunopithecus_hoolock3.2</v>
      </c>
      <c r="C133" s="6" t="s">
        <v>282</v>
      </c>
      <c r="D133" s="7">
        <v>3.2</v>
      </c>
      <c r="E133" s="14" t="s">
        <v>212</v>
      </c>
    </row>
    <row r="134" spans="1:6">
      <c r="A134" s="45" t="str">
        <f>IF(COUNTIF($B$2:B134,B134)=1,"ok","dup")</f>
        <v>ok</v>
      </c>
      <c r="B134" s="45" t="str">
        <f t="shared" si="2"/>
        <v>Bunopithecus_hoolock3.5</v>
      </c>
      <c r="C134" s="6" t="s">
        <v>282</v>
      </c>
      <c r="D134" s="7">
        <v>3.5</v>
      </c>
      <c r="E134" s="14" t="s">
        <v>213</v>
      </c>
    </row>
    <row r="135" spans="1:6">
      <c r="A135" s="45" t="str">
        <f>IF(COUNTIF($B$2:B135,B135)=1,"ok","dup")</f>
        <v>dup</v>
      </c>
      <c r="B135" s="45" t="str">
        <f t="shared" si="2"/>
        <v>Bunopithecus_hoolock3.5</v>
      </c>
      <c r="C135" s="6" t="s">
        <v>282</v>
      </c>
      <c r="D135" s="7">
        <v>3.5</v>
      </c>
      <c r="E135" s="14" t="s">
        <v>211</v>
      </c>
    </row>
    <row r="136" spans="1:6">
      <c r="A136" s="45" t="str">
        <f>IF(COUNTIF($B$2:B136,B136)=1,"ok","dup")</f>
        <v>ok</v>
      </c>
      <c r="B136" s="45" t="str">
        <f t="shared" si="2"/>
        <v>Cacajao_calvus17.5</v>
      </c>
      <c r="C136" s="6" t="s">
        <v>283</v>
      </c>
      <c r="D136" s="7">
        <v>17.5</v>
      </c>
      <c r="E136" s="14" t="s">
        <v>212</v>
      </c>
    </row>
    <row r="137" spans="1:6">
      <c r="A137" s="45" t="str">
        <f>IF(COUNTIF($B$2:B137,B137)=1,"ok","dup")</f>
        <v>ok</v>
      </c>
      <c r="B137" s="45" t="str">
        <f t="shared" si="2"/>
        <v>Cacajao_calvus12.5</v>
      </c>
      <c r="C137" s="6" t="s">
        <v>283</v>
      </c>
      <c r="D137" s="7">
        <v>12.5</v>
      </c>
      <c r="E137" s="14" t="s">
        <v>211</v>
      </c>
    </row>
    <row r="138" spans="1:6">
      <c r="A138" s="45" t="str">
        <f>IF(COUNTIF($B$2:B138,B138)=1,"ok","dup")</f>
        <v>ok</v>
      </c>
      <c r="B138" s="45" t="str">
        <f t="shared" si="2"/>
        <v>Callicebus_moloch3.2</v>
      </c>
      <c r="C138" s="6" t="s">
        <v>49</v>
      </c>
      <c r="D138" s="7">
        <v>3.2</v>
      </c>
      <c r="E138" s="14" t="s">
        <v>216</v>
      </c>
      <c r="F138" s="14" t="s">
        <v>284</v>
      </c>
    </row>
    <row r="139" spans="1:6">
      <c r="A139" s="45" t="str">
        <f>IF(COUNTIF($B$2:B139,B139)=1,"ok","dup")</f>
        <v>ok</v>
      </c>
      <c r="B139" s="45" t="str">
        <f t="shared" si="2"/>
        <v>Callicebus_moloch4.2</v>
      </c>
      <c r="C139" s="6" t="s">
        <v>49</v>
      </c>
      <c r="D139" s="7">
        <v>4.2</v>
      </c>
      <c r="E139" s="14" t="s">
        <v>216</v>
      </c>
      <c r="F139" s="14" t="s">
        <v>284</v>
      </c>
    </row>
    <row r="140" spans="1:6">
      <c r="A140" s="45" t="str">
        <f>IF(COUNTIF($B$2:B140,B140)=1,"ok","dup")</f>
        <v>ok</v>
      </c>
      <c r="B140" s="45" t="str">
        <f t="shared" si="2"/>
        <v>Callicebus_moloch2.6</v>
      </c>
      <c r="C140" s="6" t="s">
        <v>49</v>
      </c>
      <c r="D140" s="7">
        <v>2.6</v>
      </c>
      <c r="E140" s="14" t="s">
        <v>212</v>
      </c>
    </row>
    <row r="141" spans="1:6">
      <c r="A141" s="45" t="str">
        <f>IF(COUNTIF($B$2:B141,B141)=1,"ok","dup")</f>
        <v>dup</v>
      </c>
      <c r="B141" s="45" t="str">
        <f t="shared" si="2"/>
        <v>Callicebus_moloch2.6</v>
      </c>
      <c r="C141" s="6" t="s">
        <v>49</v>
      </c>
      <c r="D141" s="7">
        <v>2.6</v>
      </c>
      <c r="E141" s="14" t="s">
        <v>212</v>
      </c>
    </row>
    <row r="142" spans="1:6">
      <c r="A142" s="45" t="str">
        <f>IF(COUNTIF($B$2:B142,B142)=1,"ok","dup")</f>
        <v>ok</v>
      </c>
      <c r="B142" s="45" t="str">
        <f t="shared" si="2"/>
        <v>Callicebus_moloch2.8</v>
      </c>
      <c r="C142" s="6" t="s">
        <v>49</v>
      </c>
      <c r="D142" s="7">
        <v>2.8</v>
      </c>
      <c r="E142" s="14" t="s">
        <v>212</v>
      </c>
    </row>
    <row r="143" spans="1:6">
      <c r="A143" s="45" t="str">
        <f>IF(COUNTIF($B$2:B143,B143)=1,"ok","dup")</f>
        <v>dup</v>
      </c>
      <c r="B143" s="45" t="str">
        <f t="shared" si="2"/>
        <v>Callicebus_moloch3.2</v>
      </c>
      <c r="C143" s="6" t="s">
        <v>49</v>
      </c>
      <c r="D143" s="7">
        <v>3.2</v>
      </c>
      <c r="E143" s="14" t="s">
        <v>212</v>
      </c>
    </row>
    <row r="144" spans="1:6">
      <c r="A144" s="45" t="str">
        <f>IF(COUNTIF($B$2:B144,B144)=1,"ok","dup")</f>
        <v>dup</v>
      </c>
      <c r="B144" s="45" t="str">
        <f t="shared" si="2"/>
        <v>Callicebus_moloch4.2</v>
      </c>
      <c r="C144" s="6" t="s">
        <v>49</v>
      </c>
      <c r="D144" s="7">
        <v>4.2</v>
      </c>
      <c r="E144" s="14" t="s">
        <v>218</v>
      </c>
      <c r="F144" s="14" t="s">
        <v>285</v>
      </c>
    </row>
    <row r="145" spans="1:7">
      <c r="A145" s="45" t="str">
        <f>IF(COUNTIF($B$2:B145,B145)=1,"ok","dup")</f>
        <v>ok</v>
      </c>
      <c r="B145" s="45" t="str">
        <f t="shared" si="2"/>
        <v>Callicebus_moloch3</v>
      </c>
      <c r="C145" s="6" t="s">
        <v>49</v>
      </c>
      <c r="D145" s="7">
        <v>3</v>
      </c>
      <c r="E145" s="14" t="s">
        <v>213</v>
      </c>
    </row>
    <row r="146" spans="1:7">
      <c r="A146" s="45" t="str">
        <f>IF(COUNTIF($B$2:B146,B146)=1,"ok","dup")</f>
        <v>ok</v>
      </c>
      <c r="B146" s="45" t="str">
        <f t="shared" si="2"/>
        <v>Callicebus_moloch3.5</v>
      </c>
      <c r="C146" s="6" t="s">
        <v>49</v>
      </c>
      <c r="D146" s="7">
        <v>3.5</v>
      </c>
      <c r="E146" s="14" t="s">
        <v>211</v>
      </c>
    </row>
    <row r="147" spans="1:7">
      <c r="A147" s="45" t="str">
        <f>IF(COUNTIF($B$2:B147,B147)=1,"ok","dup")</f>
        <v>ok</v>
      </c>
      <c r="B147" s="45" t="str">
        <f t="shared" si="2"/>
        <v>Callicebus_moloch2</v>
      </c>
      <c r="C147" s="6" t="s">
        <v>49</v>
      </c>
      <c r="D147" s="7">
        <v>2</v>
      </c>
      <c r="E147" s="14" t="s">
        <v>220</v>
      </c>
      <c r="F147" s="14" t="s">
        <v>286</v>
      </c>
      <c r="G147" s="6" t="s">
        <v>222</v>
      </c>
    </row>
    <row r="148" spans="1:7">
      <c r="A148" s="45" t="str">
        <f>IF(COUNTIF($B$2:B148,B148)=1,"ok","dup")</f>
        <v>dup</v>
      </c>
      <c r="B148" s="45" t="str">
        <f t="shared" si="2"/>
        <v>Callicebus_moloch2</v>
      </c>
      <c r="C148" s="6" t="s">
        <v>49</v>
      </c>
      <c r="D148" s="7">
        <v>2</v>
      </c>
      <c r="E148" s="14" t="s">
        <v>220</v>
      </c>
      <c r="F148" s="14" t="s">
        <v>287</v>
      </c>
    </row>
    <row r="149" spans="1:7">
      <c r="A149" s="45" t="str">
        <f>IF(COUNTIF($B$2:B149,B149)=1,"ok","dup")</f>
        <v>dup</v>
      </c>
      <c r="B149" s="45" t="str">
        <f t="shared" si="2"/>
        <v>Callicebus_moloch3</v>
      </c>
      <c r="C149" s="6" t="s">
        <v>49</v>
      </c>
      <c r="D149" s="7">
        <v>3</v>
      </c>
      <c r="E149" s="14" t="s">
        <v>220</v>
      </c>
      <c r="F149" s="14" t="s">
        <v>288</v>
      </c>
      <c r="G149" s="6" t="s">
        <v>239</v>
      </c>
    </row>
    <row r="150" spans="1:7">
      <c r="A150" s="45" t="str">
        <f>IF(COUNTIF($B$2:B150,B150)=1,"ok","dup")</f>
        <v>dup</v>
      </c>
      <c r="B150" s="45" t="str">
        <f t="shared" si="2"/>
        <v>Callicebus_moloch3</v>
      </c>
      <c r="C150" s="6" t="s">
        <v>49</v>
      </c>
      <c r="D150" s="7">
        <v>3</v>
      </c>
      <c r="E150" s="14" t="s">
        <v>220</v>
      </c>
      <c r="F150" s="14" t="s">
        <v>286</v>
      </c>
      <c r="G150" s="6" t="s">
        <v>235</v>
      </c>
    </row>
    <row r="151" spans="1:7">
      <c r="A151" s="45" t="str">
        <f>IF(COUNTIF($B$2:B151,B151)=1,"ok","dup")</f>
        <v>dup</v>
      </c>
      <c r="B151" s="45" t="str">
        <f t="shared" si="2"/>
        <v>Callicebus_moloch3</v>
      </c>
      <c r="C151" s="6" t="s">
        <v>49</v>
      </c>
      <c r="D151" s="7">
        <v>3</v>
      </c>
      <c r="E151" s="14" t="s">
        <v>220</v>
      </c>
      <c r="F151" s="14" t="s">
        <v>286</v>
      </c>
      <c r="G151" s="6" t="s">
        <v>226</v>
      </c>
    </row>
    <row r="152" spans="1:7">
      <c r="A152" s="45" t="str">
        <f>IF(COUNTIF($B$2:B152,B152)=1,"ok","dup")</f>
        <v>dup</v>
      </c>
      <c r="B152" s="45" t="str">
        <f t="shared" si="2"/>
        <v>Callicebus_moloch3</v>
      </c>
      <c r="C152" s="6" t="s">
        <v>49</v>
      </c>
      <c r="D152" s="7">
        <v>3</v>
      </c>
      <c r="E152" s="14" t="s">
        <v>220</v>
      </c>
      <c r="F152" s="14" t="s">
        <v>287</v>
      </c>
    </row>
    <row r="153" spans="1:7">
      <c r="A153" s="45" t="str">
        <f>IF(COUNTIF($B$2:B153,B153)=1,"ok","dup")</f>
        <v>dup</v>
      </c>
      <c r="B153" s="45" t="str">
        <f t="shared" si="2"/>
        <v>Callicebus_moloch3</v>
      </c>
      <c r="C153" s="6" t="s">
        <v>49</v>
      </c>
      <c r="D153" s="7">
        <v>3</v>
      </c>
      <c r="E153" s="14" t="s">
        <v>220</v>
      </c>
      <c r="F153" s="14" t="s">
        <v>287</v>
      </c>
    </row>
    <row r="154" spans="1:7">
      <c r="A154" s="45" t="str">
        <f>IF(COUNTIF($B$2:B154,B154)=1,"ok","dup")</f>
        <v>dup</v>
      </c>
      <c r="B154" s="45" t="str">
        <f t="shared" si="2"/>
        <v>Callicebus_moloch3</v>
      </c>
      <c r="C154" s="6" t="s">
        <v>49</v>
      </c>
      <c r="D154" s="7">
        <v>3</v>
      </c>
      <c r="E154" s="14" t="s">
        <v>220</v>
      </c>
      <c r="F154" s="14" t="s">
        <v>287</v>
      </c>
    </row>
    <row r="155" spans="1:7">
      <c r="A155" s="45" t="str">
        <f>IF(COUNTIF($B$2:B155,B155)=1,"ok","dup")</f>
        <v>dup</v>
      </c>
      <c r="B155" s="45" t="str">
        <f t="shared" si="2"/>
        <v>Callicebus_moloch3</v>
      </c>
      <c r="C155" s="6" t="s">
        <v>49</v>
      </c>
      <c r="D155" s="7">
        <v>3</v>
      </c>
      <c r="E155" s="14" t="s">
        <v>220</v>
      </c>
      <c r="F155" s="14" t="s">
        <v>287</v>
      </c>
    </row>
    <row r="156" spans="1:7">
      <c r="A156" s="45" t="str">
        <f>IF(COUNTIF($B$2:B156,B156)=1,"ok","dup")</f>
        <v>dup</v>
      </c>
      <c r="B156" s="45" t="str">
        <f t="shared" si="2"/>
        <v>Callicebus_moloch3</v>
      </c>
      <c r="C156" s="6" t="s">
        <v>49</v>
      </c>
      <c r="D156" s="7">
        <v>3</v>
      </c>
      <c r="E156" s="14" t="s">
        <v>220</v>
      </c>
      <c r="F156" s="14" t="s">
        <v>287</v>
      </c>
    </row>
    <row r="157" spans="1:7">
      <c r="A157" s="45" t="str">
        <f>IF(COUNTIF($B$2:B157,B157)=1,"ok","dup")</f>
        <v>dup</v>
      </c>
      <c r="B157" s="45" t="str">
        <f t="shared" si="2"/>
        <v>Callicebus_moloch3.2</v>
      </c>
      <c r="C157" s="6" t="s">
        <v>49</v>
      </c>
      <c r="D157" s="7">
        <v>3.2</v>
      </c>
      <c r="E157" s="14" t="s">
        <v>220</v>
      </c>
      <c r="F157" s="14" t="s">
        <v>289</v>
      </c>
      <c r="G157" s="6" t="s">
        <v>228</v>
      </c>
    </row>
    <row r="158" spans="1:7">
      <c r="A158" s="45" t="str">
        <f>IF(COUNTIF($B$2:B158,B158)=1,"ok","dup")</f>
        <v>ok</v>
      </c>
      <c r="B158" s="45" t="str">
        <f t="shared" si="2"/>
        <v>Callicebus_moloch4</v>
      </c>
      <c r="C158" s="6" t="s">
        <v>49</v>
      </c>
      <c r="D158" s="7">
        <v>4</v>
      </c>
      <c r="E158" s="14" t="s">
        <v>220</v>
      </c>
      <c r="F158" s="14" t="s">
        <v>286</v>
      </c>
      <c r="G158" s="6" t="s">
        <v>222</v>
      </c>
    </row>
    <row r="159" spans="1:7">
      <c r="A159" s="45" t="str">
        <f>IF(COUNTIF($B$2:B159,B159)=1,"ok","dup")</f>
        <v>dup</v>
      </c>
      <c r="B159" s="45" t="str">
        <f t="shared" si="2"/>
        <v>Callicebus_moloch4</v>
      </c>
      <c r="C159" s="6" t="s">
        <v>49</v>
      </c>
      <c r="D159" s="7">
        <v>4</v>
      </c>
      <c r="E159" s="14" t="s">
        <v>220</v>
      </c>
      <c r="F159" s="14" t="s">
        <v>287</v>
      </c>
    </row>
    <row r="160" spans="1:7">
      <c r="A160" s="45" t="str">
        <f>IF(COUNTIF($B$2:B160,B160)=1,"ok","dup")</f>
        <v>dup</v>
      </c>
      <c r="B160" s="45" t="str">
        <f t="shared" si="2"/>
        <v>Callicebus_moloch4</v>
      </c>
      <c r="C160" s="6" t="s">
        <v>49</v>
      </c>
      <c r="D160" s="7">
        <v>4</v>
      </c>
      <c r="E160" s="14" t="s">
        <v>220</v>
      </c>
      <c r="F160" s="14" t="s">
        <v>287</v>
      </c>
    </row>
    <row r="161" spans="1:7">
      <c r="A161" s="45" t="str">
        <f>IF(COUNTIF($B$2:B161,B161)=1,"ok","dup")</f>
        <v>dup</v>
      </c>
      <c r="B161" s="45" t="str">
        <f t="shared" si="2"/>
        <v>Callicebus_moloch4</v>
      </c>
      <c r="C161" s="6" t="s">
        <v>49</v>
      </c>
      <c r="D161" s="7">
        <v>4</v>
      </c>
      <c r="E161" s="14" t="s">
        <v>220</v>
      </c>
      <c r="F161" s="14" t="s">
        <v>290</v>
      </c>
    </row>
    <row r="162" spans="1:7">
      <c r="A162" s="45" t="str">
        <f>IF(COUNTIF($B$2:B162,B162)=1,"ok","dup")</f>
        <v>dup</v>
      </c>
      <c r="B162" s="45" t="str">
        <f t="shared" si="2"/>
        <v>Callicebus_moloch4</v>
      </c>
      <c r="C162" s="6" t="s">
        <v>49</v>
      </c>
      <c r="D162" s="7">
        <v>4</v>
      </c>
      <c r="E162" s="14" t="s">
        <v>220</v>
      </c>
      <c r="F162" s="14" t="s">
        <v>290</v>
      </c>
    </row>
    <row r="163" spans="1:7">
      <c r="A163" s="45" t="str">
        <f>IF(COUNTIF($B$2:B163,B163)=1,"ok","dup")</f>
        <v>dup</v>
      </c>
      <c r="B163" s="45" t="str">
        <f t="shared" si="2"/>
        <v>Callicebus_moloch4</v>
      </c>
      <c r="C163" s="6" t="s">
        <v>49</v>
      </c>
      <c r="D163" s="7">
        <v>4</v>
      </c>
      <c r="E163" s="14" t="s">
        <v>220</v>
      </c>
      <c r="F163" s="14" t="s">
        <v>290</v>
      </c>
    </row>
    <row r="164" spans="1:7">
      <c r="A164" s="45" t="str">
        <f>IF(COUNTIF($B$2:B164,B164)=1,"ok","dup")</f>
        <v>dup</v>
      </c>
      <c r="B164" s="45" t="str">
        <f t="shared" si="2"/>
        <v>Callicebus_moloch4.2</v>
      </c>
      <c r="C164" s="6" t="s">
        <v>49</v>
      </c>
      <c r="D164" s="7">
        <v>4.2</v>
      </c>
      <c r="E164" s="14" t="s">
        <v>220</v>
      </c>
      <c r="F164" s="14" t="s">
        <v>289</v>
      </c>
      <c r="G164" s="6" t="s">
        <v>228</v>
      </c>
    </row>
    <row r="165" spans="1:7">
      <c r="A165" s="45" t="str">
        <f>IF(COUNTIF($B$2:B165,B165)=1,"ok","dup")</f>
        <v>ok</v>
      </c>
      <c r="B165" s="45" t="str">
        <f t="shared" si="2"/>
        <v>Callicebus_moloch5</v>
      </c>
      <c r="C165" s="6" t="s">
        <v>49</v>
      </c>
      <c r="D165" s="7">
        <v>5</v>
      </c>
      <c r="E165" s="14" t="s">
        <v>220</v>
      </c>
      <c r="F165" s="14" t="s">
        <v>287</v>
      </c>
    </row>
    <row r="166" spans="1:7">
      <c r="A166" s="45" t="str">
        <f>IF(COUNTIF($B$2:B166,B166)=1,"ok","dup")</f>
        <v>ok</v>
      </c>
      <c r="B166" s="45" t="str">
        <f t="shared" si="2"/>
        <v>Callicebus_personatus3.2</v>
      </c>
      <c r="C166" s="6" t="s">
        <v>291</v>
      </c>
      <c r="D166" s="7">
        <v>3.2</v>
      </c>
      <c r="E166" s="14" t="s">
        <v>212</v>
      </c>
    </row>
    <row r="167" spans="1:7">
      <c r="A167" s="45" t="str">
        <f>IF(COUNTIF($B$2:B167,B167)=1,"ok","dup")</f>
        <v>ok</v>
      </c>
      <c r="B167" s="45" t="str">
        <f t="shared" si="2"/>
        <v>Callicebus_personatus3.7</v>
      </c>
      <c r="C167" s="6" t="s">
        <v>291</v>
      </c>
      <c r="D167" s="7">
        <v>3.7</v>
      </c>
      <c r="E167" s="14" t="s">
        <v>211</v>
      </c>
    </row>
    <row r="168" spans="1:7">
      <c r="A168" s="45" t="str">
        <f>IF(COUNTIF($B$2:B168,B168)=1,"ok","dup")</f>
        <v>ok</v>
      </c>
      <c r="B168" s="45" t="str">
        <f t="shared" si="2"/>
        <v>Callicebus_torquatus3.9</v>
      </c>
      <c r="C168" s="6" t="s">
        <v>292</v>
      </c>
      <c r="D168" s="7">
        <v>3.9</v>
      </c>
      <c r="E168" s="14" t="s">
        <v>216</v>
      </c>
      <c r="F168" s="14" t="s">
        <v>284</v>
      </c>
    </row>
    <row r="169" spans="1:7">
      <c r="A169" s="45" t="str">
        <f>IF(COUNTIF($B$2:B169,B169)=1,"ok","dup")</f>
        <v>ok</v>
      </c>
      <c r="B169" s="45" t="str">
        <f t="shared" si="2"/>
        <v>Callicebus_torquatus3</v>
      </c>
      <c r="C169" s="6" t="s">
        <v>292</v>
      </c>
      <c r="D169" s="7">
        <v>3</v>
      </c>
      <c r="E169" s="14" t="s">
        <v>212</v>
      </c>
    </row>
    <row r="170" spans="1:7">
      <c r="A170" s="45" t="str">
        <f>IF(COUNTIF($B$2:B170,B170)=1,"ok","dup")</f>
        <v>ok</v>
      </c>
      <c r="B170" s="45" t="str">
        <f t="shared" si="2"/>
        <v>Callicebus_torquatus3.4</v>
      </c>
      <c r="C170" s="6" t="s">
        <v>292</v>
      </c>
      <c r="D170" s="7">
        <v>3.4</v>
      </c>
      <c r="E170" s="14" t="s">
        <v>212</v>
      </c>
    </row>
    <row r="171" spans="1:7">
      <c r="A171" s="45" t="str">
        <f>IF(COUNTIF($B$2:B171,B171)=1,"ok","dup")</f>
        <v>ok</v>
      </c>
      <c r="B171" s="45" t="str">
        <f t="shared" si="2"/>
        <v>Callicebus_torquatus4</v>
      </c>
      <c r="C171" s="6" t="s">
        <v>292</v>
      </c>
      <c r="D171" s="7">
        <v>4</v>
      </c>
      <c r="E171" s="14" t="s">
        <v>218</v>
      </c>
      <c r="F171" s="14" t="s">
        <v>293</v>
      </c>
    </row>
    <row r="172" spans="1:7">
      <c r="A172" s="45" t="str">
        <f>IF(COUNTIF($B$2:B172,B172)=1,"ok","dup")</f>
        <v>dup</v>
      </c>
      <c r="B172" s="45" t="str">
        <f t="shared" si="2"/>
        <v>Callicebus_torquatus4</v>
      </c>
      <c r="C172" s="6" t="s">
        <v>292</v>
      </c>
      <c r="D172" s="7">
        <v>4</v>
      </c>
      <c r="E172" s="14" t="s">
        <v>211</v>
      </c>
    </row>
    <row r="173" spans="1:7">
      <c r="A173" s="45" t="str">
        <f>IF(COUNTIF($B$2:B173,B173)=1,"ok","dup")</f>
        <v>ok</v>
      </c>
      <c r="B173" s="45" t="str">
        <f t="shared" si="2"/>
        <v>Callimico_goeldii6</v>
      </c>
      <c r="C173" s="6" t="s">
        <v>50</v>
      </c>
      <c r="D173" s="7">
        <v>6</v>
      </c>
      <c r="E173" s="14" t="s">
        <v>212</v>
      </c>
    </row>
    <row r="174" spans="1:7">
      <c r="A174" s="45" t="str">
        <f>IF(COUNTIF($B$2:B174,B174)=1,"ok","dup")</f>
        <v>ok</v>
      </c>
      <c r="B174" s="45" t="str">
        <f t="shared" si="2"/>
        <v>Callimico_goeldii8.5</v>
      </c>
      <c r="C174" s="6" t="s">
        <v>50</v>
      </c>
      <c r="D174" s="7">
        <v>8.5</v>
      </c>
      <c r="E174" s="14" t="s">
        <v>212</v>
      </c>
    </row>
    <row r="175" spans="1:7">
      <c r="A175" s="45" t="str">
        <f>IF(COUNTIF($B$2:B175,B175)=1,"ok","dup")</f>
        <v>ok</v>
      </c>
      <c r="B175" s="45" t="str">
        <f t="shared" si="2"/>
        <v>Callimico_goeldii5</v>
      </c>
      <c r="C175" s="6" t="s">
        <v>50</v>
      </c>
      <c r="D175" s="7">
        <v>5</v>
      </c>
      <c r="E175" s="14" t="s">
        <v>211</v>
      </c>
    </row>
    <row r="176" spans="1:7">
      <c r="A176" s="45" t="str">
        <f>IF(COUNTIF($B$2:B176,B176)=1,"ok","dup")</f>
        <v>ok</v>
      </c>
      <c r="B176" s="45" t="str">
        <f t="shared" si="2"/>
        <v>Callithrix_argentata6.2</v>
      </c>
      <c r="C176" s="6" t="s">
        <v>294</v>
      </c>
      <c r="D176" s="7">
        <v>6.1999999999999993</v>
      </c>
      <c r="E176" s="14" t="s">
        <v>295</v>
      </c>
    </row>
    <row r="177" spans="1:7">
      <c r="A177" s="45" t="str">
        <f>IF(COUNTIF($B$2:B177,B177)=1,"ok","dup")</f>
        <v>ok</v>
      </c>
      <c r="B177" s="45" t="str">
        <f t="shared" si="2"/>
        <v>Callithrix_geoffroyi9</v>
      </c>
      <c r="C177" s="6" t="s">
        <v>296</v>
      </c>
      <c r="D177" s="7">
        <v>9</v>
      </c>
      <c r="E177" s="14" t="s">
        <v>211</v>
      </c>
    </row>
    <row r="178" spans="1:7">
      <c r="A178" s="45" t="str">
        <f>IF(COUNTIF($B$2:B178,B178)=1,"ok","dup")</f>
        <v>ok</v>
      </c>
      <c r="B178" s="45" t="str">
        <f t="shared" si="2"/>
        <v>Callithrix_humeralifera11.5</v>
      </c>
      <c r="C178" s="6" t="s">
        <v>297</v>
      </c>
      <c r="D178" s="7">
        <v>11.5</v>
      </c>
      <c r="E178" s="14" t="s">
        <v>211</v>
      </c>
    </row>
    <row r="179" spans="1:7">
      <c r="A179" s="45" t="str">
        <f>IF(COUNTIF($B$2:B179,B179)=1,"ok","dup")</f>
        <v>ok</v>
      </c>
      <c r="B179" s="45" t="str">
        <f t="shared" si="2"/>
        <v>Callithrix_jacchus8.9</v>
      </c>
      <c r="C179" s="6" t="s">
        <v>51</v>
      </c>
      <c r="D179" s="7">
        <v>8.9</v>
      </c>
      <c r="E179" s="14" t="s">
        <v>211</v>
      </c>
    </row>
    <row r="180" spans="1:7">
      <c r="A180" s="45" t="str">
        <f>IF(COUNTIF($B$2:B180,B180)=1,"ok","dup")</f>
        <v>ok</v>
      </c>
      <c r="B180" s="45" t="str">
        <f t="shared" si="2"/>
        <v>Callithrix_jacchus10</v>
      </c>
      <c r="C180" s="6" t="s">
        <v>51</v>
      </c>
      <c r="D180" s="7">
        <v>10</v>
      </c>
      <c r="E180" s="14" t="s">
        <v>220</v>
      </c>
      <c r="F180" s="14" t="s">
        <v>298</v>
      </c>
    </row>
    <row r="181" spans="1:7">
      <c r="A181" s="45" t="str">
        <f>IF(COUNTIF($B$2:B181,B181)=1,"ok","dup")</f>
        <v>dup</v>
      </c>
      <c r="B181" s="45" t="str">
        <f t="shared" si="2"/>
        <v>Callithrix_jacchus10</v>
      </c>
      <c r="C181" s="6" t="s">
        <v>51</v>
      </c>
      <c r="D181" s="7">
        <v>10</v>
      </c>
      <c r="E181" s="14" t="s">
        <v>220</v>
      </c>
      <c r="F181" s="14" t="s">
        <v>299</v>
      </c>
    </row>
    <row r="182" spans="1:7">
      <c r="A182" s="45" t="str">
        <f>IF(COUNTIF($B$2:B182,B182)=1,"ok","dup")</f>
        <v>ok</v>
      </c>
      <c r="B182" s="45" t="str">
        <f t="shared" si="2"/>
        <v>Callithrix_jacchus11</v>
      </c>
      <c r="C182" s="6" t="s">
        <v>51</v>
      </c>
      <c r="D182" s="7">
        <v>11</v>
      </c>
      <c r="E182" s="14" t="s">
        <v>220</v>
      </c>
      <c r="F182" s="14" t="s">
        <v>298</v>
      </c>
    </row>
    <row r="183" spans="1:7">
      <c r="A183" s="45" t="str">
        <f>IF(COUNTIF($B$2:B183,B183)=1,"ok","dup")</f>
        <v>dup</v>
      </c>
      <c r="B183" s="45" t="str">
        <f t="shared" si="2"/>
        <v>Callithrix_jacchus11</v>
      </c>
      <c r="C183" s="6" t="s">
        <v>51</v>
      </c>
      <c r="D183" s="7">
        <v>11</v>
      </c>
      <c r="E183" s="14" t="s">
        <v>220</v>
      </c>
      <c r="F183" s="14" t="s">
        <v>299</v>
      </c>
    </row>
    <row r="184" spans="1:7">
      <c r="A184" s="45" t="str">
        <f>IF(COUNTIF($B$2:B184,B184)=1,"ok","dup")</f>
        <v>ok</v>
      </c>
      <c r="B184" s="45" t="str">
        <f t="shared" si="2"/>
        <v>Callithrix_jacchus12</v>
      </c>
      <c r="C184" s="6" t="s">
        <v>51</v>
      </c>
      <c r="D184" s="7">
        <v>12</v>
      </c>
      <c r="E184" s="14" t="s">
        <v>220</v>
      </c>
      <c r="F184" s="14" t="s">
        <v>300</v>
      </c>
    </row>
    <row r="185" spans="1:7">
      <c r="A185" s="45" t="str">
        <f>IF(COUNTIF($B$2:B185,B185)=1,"ok","dup")</f>
        <v>dup</v>
      </c>
      <c r="B185" s="45" t="str">
        <f t="shared" si="2"/>
        <v>Callithrix_jacchus12</v>
      </c>
      <c r="C185" s="6" t="s">
        <v>51</v>
      </c>
      <c r="D185" s="7">
        <v>12</v>
      </c>
      <c r="E185" s="14" t="s">
        <v>220</v>
      </c>
      <c r="F185" s="14" t="s">
        <v>300</v>
      </c>
    </row>
    <row r="186" spans="1:7">
      <c r="A186" s="45" t="str">
        <f>IF(COUNTIF($B$2:B186,B186)=1,"ok","dup")</f>
        <v>ok</v>
      </c>
      <c r="B186" s="45" t="str">
        <f t="shared" si="2"/>
        <v>Callithrix_jacchus3</v>
      </c>
      <c r="C186" s="6" t="s">
        <v>51</v>
      </c>
      <c r="D186" s="7">
        <v>3</v>
      </c>
      <c r="E186" s="14" t="s">
        <v>220</v>
      </c>
      <c r="F186" s="14" t="s">
        <v>301</v>
      </c>
      <c r="G186" s="6" t="s">
        <v>222</v>
      </c>
    </row>
    <row r="187" spans="1:7">
      <c r="A187" s="45" t="str">
        <f>IF(COUNTIF($B$2:B187,B187)=1,"ok","dup")</f>
        <v>dup</v>
      </c>
      <c r="B187" s="45" t="str">
        <f t="shared" si="2"/>
        <v>Callithrix_jacchus3</v>
      </c>
      <c r="C187" s="6" t="s">
        <v>51</v>
      </c>
      <c r="D187" s="7">
        <v>3</v>
      </c>
      <c r="E187" s="14" t="s">
        <v>220</v>
      </c>
      <c r="F187" s="14" t="s">
        <v>299</v>
      </c>
      <c r="G187" s="6" t="s">
        <v>222</v>
      </c>
    </row>
    <row r="188" spans="1:7">
      <c r="A188" s="45" t="str">
        <f>IF(COUNTIF($B$2:B188,B188)=1,"ok","dup")</f>
        <v>ok</v>
      </c>
      <c r="B188" s="45" t="str">
        <f t="shared" si="2"/>
        <v>Callithrix_jacchus5</v>
      </c>
      <c r="C188" s="6" t="s">
        <v>51</v>
      </c>
      <c r="D188" s="7">
        <v>5</v>
      </c>
      <c r="E188" s="14" t="s">
        <v>220</v>
      </c>
      <c r="F188" s="14" t="s">
        <v>299</v>
      </c>
      <c r="G188" s="6" t="s">
        <v>222</v>
      </c>
    </row>
    <row r="189" spans="1:7">
      <c r="A189" s="45" t="str">
        <f>IF(COUNTIF($B$2:B189,B189)=1,"ok","dup")</f>
        <v>dup</v>
      </c>
      <c r="B189" s="45" t="str">
        <f t="shared" si="2"/>
        <v>Callithrix_jacchus5</v>
      </c>
      <c r="C189" s="6" t="s">
        <v>51</v>
      </c>
      <c r="D189" s="7">
        <v>5</v>
      </c>
      <c r="E189" s="14" t="s">
        <v>220</v>
      </c>
      <c r="F189" s="14" t="s">
        <v>298</v>
      </c>
    </row>
    <row r="190" spans="1:7">
      <c r="A190" s="45" t="str">
        <f>IF(COUNTIF($B$2:B190,B190)=1,"ok","dup")</f>
        <v>ok</v>
      </c>
      <c r="B190" s="45" t="str">
        <f t="shared" si="2"/>
        <v>Callithrix_jacchus6</v>
      </c>
      <c r="C190" s="6" t="s">
        <v>51</v>
      </c>
      <c r="D190" s="7">
        <v>6</v>
      </c>
      <c r="E190" s="14" t="s">
        <v>220</v>
      </c>
      <c r="F190" s="14" t="s">
        <v>300</v>
      </c>
    </row>
    <row r="191" spans="1:7">
      <c r="A191" s="45" t="str">
        <f>IF(COUNTIF($B$2:B191,B191)=1,"ok","dup")</f>
        <v>ok</v>
      </c>
      <c r="B191" s="45" t="str">
        <f t="shared" si="2"/>
        <v>Callithrix_jacchus7</v>
      </c>
      <c r="C191" s="6" t="s">
        <v>51</v>
      </c>
      <c r="D191" s="7">
        <v>7</v>
      </c>
      <c r="E191" s="14" t="s">
        <v>220</v>
      </c>
      <c r="F191" s="14" t="s">
        <v>301</v>
      </c>
      <c r="G191" s="6" t="s">
        <v>222</v>
      </c>
    </row>
    <row r="192" spans="1:7">
      <c r="A192" s="45" t="str">
        <f>IF(COUNTIF($B$2:B192,B192)=1,"ok","dup")</f>
        <v>ok</v>
      </c>
      <c r="B192" s="45" t="str">
        <f t="shared" si="2"/>
        <v>Callithrix_jacchus8</v>
      </c>
      <c r="C192" s="6" t="s">
        <v>51</v>
      </c>
      <c r="D192" s="7">
        <v>8</v>
      </c>
      <c r="E192" s="14" t="s">
        <v>220</v>
      </c>
      <c r="F192" s="14" t="s">
        <v>300</v>
      </c>
    </row>
    <row r="193" spans="1:6">
      <c r="A193" s="45" t="str">
        <f>IF(COUNTIF($B$2:B193,B193)=1,"ok","dup")</f>
        <v>ok</v>
      </c>
      <c r="B193" s="45" t="str">
        <f t="shared" si="2"/>
        <v>Callithrix_penicillata6.6</v>
      </c>
      <c r="C193" s="6" t="s">
        <v>302</v>
      </c>
      <c r="D193" s="7">
        <v>6.6</v>
      </c>
      <c r="E193" s="14" t="s">
        <v>211</v>
      </c>
    </row>
    <row r="194" spans="1:6">
      <c r="A194" s="45" t="str">
        <f>IF(COUNTIF($B$2:B194,B194)=1,"ok","dup")</f>
        <v>ok</v>
      </c>
      <c r="B194" s="45" t="str">
        <f t="shared" ref="B194:B257" si="3">C194&amp;D194</f>
        <v>Callithrix_pygmaea6</v>
      </c>
      <c r="C194" s="6" t="s">
        <v>52</v>
      </c>
      <c r="D194" s="7">
        <v>6</v>
      </c>
      <c r="E194" s="14" t="s">
        <v>212</v>
      </c>
    </row>
    <row r="195" spans="1:6">
      <c r="A195" s="45" t="str">
        <f>IF(COUNTIF($B$2:B195,B195)=1,"ok","dup")</f>
        <v>ok</v>
      </c>
      <c r="B195" s="45" t="str">
        <f t="shared" si="3"/>
        <v>Callithrix_pygmaea6.4</v>
      </c>
      <c r="C195" s="6" t="s">
        <v>52</v>
      </c>
      <c r="D195" s="7">
        <v>6.4</v>
      </c>
      <c r="E195" s="14" t="s">
        <v>211</v>
      </c>
    </row>
    <row r="196" spans="1:6">
      <c r="A196" s="45" t="str">
        <f>IF(COUNTIF($B$2:B196,B196)=1,"ok","dup")</f>
        <v>ok</v>
      </c>
      <c r="B196" s="45" t="str">
        <f t="shared" si="3"/>
        <v>Callithrix_pygmaea3</v>
      </c>
      <c r="C196" s="6" t="s">
        <v>52</v>
      </c>
      <c r="D196" s="7">
        <v>3</v>
      </c>
      <c r="E196" s="14" t="s">
        <v>220</v>
      </c>
      <c r="F196" s="14" t="s">
        <v>303</v>
      </c>
    </row>
    <row r="197" spans="1:6">
      <c r="A197" s="45" t="str">
        <f>IF(COUNTIF($B$2:B197,B197)=1,"ok","dup")</f>
        <v>dup</v>
      </c>
      <c r="B197" s="45" t="str">
        <f t="shared" si="3"/>
        <v>Callithrix_pygmaea3</v>
      </c>
      <c r="C197" s="6" t="s">
        <v>52</v>
      </c>
      <c r="D197" s="7">
        <v>3</v>
      </c>
      <c r="E197" s="14" t="s">
        <v>220</v>
      </c>
      <c r="F197" s="14" t="s">
        <v>303</v>
      </c>
    </row>
    <row r="198" spans="1:6">
      <c r="A198" s="45" t="str">
        <f>IF(COUNTIF($B$2:B198,B198)=1,"ok","dup")</f>
        <v>dup</v>
      </c>
      <c r="B198" s="45" t="str">
        <f t="shared" si="3"/>
        <v>Callithrix_pygmaea3</v>
      </c>
      <c r="C198" s="6" t="s">
        <v>52</v>
      </c>
      <c r="D198" s="7">
        <v>3</v>
      </c>
      <c r="E198" s="14" t="s">
        <v>220</v>
      </c>
      <c r="F198" s="14" t="s">
        <v>303</v>
      </c>
    </row>
    <row r="199" spans="1:6">
      <c r="A199" s="45" t="str">
        <f>IF(COUNTIF($B$2:B199,B199)=1,"ok","dup")</f>
        <v>ok</v>
      </c>
      <c r="B199" s="45" t="str">
        <f t="shared" si="3"/>
        <v>Callithrix_pygmaea4</v>
      </c>
      <c r="C199" s="6" t="s">
        <v>52</v>
      </c>
      <c r="D199" s="7">
        <v>4</v>
      </c>
      <c r="E199" s="14" t="s">
        <v>220</v>
      </c>
      <c r="F199" s="14" t="s">
        <v>304</v>
      </c>
    </row>
    <row r="200" spans="1:6">
      <c r="A200" s="45" t="str">
        <f>IF(COUNTIF($B$2:B200,B200)=1,"ok","dup")</f>
        <v>dup</v>
      </c>
      <c r="B200" s="45" t="str">
        <f t="shared" si="3"/>
        <v>Callithrix_pygmaea4</v>
      </c>
      <c r="C200" s="6" t="s">
        <v>52</v>
      </c>
      <c r="D200" s="7">
        <v>4</v>
      </c>
      <c r="E200" s="14" t="s">
        <v>220</v>
      </c>
      <c r="F200" s="14" t="s">
        <v>303</v>
      </c>
    </row>
    <row r="201" spans="1:6">
      <c r="A201" s="45" t="str">
        <f>IF(COUNTIF($B$2:B201,B201)=1,"ok","dup")</f>
        <v>dup</v>
      </c>
      <c r="B201" s="45" t="str">
        <f t="shared" si="3"/>
        <v>Callithrix_pygmaea4</v>
      </c>
      <c r="C201" s="6" t="s">
        <v>52</v>
      </c>
      <c r="D201" s="7">
        <v>4</v>
      </c>
      <c r="E201" s="14" t="s">
        <v>220</v>
      </c>
      <c r="F201" s="14" t="s">
        <v>303</v>
      </c>
    </row>
    <row r="202" spans="1:6">
      <c r="A202" s="45" t="str">
        <f>IF(COUNTIF($B$2:B202,B202)=1,"ok","dup")</f>
        <v>ok</v>
      </c>
      <c r="B202" s="45" t="str">
        <f t="shared" si="3"/>
        <v>Callithrix_pygmaea5</v>
      </c>
      <c r="C202" s="6" t="s">
        <v>52</v>
      </c>
      <c r="D202" s="7">
        <v>5</v>
      </c>
      <c r="E202" s="14" t="s">
        <v>220</v>
      </c>
      <c r="F202" s="14" t="s">
        <v>303</v>
      </c>
    </row>
    <row r="203" spans="1:6">
      <c r="A203" s="45" t="str">
        <f>IF(COUNTIF($B$2:B203,B203)=1,"ok","dup")</f>
        <v>dup</v>
      </c>
      <c r="B203" s="45" t="str">
        <f t="shared" si="3"/>
        <v>Callithrix_pygmaea5</v>
      </c>
      <c r="C203" s="6" t="s">
        <v>52</v>
      </c>
      <c r="D203" s="7">
        <v>5</v>
      </c>
      <c r="E203" s="14" t="s">
        <v>220</v>
      </c>
      <c r="F203" s="14" t="s">
        <v>303</v>
      </c>
    </row>
    <row r="204" spans="1:6">
      <c r="A204" s="45" t="str">
        <f>IF(COUNTIF($B$2:B204,B204)=1,"ok","dup")</f>
        <v>dup</v>
      </c>
      <c r="B204" s="45" t="str">
        <f t="shared" si="3"/>
        <v>Callithrix_pygmaea5</v>
      </c>
      <c r="C204" s="6" t="s">
        <v>52</v>
      </c>
      <c r="D204" s="7">
        <v>5</v>
      </c>
      <c r="E204" s="14" t="s">
        <v>220</v>
      </c>
      <c r="F204" s="14" t="s">
        <v>303</v>
      </c>
    </row>
    <row r="205" spans="1:6">
      <c r="A205" s="45" t="str">
        <f>IF(COUNTIF($B$2:B205,B205)=1,"ok","dup")</f>
        <v>dup</v>
      </c>
      <c r="B205" s="45" t="str">
        <f t="shared" si="3"/>
        <v>Callithrix_pygmaea6</v>
      </c>
      <c r="C205" s="6" t="s">
        <v>52</v>
      </c>
      <c r="D205" s="7">
        <v>6</v>
      </c>
      <c r="E205" s="14" t="s">
        <v>220</v>
      </c>
      <c r="F205" s="14" t="s">
        <v>303</v>
      </c>
    </row>
    <row r="206" spans="1:6">
      <c r="A206" s="45" t="str">
        <f>IF(COUNTIF($B$2:B206,B206)=1,"ok","dup")</f>
        <v>dup</v>
      </c>
      <c r="B206" s="45" t="str">
        <f t="shared" si="3"/>
        <v>Callithrix_pygmaea6</v>
      </c>
      <c r="C206" s="6" t="s">
        <v>52</v>
      </c>
      <c r="D206" s="7">
        <v>6</v>
      </c>
      <c r="E206" s="14" t="s">
        <v>220</v>
      </c>
      <c r="F206" s="14" t="s">
        <v>303</v>
      </c>
    </row>
    <row r="207" spans="1:6">
      <c r="A207" s="45" t="str">
        <f>IF(COUNTIF($B$2:B207,B207)=1,"ok","dup")</f>
        <v>dup</v>
      </c>
      <c r="B207" s="45" t="str">
        <f t="shared" si="3"/>
        <v>Callithrix_pygmaea6</v>
      </c>
      <c r="C207" s="6" t="s">
        <v>52</v>
      </c>
      <c r="D207" s="7">
        <v>6</v>
      </c>
      <c r="E207" s="14" t="s">
        <v>220</v>
      </c>
      <c r="F207" s="14" t="s">
        <v>303</v>
      </c>
    </row>
    <row r="208" spans="1:6">
      <c r="A208" s="45" t="str">
        <f>IF(COUNTIF($B$2:B208,B208)=1,"ok","dup")</f>
        <v>dup</v>
      </c>
      <c r="B208" s="45" t="str">
        <f t="shared" si="3"/>
        <v>Callithrix_pygmaea6</v>
      </c>
      <c r="C208" s="6" t="s">
        <v>52</v>
      </c>
      <c r="D208" s="7">
        <v>6</v>
      </c>
      <c r="E208" s="14" t="s">
        <v>220</v>
      </c>
      <c r="F208" s="14" t="s">
        <v>303</v>
      </c>
    </row>
    <row r="209" spans="1:6">
      <c r="A209" s="45" t="str">
        <f>IF(COUNTIF($B$2:B209,B209)=1,"ok","dup")</f>
        <v>dup</v>
      </c>
      <c r="B209" s="45" t="str">
        <f t="shared" si="3"/>
        <v>Callithrix_pygmaea6</v>
      </c>
      <c r="C209" s="6" t="s">
        <v>52</v>
      </c>
      <c r="D209" s="7">
        <v>6</v>
      </c>
      <c r="E209" s="14" t="s">
        <v>220</v>
      </c>
      <c r="F209" s="14" t="s">
        <v>303</v>
      </c>
    </row>
    <row r="210" spans="1:6">
      <c r="A210" s="45" t="str">
        <f>IF(COUNTIF($B$2:B210,B210)=1,"ok","dup")</f>
        <v>ok</v>
      </c>
      <c r="B210" s="45" t="str">
        <f t="shared" si="3"/>
        <v>Callithrix_pygmaea7</v>
      </c>
      <c r="C210" s="6" t="s">
        <v>52</v>
      </c>
      <c r="D210" s="7">
        <v>7</v>
      </c>
      <c r="E210" s="14" t="s">
        <v>220</v>
      </c>
      <c r="F210" s="14" t="s">
        <v>303</v>
      </c>
    </row>
    <row r="211" spans="1:6">
      <c r="A211" s="45" t="str">
        <f>IF(COUNTIF($B$2:B211,B211)=1,"ok","dup")</f>
        <v>ok</v>
      </c>
      <c r="B211" s="45" t="str">
        <f t="shared" si="3"/>
        <v>Callithrix_pygmaea8</v>
      </c>
      <c r="C211" s="6" t="s">
        <v>52</v>
      </c>
      <c r="D211" s="7">
        <v>8</v>
      </c>
      <c r="E211" s="14" t="s">
        <v>220</v>
      </c>
      <c r="F211" s="14" t="s">
        <v>305</v>
      </c>
    </row>
    <row r="212" spans="1:6">
      <c r="A212" s="45" t="str">
        <f>IF(COUNTIF($B$2:B212,B212)=1,"ok","dup")</f>
        <v>dup</v>
      </c>
      <c r="B212" s="45" t="str">
        <f t="shared" si="3"/>
        <v>Callithrix_pygmaea8</v>
      </c>
      <c r="C212" s="6" t="s">
        <v>52</v>
      </c>
      <c r="D212" s="7">
        <v>8</v>
      </c>
      <c r="E212" s="14" t="s">
        <v>220</v>
      </c>
      <c r="F212" s="14" t="s">
        <v>303</v>
      </c>
    </row>
    <row r="213" spans="1:6">
      <c r="A213" s="45" t="str">
        <f>IF(COUNTIF($B$2:B213,B213)=1,"ok","dup")</f>
        <v>dup</v>
      </c>
      <c r="B213" s="45" t="str">
        <f t="shared" si="3"/>
        <v>Callithrix_pygmaea8</v>
      </c>
      <c r="C213" s="6" t="s">
        <v>52</v>
      </c>
      <c r="D213" s="7">
        <v>8</v>
      </c>
      <c r="E213" s="14" t="s">
        <v>220</v>
      </c>
      <c r="F213" s="14" t="s">
        <v>303</v>
      </c>
    </row>
    <row r="214" spans="1:6">
      <c r="A214" s="45" t="str">
        <f>IF(COUNTIF($B$2:B214,B214)=1,"ok","dup")</f>
        <v>ok</v>
      </c>
      <c r="B214" s="45" t="str">
        <f t="shared" si="3"/>
        <v>Cebus_albifrons15</v>
      </c>
      <c r="C214" s="6" t="s">
        <v>53</v>
      </c>
      <c r="D214" s="7">
        <v>15</v>
      </c>
      <c r="E214" s="14" t="s">
        <v>216</v>
      </c>
      <c r="F214" s="14" t="s">
        <v>306</v>
      </c>
    </row>
    <row r="215" spans="1:6">
      <c r="A215" s="45" t="str">
        <f>IF(COUNTIF($B$2:B215,B215)=1,"ok","dup")</f>
        <v>ok</v>
      </c>
      <c r="B215" s="45" t="str">
        <f t="shared" si="3"/>
        <v>Cebus_albifrons14.5</v>
      </c>
      <c r="C215" s="6" t="s">
        <v>53</v>
      </c>
      <c r="D215" s="7">
        <v>14.5</v>
      </c>
      <c r="E215" s="14" t="s">
        <v>212</v>
      </c>
    </row>
    <row r="216" spans="1:6">
      <c r="A216" s="45" t="str">
        <f>IF(COUNTIF($B$2:B216,B216)=1,"ok","dup")</f>
        <v>dup</v>
      </c>
      <c r="B216" s="45" t="str">
        <f t="shared" si="3"/>
        <v>Cebus_albifrons15</v>
      </c>
      <c r="C216" s="6" t="s">
        <v>53</v>
      </c>
      <c r="D216" s="7">
        <v>15</v>
      </c>
      <c r="E216" s="14" t="s">
        <v>212</v>
      </c>
    </row>
    <row r="217" spans="1:6">
      <c r="A217" s="45" t="str">
        <f>IF(COUNTIF($B$2:B217,B217)=1,"ok","dup")</f>
        <v>ok</v>
      </c>
      <c r="B217" s="45" t="str">
        <f t="shared" si="3"/>
        <v>Cebus_albifrons35</v>
      </c>
      <c r="C217" s="6" t="s">
        <v>53</v>
      </c>
      <c r="D217" s="7">
        <v>35</v>
      </c>
      <c r="E217" s="14" t="s">
        <v>212</v>
      </c>
    </row>
    <row r="218" spans="1:6">
      <c r="A218" s="45" t="str">
        <f>IF(COUNTIF($B$2:B218,B218)=1,"ok","dup")</f>
        <v>dup</v>
      </c>
      <c r="B218" s="45" t="str">
        <f t="shared" si="3"/>
        <v>Cebus_albifrons15</v>
      </c>
      <c r="C218" s="6" t="s">
        <v>53</v>
      </c>
      <c r="D218" s="7">
        <v>15</v>
      </c>
      <c r="E218" s="14" t="s">
        <v>218</v>
      </c>
      <c r="F218" s="14" t="s">
        <v>307</v>
      </c>
    </row>
    <row r="219" spans="1:6">
      <c r="A219" s="45" t="str">
        <f>IF(COUNTIF($B$2:B219,B219)=1,"ok","dup")</f>
        <v>ok</v>
      </c>
      <c r="B219" s="45" t="str">
        <f t="shared" si="3"/>
        <v>Cebus_albifrons20</v>
      </c>
      <c r="C219" s="6" t="s">
        <v>53</v>
      </c>
      <c r="D219" s="7">
        <v>20</v>
      </c>
      <c r="E219" s="14" t="s">
        <v>211</v>
      </c>
    </row>
    <row r="220" spans="1:6">
      <c r="A220" s="45" t="str">
        <f>IF(COUNTIF($B$2:B220,B220)=1,"ok","dup")</f>
        <v>ok</v>
      </c>
      <c r="B220" s="45" t="str">
        <f t="shared" si="3"/>
        <v>Cebus_apella10</v>
      </c>
      <c r="C220" s="6" t="s">
        <v>54</v>
      </c>
      <c r="D220" s="7">
        <v>10</v>
      </c>
      <c r="E220" s="14" t="s">
        <v>216</v>
      </c>
      <c r="F220" s="14" t="s">
        <v>264</v>
      </c>
    </row>
    <row r="221" spans="1:6">
      <c r="A221" s="45" t="str">
        <f>IF(COUNTIF($B$2:B221,B221)=1,"ok","dup")</f>
        <v>dup</v>
      </c>
      <c r="B221" s="45" t="str">
        <f t="shared" si="3"/>
        <v>Cebus_apella10</v>
      </c>
      <c r="C221" s="6" t="s">
        <v>54</v>
      </c>
      <c r="D221" s="7">
        <v>10</v>
      </c>
      <c r="E221" s="14" t="s">
        <v>212</v>
      </c>
    </row>
    <row r="222" spans="1:6">
      <c r="A222" s="45" t="str">
        <f>IF(COUNTIF($B$2:B222,B222)=1,"ok","dup")</f>
        <v>ok</v>
      </c>
      <c r="B222" s="45" t="str">
        <f t="shared" si="3"/>
        <v>Cebus_apella16</v>
      </c>
      <c r="C222" s="6" t="s">
        <v>54</v>
      </c>
      <c r="D222" s="7">
        <v>16</v>
      </c>
      <c r="E222" s="14" t="s">
        <v>212</v>
      </c>
    </row>
    <row r="223" spans="1:6">
      <c r="A223" s="45" t="str">
        <f>IF(COUNTIF($B$2:B223,B223)=1,"ok","dup")</f>
        <v>ok</v>
      </c>
      <c r="B223" s="45" t="str">
        <f t="shared" si="3"/>
        <v>Cebus_apella16.3</v>
      </c>
      <c r="C223" s="6" t="s">
        <v>54</v>
      </c>
      <c r="D223" s="7">
        <v>16.3</v>
      </c>
      <c r="E223" s="14" t="s">
        <v>212</v>
      </c>
    </row>
    <row r="224" spans="1:6">
      <c r="A224" s="45" t="str">
        <f>IF(COUNTIF($B$2:B224,B224)=1,"ok","dup")</f>
        <v>dup</v>
      </c>
      <c r="B224" s="45" t="str">
        <f t="shared" si="3"/>
        <v>Cebus_apella10</v>
      </c>
      <c r="C224" s="6" t="s">
        <v>54</v>
      </c>
      <c r="D224" s="7">
        <v>10</v>
      </c>
      <c r="E224" s="14" t="s">
        <v>218</v>
      </c>
      <c r="F224" s="14" t="s">
        <v>307</v>
      </c>
    </row>
    <row r="225" spans="1:7">
      <c r="A225" s="45" t="str">
        <f>IF(COUNTIF($B$2:B225,B225)=1,"ok","dup")</f>
        <v>ok</v>
      </c>
      <c r="B225" s="45" t="str">
        <f t="shared" si="3"/>
        <v>Cebus_apella11</v>
      </c>
      <c r="C225" s="6" t="s">
        <v>54</v>
      </c>
      <c r="D225" s="7">
        <v>11</v>
      </c>
      <c r="E225" s="14" t="s">
        <v>211</v>
      </c>
    </row>
    <row r="226" spans="1:7">
      <c r="A226" s="45" t="str">
        <f>IF(COUNTIF($B$2:B226,B226)=1,"ok","dup")</f>
        <v>ok</v>
      </c>
      <c r="B226" s="45" t="str">
        <f t="shared" si="3"/>
        <v>Cebus_apella7</v>
      </c>
      <c r="C226" s="6" t="s">
        <v>54</v>
      </c>
      <c r="D226" s="7">
        <v>7</v>
      </c>
      <c r="E226" s="14" t="s">
        <v>214</v>
      </c>
      <c r="F226" s="14" t="s">
        <v>308</v>
      </c>
    </row>
    <row r="227" spans="1:7">
      <c r="A227" s="45" t="str">
        <f>IF(COUNTIF($B$2:B227,B227)=1,"ok","dup")</f>
        <v>ok</v>
      </c>
      <c r="B227" s="45" t="str">
        <f t="shared" si="3"/>
        <v>Cebus_capucinus17.5</v>
      </c>
      <c r="C227" s="6" t="s">
        <v>309</v>
      </c>
      <c r="D227" s="7">
        <v>17.5</v>
      </c>
      <c r="E227" s="14" t="s">
        <v>216</v>
      </c>
      <c r="F227" s="14" t="s">
        <v>264</v>
      </c>
    </row>
    <row r="228" spans="1:7">
      <c r="A228" s="45" t="str">
        <f>IF(COUNTIF($B$2:B228,B228)=1,"ok","dup")</f>
        <v>ok</v>
      </c>
      <c r="B228" s="45" t="str">
        <f t="shared" si="3"/>
        <v>Cebus_capucinus13</v>
      </c>
      <c r="C228" s="6" t="s">
        <v>309</v>
      </c>
      <c r="D228" s="7">
        <v>13</v>
      </c>
      <c r="E228" s="14" t="s">
        <v>212</v>
      </c>
    </row>
    <row r="229" spans="1:7">
      <c r="A229" s="45" t="str">
        <f>IF(COUNTIF($B$2:B229,B229)=1,"ok","dup")</f>
        <v>ok</v>
      </c>
      <c r="B229" s="45" t="str">
        <f t="shared" si="3"/>
        <v>Cebus_capucinus15</v>
      </c>
      <c r="C229" s="6" t="s">
        <v>309</v>
      </c>
      <c r="D229" s="7">
        <v>15</v>
      </c>
      <c r="E229" s="14" t="s">
        <v>212</v>
      </c>
    </row>
    <row r="230" spans="1:7">
      <c r="A230" s="45" t="str">
        <f>IF(COUNTIF($B$2:B230,B230)=1,"ok","dup")</f>
        <v>dup</v>
      </c>
      <c r="B230" s="45" t="str">
        <f t="shared" si="3"/>
        <v>Cebus_capucinus17.5</v>
      </c>
      <c r="C230" s="6" t="s">
        <v>309</v>
      </c>
      <c r="D230" s="7">
        <v>17.5</v>
      </c>
      <c r="E230" s="14" t="s">
        <v>212</v>
      </c>
    </row>
    <row r="231" spans="1:7">
      <c r="A231" s="45" t="str">
        <f>IF(COUNTIF($B$2:B231,B231)=1,"ok","dup")</f>
        <v>ok</v>
      </c>
      <c r="B231" s="45" t="str">
        <f t="shared" si="3"/>
        <v>Cebus_capucinus10</v>
      </c>
      <c r="C231" s="6" t="s">
        <v>309</v>
      </c>
      <c r="D231" s="7">
        <v>10</v>
      </c>
      <c r="E231" s="14" t="s">
        <v>213</v>
      </c>
    </row>
    <row r="232" spans="1:7">
      <c r="A232" s="45" t="str">
        <f>IF(COUNTIF($B$2:B232,B232)=1,"ok","dup")</f>
        <v>dup</v>
      </c>
      <c r="B232" s="45" t="str">
        <f t="shared" si="3"/>
        <v>Cebus_capucinus15</v>
      </c>
      <c r="C232" s="6" t="s">
        <v>309</v>
      </c>
      <c r="D232" s="7">
        <v>15</v>
      </c>
      <c r="E232" s="14" t="s">
        <v>211</v>
      </c>
    </row>
    <row r="233" spans="1:7">
      <c r="A233" s="45" t="str">
        <f>IF(COUNTIF($B$2:B233,B233)=1,"ok","dup")</f>
        <v>dup</v>
      </c>
      <c r="B233" s="45" t="str">
        <f t="shared" si="3"/>
        <v>Cebus_capucinus10</v>
      </c>
      <c r="C233" s="6" t="s">
        <v>309</v>
      </c>
      <c r="D233" s="7">
        <v>10</v>
      </c>
      <c r="E233" s="14" t="s">
        <v>220</v>
      </c>
      <c r="F233" s="14" t="s">
        <v>310</v>
      </c>
      <c r="G233" s="6" t="s">
        <v>235</v>
      </c>
    </row>
    <row r="234" spans="1:7">
      <c r="A234" s="45" t="str">
        <f>IF(COUNTIF($B$2:B234,B234)=1,"ok","dup")</f>
        <v>dup</v>
      </c>
      <c r="B234" s="45" t="str">
        <f t="shared" si="3"/>
        <v>Cebus_capucinus10</v>
      </c>
      <c r="C234" s="6" t="s">
        <v>309</v>
      </c>
      <c r="D234" s="7">
        <v>10</v>
      </c>
      <c r="E234" s="14" t="s">
        <v>220</v>
      </c>
      <c r="F234" s="14" t="s">
        <v>311</v>
      </c>
    </row>
    <row r="235" spans="1:7">
      <c r="A235" s="45" t="str">
        <f>IF(COUNTIF($B$2:B235,B235)=1,"ok","dup")</f>
        <v>dup</v>
      </c>
      <c r="B235" s="45" t="str">
        <f t="shared" si="3"/>
        <v>Cebus_capucinus13</v>
      </c>
      <c r="C235" s="6" t="s">
        <v>309</v>
      </c>
      <c r="D235" s="7">
        <v>13</v>
      </c>
      <c r="E235" s="14" t="s">
        <v>220</v>
      </c>
      <c r="F235" s="14" t="s">
        <v>311</v>
      </c>
    </row>
    <row r="236" spans="1:7">
      <c r="A236" s="45" t="str">
        <f>IF(COUNTIF($B$2:B236,B236)=1,"ok","dup")</f>
        <v>dup</v>
      </c>
      <c r="B236" s="45" t="str">
        <f t="shared" si="3"/>
        <v>Cebus_capucinus15</v>
      </c>
      <c r="C236" s="6" t="s">
        <v>309</v>
      </c>
      <c r="D236" s="7">
        <v>15</v>
      </c>
      <c r="E236" s="14" t="s">
        <v>220</v>
      </c>
      <c r="F236" s="14" t="s">
        <v>311</v>
      </c>
    </row>
    <row r="237" spans="1:7">
      <c r="A237" s="45" t="str">
        <f>IF(COUNTIF($B$2:B237,B237)=1,"ok","dup")</f>
        <v>ok</v>
      </c>
      <c r="B237" s="45" t="str">
        <f t="shared" si="3"/>
        <v>Cebus_capucinus16</v>
      </c>
      <c r="C237" s="6" t="s">
        <v>309</v>
      </c>
      <c r="D237" s="7">
        <v>16</v>
      </c>
      <c r="E237" s="14" t="s">
        <v>220</v>
      </c>
      <c r="F237" s="14" t="s">
        <v>312</v>
      </c>
    </row>
    <row r="238" spans="1:7">
      <c r="A238" s="45" t="str">
        <f>IF(COUNTIF($B$2:B238,B238)=1,"ok","dup")</f>
        <v>dup</v>
      </c>
      <c r="B238" s="45" t="str">
        <f t="shared" si="3"/>
        <v>Cebus_capucinus16</v>
      </c>
      <c r="C238" s="6" t="s">
        <v>309</v>
      </c>
      <c r="D238" s="7">
        <v>16</v>
      </c>
      <c r="E238" s="14" t="s">
        <v>220</v>
      </c>
      <c r="F238" s="14" t="s">
        <v>311</v>
      </c>
    </row>
    <row r="239" spans="1:7">
      <c r="A239" s="45" t="str">
        <f>IF(COUNTIF($B$2:B239,B239)=1,"ok","dup")</f>
        <v>ok</v>
      </c>
      <c r="B239" s="45" t="str">
        <f t="shared" si="3"/>
        <v>Cebus_capucinus17</v>
      </c>
      <c r="C239" s="6" t="s">
        <v>309</v>
      </c>
      <c r="D239" s="7">
        <v>17</v>
      </c>
      <c r="E239" s="14" t="s">
        <v>220</v>
      </c>
      <c r="F239" s="14" t="s">
        <v>313</v>
      </c>
    </row>
    <row r="240" spans="1:7">
      <c r="A240" s="45" t="str">
        <f>IF(COUNTIF($B$2:B240,B240)=1,"ok","dup")</f>
        <v>dup</v>
      </c>
      <c r="B240" s="45" t="str">
        <f t="shared" si="3"/>
        <v>Cebus_capucinus17.5</v>
      </c>
      <c r="C240" s="6" t="s">
        <v>309</v>
      </c>
      <c r="D240" s="7">
        <v>17.5</v>
      </c>
      <c r="E240" s="14" t="s">
        <v>220</v>
      </c>
      <c r="F240" s="14" t="s">
        <v>314</v>
      </c>
      <c r="G240" s="6" t="s">
        <v>228</v>
      </c>
    </row>
    <row r="241" spans="1:7">
      <c r="A241" s="45" t="str">
        <f>IF(COUNTIF($B$2:B241,B241)=1,"ok","dup")</f>
        <v>ok</v>
      </c>
      <c r="B241" s="45" t="str">
        <f t="shared" si="3"/>
        <v>Cebus_capucinus20</v>
      </c>
      <c r="C241" s="6" t="s">
        <v>309</v>
      </c>
      <c r="D241" s="7">
        <v>20</v>
      </c>
      <c r="E241" s="14" t="s">
        <v>220</v>
      </c>
      <c r="F241" s="14" t="s">
        <v>313</v>
      </c>
    </row>
    <row r="242" spans="1:7">
      <c r="A242" s="45" t="str">
        <f>IF(COUNTIF($B$2:B242,B242)=1,"ok","dup")</f>
        <v>ok</v>
      </c>
      <c r="B242" s="45" t="str">
        <f t="shared" si="3"/>
        <v>Cebus_capucinus21</v>
      </c>
      <c r="C242" s="6" t="s">
        <v>309</v>
      </c>
      <c r="D242" s="7">
        <v>21</v>
      </c>
      <c r="E242" s="14" t="s">
        <v>220</v>
      </c>
      <c r="F242" s="14" t="s">
        <v>313</v>
      </c>
    </row>
    <row r="243" spans="1:7">
      <c r="A243" s="45" t="str">
        <f>IF(COUNTIF($B$2:B243,B243)=1,"ok","dup")</f>
        <v>ok</v>
      </c>
      <c r="B243" s="45" t="str">
        <f t="shared" si="3"/>
        <v>Cebus_capucinus26</v>
      </c>
      <c r="C243" s="6" t="s">
        <v>309</v>
      </c>
      <c r="D243" s="7">
        <v>26</v>
      </c>
      <c r="E243" s="14" t="s">
        <v>220</v>
      </c>
      <c r="F243" s="14" t="s">
        <v>312</v>
      </c>
    </row>
    <row r="244" spans="1:7">
      <c r="A244" s="45" t="str">
        <f>IF(COUNTIF($B$2:B244,B244)=1,"ok","dup")</f>
        <v>dup</v>
      </c>
      <c r="B244" s="45" t="str">
        <f t="shared" si="3"/>
        <v>Cebus_capucinus26</v>
      </c>
      <c r="C244" s="6" t="s">
        <v>309</v>
      </c>
      <c r="D244" s="7">
        <v>26</v>
      </c>
      <c r="E244" s="14" t="s">
        <v>220</v>
      </c>
      <c r="F244" s="14" t="s">
        <v>311</v>
      </c>
    </row>
    <row r="245" spans="1:7">
      <c r="A245" s="45" t="str">
        <f>IF(COUNTIF($B$2:B245,B245)=1,"ok","dup")</f>
        <v>ok</v>
      </c>
      <c r="B245" s="45" t="str">
        <f t="shared" si="3"/>
        <v>Cebus_capucinus27</v>
      </c>
      <c r="C245" s="6" t="s">
        <v>309</v>
      </c>
      <c r="D245" s="7">
        <v>27</v>
      </c>
      <c r="E245" s="14" t="s">
        <v>220</v>
      </c>
      <c r="F245" s="14" t="s">
        <v>311</v>
      </c>
    </row>
    <row r="246" spans="1:7">
      <c r="A246" s="45" t="str">
        <f>IF(COUNTIF($B$2:B246,B246)=1,"ok","dup")</f>
        <v>dup</v>
      </c>
      <c r="B246" s="45" t="str">
        <f t="shared" si="3"/>
        <v>Cebus_capucinus27</v>
      </c>
      <c r="C246" s="6" t="s">
        <v>309</v>
      </c>
      <c r="D246" s="7">
        <v>27</v>
      </c>
      <c r="E246" s="14" t="s">
        <v>220</v>
      </c>
      <c r="F246" s="14" t="s">
        <v>311</v>
      </c>
    </row>
    <row r="247" spans="1:7">
      <c r="A247" s="45" t="str">
        <f>IF(COUNTIF($B$2:B247,B247)=1,"ok","dup")</f>
        <v>ok</v>
      </c>
      <c r="B247" s="45" t="str">
        <f t="shared" si="3"/>
        <v>Cebus_capucinus30</v>
      </c>
      <c r="C247" s="6" t="s">
        <v>309</v>
      </c>
      <c r="D247" s="7">
        <v>30</v>
      </c>
      <c r="E247" s="14" t="s">
        <v>220</v>
      </c>
      <c r="F247" s="14" t="s">
        <v>311</v>
      </c>
    </row>
    <row r="248" spans="1:7">
      <c r="A248" s="45" t="str">
        <f>IF(COUNTIF($B$2:B248,B248)=1,"ok","dup")</f>
        <v>ok</v>
      </c>
      <c r="B248" s="45" t="str">
        <f t="shared" si="3"/>
        <v>Cebus_capucinus31</v>
      </c>
      <c r="C248" s="6" t="s">
        <v>309</v>
      </c>
      <c r="D248" s="7">
        <v>31</v>
      </c>
      <c r="E248" s="14" t="s">
        <v>220</v>
      </c>
      <c r="F248" s="14" t="s">
        <v>311</v>
      </c>
    </row>
    <row r="249" spans="1:7">
      <c r="A249" s="45" t="str">
        <f>IF(COUNTIF($B$2:B249,B249)=1,"ok","dup")</f>
        <v>dup</v>
      </c>
      <c r="B249" s="45" t="str">
        <f t="shared" si="3"/>
        <v>Cebus_capucinus31</v>
      </c>
      <c r="C249" s="6" t="s">
        <v>309</v>
      </c>
      <c r="D249" s="7">
        <v>31</v>
      </c>
      <c r="E249" s="14" t="s">
        <v>220</v>
      </c>
      <c r="F249" s="14" t="s">
        <v>311</v>
      </c>
    </row>
    <row r="250" spans="1:7">
      <c r="A250" s="45" t="str">
        <f>IF(COUNTIF($B$2:B250,B250)=1,"ok","dup")</f>
        <v>ok</v>
      </c>
      <c r="B250" s="45" t="str">
        <f t="shared" si="3"/>
        <v>Cebus_capucinus5</v>
      </c>
      <c r="C250" s="6" t="s">
        <v>309</v>
      </c>
      <c r="D250" s="7">
        <v>5</v>
      </c>
      <c r="E250" s="14" t="s">
        <v>220</v>
      </c>
      <c r="F250" s="14" t="s">
        <v>311</v>
      </c>
    </row>
    <row r="251" spans="1:7">
      <c r="A251" s="45" t="str">
        <f>IF(COUNTIF($B$2:B251,B251)=1,"ok","dup")</f>
        <v>ok</v>
      </c>
      <c r="B251" s="45" t="str">
        <f t="shared" si="3"/>
        <v>Cebus_capucinus6</v>
      </c>
      <c r="C251" s="6" t="s">
        <v>309</v>
      </c>
      <c r="D251" s="7">
        <v>6</v>
      </c>
      <c r="E251" s="14" t="s">
        <v>220</v>
      </c>
      <c r="F251" s="14" t="s">
        <v>315</v>
      </c>
      <c r="G251" s="6" t="s">
        <v>222</v>
      </c>
    </row>
    <row r="252" spans="1:7">
      <c r="A252" s="45" t="str">
        <f>IF(COUNTIF($B$2:B252,B252)=1,"ok","dup")</f>
        <v>ok</v>
      </c>
      <c r="B252" s="45" t="str">
        <f t="shared" si="3"/>
        <v>Cebus_capucinus8</v>
      </c>
      <c r="C252" s="6" t="s">
        <v>309</v>
      </c>
      <c r="D252" s="7">
        <v>8</v>
      </c>
      <c r="E252" s="14" t="s">
        <v>220</v>
      </c>
      <c r="F252" s="14" t="s">
        <v>311</v>
      </c>
    </row>
    <row r="253" spans="1:7">
      <c r="A253" s="45" t="str">
        <f>IF(COUNTIF($B$2:B253,B253)=1,"ok","dup")</f>
        <v>ok</v>
      </c>
      <c r="B253" s="45" t="str">
        <f t="shared" si="3"/>
        <v>Cebus_capucinus9</v>
      </c>
      <c r="C253" s="6" t="s">
        <v>309</v>
      </c>
      <c r="D253" s="7">
        <v>9</v>
      </c>
      <c r="E253" s="14" t="s">
        <v>220</v>
      </c>
      <c r="F253" s="14" t="s">
        <v>315</v>
      </c>
      <c r="G253" s="6" t="s">
        <v>222</v>
      </c>
    </row>
    <row r="254" spans="1:7">
      <c r="A254" s="45" t="str">
        <f>IF(COUNTIF($B$2:B254,B254)=1,"ok","dup")</f>
        <v>ok</v>
      </c>
      <c r="B254" s="45" t="str">
        <f t="shared" si="3"/>
        <v>Cebus_olivaceus20</v>
      </c>
      <c r="C254" s="6" t="s">
        <v>316</v>
      </c>
      <c r="D254" s="7">
        <v>20</v>
      </c>
      <c r="E254" s="14" t="s">
        <v>216</v>
      </c>
      <c r="F254" s="14" t="s">
        <v>317</v>
      </c>
    </row>
    <row r="255" spans="1:7">
      <c r="A255" s="45" t="str">
        <f>IF(COUNTIF($B$2:B255,B255)=1,"ok","dup")</f>
        <v>ok</v>
      </c>
      <c r="B255" s="45" t="str">
        <f t="shared" si="3"/>
        <v>Cebus_olivaceus18.3</v>
      </c>
      <c r="C255" s="6" t="s">
        <v>316</v>
      </c>
      <c r="D255" s="7">
        <v>18.3</v>
      </c>
      <c r="E255" s="14" t="s">
        <v>212</v>
      </c>
    </row>
    <row r="256" spans="1:7">
      <c r="A256" s="45" t="str">
        <f>IF(COUNTIF($B$2:B256,B256)=1,"ok","dup")</f>
        <v>dup</v>
      </c>
      <c r="B256" s="45" t="str">
        <f t="shared" si="3"/>
        <v>Cebus_olivaceus20</v>
      </c>
      <c r="C256" s="6" t="s">
        <v>316</v>
      </c>
      <c r="D256" s="7">
        <v>20</v>
      </c>
      <c r="E256" s="14" t="s">
        <v>212</v>
      </c>
    </row>
    <row r="257" spans="1:6">
      <c r="A257" s="45" t="str">
        <f>IF(COUNTIF($B$2:B257,B257)=1,"ok","dup")</f>
        <v>ok</v>
      </c>
      <c r="B257" s="45" t="str">
        <f t="shared" si="3"/>
        <v>Cebus_olivaceus19.3</v>
      </c>
      <c r="C257" s="6" t="s">
        <v>316</v>
      </c>
      <c r="D257" s="7">
        <v>19.3</v>
      </c>
      <c r="E257" s="14" t="s">
        <v>218</v>
      </c>
      <c r="F257" s="14" t="s">
        <v>318</v>
      </c>
    </row>
    <row r="258" spans="1:6">
      <c r="A258" s="45" t="str">
        <f>IF(COUNTIF($B$2:B258,B258)=1,"ok","dup")</f>
        <v>ok</v>
      </c>
      <c r="B258" s="45" t="str">
        <f t="shared" ref="B258:B321" si="4">C258&amp;D258</f>
        <v>Cebus_olivaceus33</v>
      </c>
      <c r="C258" s="6" t="s">
        <v>316</v>
      </c>
      <c r="D258" s="7">
        <v>33</v>
      </c>
      <c r="E258" s="14" t="s">
        <v>213</v>
      </c>
    </row>
    <row r="259" spans="1:6">
      <c r="A259" s="45" t="str">
        <f>IF(COUNTIF($B$2:B259,B259)=1,"ok","dup")</f>
        <v>ok</v>
      </c>
      <c r="B259" s="45" t="str">
        <f t="shared" si="4"/>
        <v>Cebus_olivaceus21.5</v>
      </c>
      <c r="C259" s="6" t="s">
        <v>316</v>
      </c>
      <c r="D259" s="7">
        <v>21.5</v>
      </c>
      <c r="E259" s="14" t="s">
        <v>211</v>
      </c>
    </row>
    <row r="260" spans="1:6">
      <c r="A260" s="45" t="str">
        <f>IF(COUNTIF($B$2:B260,B260)=1,"ok","dup")</f>
        <v>ok</v>
      </c>
      <c r="B260" s="45" t="str">
        <f t="shared" si="4"/>
        <v>Cercocebus_agilis15</v>
      </c>
      <c r="C260" s="6" t="s">
        <v>56</v>
      </c>
      <c r="D260" s="7">
        <v>15</v>
      </c>
      <c r="E260" s="14" t="s">
        <v>145</v>
      </c>
    </row>
    <row r="261" spans="1:6">
      <c r="A261" s="45" t="str">
        <f>IF(COUNTIF($B$2:B261,B261)=1,"ok","dup")</f>
        <v>ok</v>
      </c>
      <c r="B261" s="45" t="str">
        <f t="shared" si="4"/>
        <v>Cercocebus_galeritus19</v>
      </c>
      <c r="C261" s="6" t="s">
        <v>319</v>
      </c>
      <c r="D261" s="7">
        <v>19</v>
      </c>
      <c r="E261" s="14" t="s">
        <v>216</v>
      </c>
      <c r="F261" s="14" t="s">
        <v>320</v>
      </c>
    </row>
    <row r="262" spans="1:6">
      <c r="A262" s="45" t="str">
        <f>IF(COUNTIF($B$2:B262,B262)=1,"ok","dup")</f>
        <v>ok</v>
      </c>
      <c r="B262" s="45" t="str">
        <f t="shared" si="4"/>
        <v>Cercocebus_galeritus10.5</v>
      </c>
      <c r="C262" s="6" t="s">
        <v>319</v>
      </c>
      <c r="D262" s="7">
        <v>10.5</v>
      </c>
      <c r="E262" s="14" t="s">
        <v>212</v>
      </c>
    </row>
    <row r="263" spans="1:6">
      <c r="A263" s="45" t="str">
        <f>IF(COUNTIF($B$2:B263,B263)=1,"ok","dup")</f>
        <v>ok</v>
      </c>
      <c r="B263" s="45" t="str">
        <f t="shared" si="4"/>
        <v>Cercocebus_galeritus26</v>
      </c>
      <c r="C263" s="6" t="s">
        <v>319</v>
      </c>
      <c r="D263" s="7">
        <v>26</v>
      </c>
      <c r="E263" s="14" t="s">
        <v>212</v>
      </c>
    </row>
    <row r="264" spans="1:6">
      <c r="A264" s="45" t="str">
        <f>IF(COUNTIF($B$2:B264,B264)=1,"ok","dup")</f>
        <v>ok</v>
      </c>
      <c r="B264" s="45" t="str">
        <f t="shared" si="4"/>
        <v>Cercocebus_galeritus27</v>
      </c>
      <c r="C264" s="6" t="s">
        <v>319</v>
      </c>
      <c r="D264" s="7">
        <v>27</v>
      </c>
      <c r="E264" s="14" t="s">
        <v>218</v>
      </c>
      <c r="F264" s="14" t="s">
        <v>321</v>
      </c>
    </row>
    <row r="265" spans="1:6">
      <c r="A265" s="45" t="str">
        <f>IF(COUNTIF($B$2:B265,B265)=1,"ok","dup")</f>
        <v>dup</v>
      </c>
      <c r="B265" s="45" t="str">
        <f t="shared" si="4"/>
        <v>Cercocebus_galeritus26</v>
      </c>
      <c r="C265" s="6" t="s">
        <v>319</v>
      </c>
      <c r="D265" s="7">
        <v>26</v>
      </c>
      <c r="E265" s="14" t="s">
        <v>213</v>
      </c>
    </row>
    <row r="266" spans="1:6">
      <c r="A266" s="45" t="str">
        <f>IF(COUNTIF($B$2:B266,B266)=1,"ok","dup")</f>
        <v>ok</v>
      </c>
      <c r="B266" s="45" t="str">
        <f t="shared" si="4"/>
        <v>Cercocebus_galeritus26.5</v>
      </c>
      <c r="C266" s="6" t="s">
        <v>319</v>
      </c>
      <c r="D266" s="7">
        <v>26.5</v>
      </c>
      <c r="E266" s="14" t="s">
        <v>211</v>
      </c>
    </row>
    <row r="267" spans="1:6">
      <c r="A267" s="45" t="str">
        <f>IF(COUNTIF($B$2:B267,B267)=1,"ok","dup")</f>
        <v>ok</v>
      </c>
      <c r="B267" s="45" t="str">
        <f t="shared" si="4"/>
        <v>Cercocebus_torquatus18.5</v>
      </c>
      <c r="C267" s="6" t="s">
        <v>322</v>
      </c>
      <c r="D267" s="7">
        <v>18.5</v>
      </c>
      <c r="E267" s="14" t="s">
        <v>212</v>
      </c>
    </row>
    <row r="268" spans="1:6">
      <c r="A268" s="45" t="str">
        <f>IF(COUNTIF($B$2:B268,B268)=1,"ok","dup")</f>
        <v>ok</v>
      </c>
      <c r="B268" s="45" t="str">
        <f t="shared" si="4"/>
        <v>Cercocebus_torquatus35</v>
      </c>
      <c r="C268" s="6" t="s">
        <v>322</v>
      </c>
      <c r="D268" s="7">
        <v>35</v>
      </c>
      <c r="E268" s="14" t="s">
        <v>212</v>
      </c>
    </row>
    <row r="269" spans="1:6">
      <c r="A269" s="45" t="str">
        <f>IF(COUNTIF($B$2:B269,B269)=1,"ok","dup")</f>
        <v>ok</v>
      </c>
      <c r="B269" s="45" t="str">
        <f t="shared" si="4"/>
        <v>Cercocebus_torquatus37</v>
      </c>
      <c r="C269" s="6" t="s">
        <v>322</v>
      </c>
      <c r="D269" s="7">
        <v>37</v>
      </c>
      <c r="E269" s="14" t="s">
        <v>211</v>
      </c>
    </row>
    <row r="270" spans="1:6">
      <c r="A270" s="45" t="str">
        <f>IF(COUNTIF($B$2:B270,B270)=1,"ok","dup")</f>
        <v>ok</v>
      </c>
      <c r="B270" s="45" t="str">
        <f t="shared" si="4"/>
        <v>Cercocebus_torquatus_atys95</v>
      </c>
      <c r="C270" s="6" t="s">
        <v>57</v>
      </c>
      <c r="D270" s="7">
        <v>95</v>
      </c>
      <c r="E270" s="14" t="s">
        <v>211</v>
      </c>
    </row>
    <row r="271" spans="1:6">
      <c r="A271" s="45" t="str">
        <f>IF(COUNTIF($B$2:B271,B271)=1,"ok","dup")</f>
        <v>ok</v>
      </c>
      <c r="B271" s="45" t="str">
        <f t="shared" si="4"/>
        <v>Cercopithecus_ascanius26.3</v>
      </c>
      <c r="C271" s="6" t="s">
        <v>58</v>
      </c>
      <c r="D271" s="7">
        <v>26.3</v>
      </c>
      <c r="E271" s="14" t="s">
        <v>216</v>
      </c>
      <c r="F271" s="14" t="s">
        <v>323</v>
      </c>
    </row>
    <row r="272" spans="1:6">
      <c r="A272" s="45" t="str">
        <f>IF(COUNTIF($B$2:B272,B272)=1,"ok","dup")</f>
        <v>ok</v>
      </c>
      <c r="B272" s="45" t="str">
        <f t="shared" si="4"/>
        <v>Cercopithecus_ascanius32.5</v>
      </c>
      <c r="C272" s="6" t="s">
        <v>58</v>
      </c>
      <c r="D272" s="7">
        <v>32.5</v>
      </c>
      <c r="E272" s="14" t="s">
        <v>216</v>
      </c>
      <c r="F272" s="14" t="s">
        <v>323</v>
      </c>
    </row>
    <row r="273" spans="1:7">
      <c r="A273" s="45" t="str">
        <f>IF(COUNTIF($B$2:B273,B273)=1,"ok","dup")</f>
        <v>ok</v>
      </c>
      <c r="B273" s="45" t="str">
        <f t="shared" si="4"/>
        <v>Cercopithecus_ascanius20</v>
      </c>
      <c r="C273" s="6" t="s">
        <v>58</v>
      </c>
      <c r="D273" s="7">
        <v>20</v>
      </c>
      <c r="E273" s="14" t="s">
        <v>212</v>
      </c>
    </row>
    <row r="274" spans="1:7">
      <c r="A274" s="45" t="str">
        <f>IF(COUNTIF($B$2:B274,B274)=1,"ok","dup")</f>
        <v>ok</v>
      </c>
      <c r="B274" s="45" t="str">
        <f t="shared" si="4"/>
        <v>Cercopithecus_ascanius22</v>
      </c>
      <c r="C274" s="6" t="s">
        <v>58</v>
      </c>
      <c r="D274" s="7">
        <v>22</v>
      </c>
      <c r="E274" s="14" t="s">
        <v>212</v>
      </c>
    </row>
    <row r="275" spans="1:7">
      <c r="A275" s="45" t="str">
        <f>IF(COUNTIF($B$2:B275,B275)=1,"ok","dup")</f>
        <v>ok</v>
      </c>
      <c r="B275" s="45" t="str">
        <f t="shared" si="4"/>
        <v>Cercopithecus_ascanius23</v>
      </c>
      <c r="C275" s="6" t="s">
        <v>58</v>
      </c>
      <c r="D275" s="7">
        <v>23</v>
      </c>
      <c r="E275" s="14" t="s">
        <v>212</v>
      </c>
    </row>
    <row r="276" spans="1:7">
      <c r="A276" s="45" t="str">
        <f>IF(COUNTIF($B$2:B276,B276)=1,"ok","dup")</f>
        <v>dup</v>
      </c>
      <c r="B276" s="45" t="str">
        <f t="shared" si="4"/>
        <v>Cercopithecus_ascanius32.5</v>
      </c>
      <c r="C276" s="6" t="s">
        <v>58</v>
      </c>
      <c r="D276" s="7">
        <v>32.5</v>
      </c>
      <c r="E276" s="14" t="s">
        <v>212</v>
      </c>
    </row>
    <row r="277" spans="1:7">
      <c r="A277" s="45" t="str">
        <f>IF(COUNTIF($B$2:B277,B277)=1,"ok","dup")</f>
        <v>ok</v>
      </c>
      <c r="B277" s="45" t="str">
        <f t="shared" si="4"/>
        <v>Cercopithecus_ascanius33</v>
      </c>
      <c r="C277" s="6" t="s">
        <v>58</v>
      </c>
      <c r="D277" s="7">
        <v>33</v>
      </c>
      <c r="E277" s="14" t="s">
        <v>212</v>
      </c>
    </row>
    <row r="278" spans="1:7">
      <c r="A278" s="45" t="str">
        <f>IF(COUNTIF($B$2:B278,B278)=1,"ok","dup")</f>
        <v>ok</v>
      </c>
      <c r="B278" s="45" t="str">
        <f t="shared" si="4"/>
        <v>Cercopithecus_ascanius34</v>
      </c>
      <c r="C278" s="6" t="s">
        <v>58</v>
      </c>
      <c r="D278" s="7">
        <v>34</v>
      </c>
      <c r="E278" s="14" t="s">
        <v>212</v>
      </c>
    </row>
    <row r="279" spans="1:7">
      <c r="A279" s="45" t="str">
        <f>IF(COUNTIF($B$2:B279,B279)=1,"ok","dup")</f>
        <v>ok</v>
      </c>
      <c r="B279" s="45" t="str">
        <f t="shared" si="4"/>
        <v>Cercopithecus_ascanius37.5</v>
      </c>
      <c r="C279" s="6" t="s">
        <v>58</v>
      </c>
      <c r="D279" s="7">
        <v>37.5</v>
      </c>
      <c r="E279" s="14" t="s">
        <v>212</v>
      </c>
    </row>
    <row r="280" spans="1:7">
      <c r="A280" s="45" t="str">
        <f>IF(COUNTIF($B$2:B280,B280)=1,"ok","dup")</f>
        <v>dup</v>
      </c>
      <c r="B280" s="45" t="str">
        <f t="shared" si="4"/>
        <v>Cercopithecus_ascanius32.5</v>
      </c>
      <c r="C280" s="6" t="s">
        <v>58</v>
      </c>
      <c r="D280" s="7">
        <v>32.5</v>
      </c>
      <c r="E280" s="14" t="s">
        <v>218</v>
      </c>
      <c r="F280" s="14" t="s">
        <v>324</v>
      </c>
    </row>
    <row r="281" spans="1:7">
      <c r="A281" s="45" t="str">
        <f>IF(COUNTIF($B$2:B281,B281)=1,"ok","dup")</f>
        <v>ok</v>
      </c>
      <c r="B281" s="45" t="str">
        <f t="shared" si="4"/>
        <v>Cercopithecus_ascanius21</v>
      </c>
      <c r="C281" s="6" t="s">
        <v>58</v>
      </c>
      <c r="D281" s="7">
        <v>21</v>
      </c>
      <c r="E281" s="14" t="s">
        <v>211</v>
      </c>
    </row>
    <row r="282" spans="1:7">
      <c r="A282" s="45" t="str">
        <f>IF(COUNTIF($B$2:B282,B282)=1,"ok","dup")</f>
        <v>ok</v>
      </c>
      <c r="B282" s="45" t="str">
        <f t="shared" si="4"/>
        <v>Cercopithecus_ascanius14</v>
      </c>
      <c r="C282" s="6" t="s">
        <v>58</v>
      </c>
      <c r="D282" s="7">
        <v>14</v>
      </c>
      <c r="E282" s="14" t="s">
        <v>220</v>
      </c>
      <c r="F282" s="14" t="s">
        <v>325</v>
      </c>
    </row>
    <row r="283" spans="1:7">
      <c r="A283" s="45" t="str">
        <f>IF(COUNTIF($B$2:B283,B283)=1,"ok","dup")</f>
        <v>ok</v>
      </c>
      <c r="B283" s="45" t="str">
        <f t="shared" si="4"/>
        <v>Cercopithecus_ascanius16</v>
      </c>
      <c r="C283" s="6" t="s">
        <v>58</v>
      </c>
      <c r="D283" s="7">
        <v>16</v>
      </c>
      <c r="E283" s="14" t="s">
        <v>220</v>
      </c>
      <c r="F283" s="14" t="s">
        <v>325</v>
      </c>
    </row>
    <row r="284" spans="1:7">
      <c r="A284" s="45" t="str">
        <f>IF(COUNTIF($B$2:B284,B284)=1,"ok","dup")</f>
        <v>ok</v>
      </c>
      <c r="B284" s="45" t="str">
        <f t="shared" si="4"/>
        <v>Cercopithecus_ascanius17</v>
      </c>
      <c r="C284" s="6" t="s">
        <v>58</v>
      </c>
      <c r="D284" s="7">
        <v>17</v>
      </c>
      <c r="E284" s="14" t="s">
        <v>220</v>
      </c>
      <c r="F284" s="14" t="s">
        <v>326</v>
      </c>
    </row>
    <row r="285" spans="1:7">
      <c r="A285" s="45" t="str">
        <f>IF(COUNTIF($B$2:B285,B285)=1,"ok","dup")</f>
        <v>dup</v>
      </c>
      <c r="B285" s="45" t="str">
        <f t="shared" si="4"/>
        <v>Cercopithecus_ascanius22</v>
      </c>
      <c r="C285" s="6" t="s">
        <v>58</v>
      </c>
      <c r="D285" s="7">
        <v>22</v>
      </c>
      <c r="E285" s="14" t="s">
        <v>220</v>
      </c>
      <c r="F285" s="14" t="s">
        <v>323</v>
      </c>
    </row>
    <row r="286" spans="1:7">
      <c r="A286" s="45" t="str">
        <f>IF(COUNTIF($B$2:B286,B286)=1,"ok","dup")</f>
        <v>ok</v>
      </c>
      <c r="B286" s="45" t="str">
        <f t="shared" si="4"/>
        <v>Cercopithecus_ascanius24</v>
      </c>
      <c r="C286" s="6" t="s">
        <v>58</v>
      </c>
      <c r="D286" s="7">
        <v>24</v>
      </c>
      <c r="E286" s="14" t="s">
        <v>220</v>
      </c>
      <c r="F286" s="14" t="s">
        <v>325</v>
      </c>
    </row>
    <row r="287" spans="1:7">
      <c r="A287" s="45" t="str">
        <f>IF(COUNTIF($B$2:B287,B287)=1,"ok","dup")</f>
        <v>dup</v>
      </c>
      <c r="B287" s="45" t="str">
        <f t="shared" si="4"/>
        <v>Cercopithecus_ascanius26.3</v>
      </c>
      <c r="C287" s="6" t="s">
        <v>58</v>
      </c>
      <c r="D287" s="7">
        <v>26.3</v>
      </c>
      <c r="E287" s="14" t="s">
        <v>220</v>
      </c>
      <c r="F287" s="14" t="s">
        <v>327</v>
      </c>
      <c r="G287" s="6" t="s">
        <v>228</v>
      </c>
    </row>
    <row r="288" spans="1:7">
      <c r="A288" s="45" t="str">
        <f>IF(COUNTIF($B$2:B288,B288)=1,"ok","dup")</f>
        <v>ok</v>
      </c>
      <c r="B288" s="45" t="str">
        <f t="shared" si="4"/>
        <v>Cercopithecus_ascanius31</v>
      </c>
      <c r="C288" s="6" t="s">
        <v>58</v>
      </c>
      <c r="D288" s="7">
        <v>31</v>
      </c>
      <c r="E288" s="14" t="s">
        <v>220</v>
      </c>
      <c r="F288" s="14" t="s">
        <v>325</v>
      </c>
    </row>
    <row r="289" spans="1:7">
      <c r="A289" s="45" t="str">
        <f>IF(COUNTIF($B$2:B289,B289)=1,"ok","dup")</f>
        <v>dup</v>
      </c>
      <c r="B289" s="45" t="str">
        <f t="shared" si="4"/>
        <v>Cercopithecus_ascanius32.5</v>
      </c>
      <c r="C289" s="6" t="s">
        <v>58</v>
      </c>
      <c r="D289" s="7">
        <v>32.5</v>
      </c>
      <c r="E289" s="14" t="s">
        <v>220</v>
      </c>
      <c r="F289" s="14" t="s">
        <v>327</v>
      </c>
      <c r="G289" s="6" t="s">
        <v>228</v>
      </c>
    </row>
    <row r="290" spans="1:7">
      <c r="A290" s="45" t="str">
        <f>IF(COUNTIF($B$2:B290,B290)=1,"ok","dup")</f>
        <v>ok</v>
      </c>
      <c r="B290" s="45" t="str">
        <f t="shared" si="4"/>
        <v>Cercopithecus_ascanius34.4</v>
      </c>
      <c r="C290" s="6" t="s">
        <v>58</v>
      </c>
      <c r="D290" s="7">
        <v>34.4</v>
      </c>
      <c r="E290" s="14" t="s">
        <v>220</v>
      </c>
      <c r="F290" s="14" t="s">
        <v>328</v>
      </c>
      <c r="G290" s="6" t="s">
        <v>226</v>
      </c>
    </row>
    <row r="291" spans="1:7">
      <c r="A291" s="45" t="str">
        <f>IF(COUNTIF($B$2:B291,B291)=1,"ok","dup")</f>
        <v>ok</v>
      </c>
      <c r="B291" s="45" t="str">
        <f t="shared" si="4"/>
        <v>Cercopithecus_ascanius35</v>
      </c>
      <c r="C291" s="6" t="s">
        <v>58</v>
      </c>
      <c r="D291" s="7">
        <v>35</v>
      </c>
      <c r="E291" s="14" t="s">
        <v>220</v>
      </c>
      <c r="F291" s="14" t="s">
        <v>329</v>
      </c>
      <c r="G291" s="6" t="s">
        <v>330</v>
      </c>
    </row>
    <row r="292" spans="1:7">
      <c r="A292" s="45" t="str">
        <f>IF(COUNTIF($B$2:B292,B292)=1,"ok","dup")</f>
        <v>ok</v>
      </c>
      <c r="B292" s="45" t="str">
        <f t="shared" si="4"/>
        <v>Cercopithecus_campbelli10.5</v>
      </c>
      <c r="C292" s="6" t="s">
        <v>331</v>
      </c>
      <c r="D292" s="7">
        <v>10.5</v>
      </c>
      <c r="E292" s="14" t="s">
        <v>212</v>
      </c>
    </row>
    <row r="293" spans="1:7">
      <c r="A293" s="45" t="str">
        <f>IF(COUNTIF($B$2:B293,B293)=1,"ok","dup")</f>
        <v>ok</v>
      </c>
      <c r="B293" s="45" t="str">
        <f t="shared" si="4"/>
        <v>Cercopithecus_campbelli9</v>
      </c>
      <c r="C293" s="6" t="s">
        <v>331</v>
      </c>
      <c r="D293" s="7">
        <v>9</v>
      </c>
      <c r="E293" s="14" t="s">
        <v>213</v>
      </c>
    </row>
    <row r="294" spans="1:7">
      <c r="A294" s="45" t="str">
        <f>IF(COUNTIF($B$2:B294,B294)=1,"ok","dup")</f>
        <v>ok</v>
      </c>
      <c r="B294" s="45" t="str">
        <f t="shared" si="4"/>
        <v>Cercopithecus_campbelli14</v>
      </c>
      <c r="C294" s="6" t="s">
        <v>331</v>
      </c>
      <c r="D294" s="7">
        <v>14</v>
      </c>
      <c r="E294" s="14" t="s">
        <v>211</v>
      </c>
    </row>
    <row r="295" spans="1:7">
      <c r="A295" s="45" t="str">
        <f>IF(COUNTIF($B$2:B295,B295)=1,"ok","dup")</f>
        <v>ok</v>
      </c>
      <c r="B295" s="45" t="str">
        <f t="shared" si="4"/>
        <v>Cercopithecus_campbelli5</v>
      </c>
      <c r="C295" s="6" t="s">
        <v>331</v>
      </c>
      <c r="D295" s="7">
        <v>5</v>
      </c>
      <c r="E295" s="14" t="s">
        <v>214</v>
      </c>
      <c r="F295" s="14" t="s">
        <v>332</v>
      </c>
    </row>
    <row r="296" spans="1:7">
      <c r="A296" s="45" t="str">
        <f>IF(COUNTIF($B$2:B296,B296)=1,"ok","dup")</f>
        <v>ok</v>
      </c>
      <c r="B296" s="45" t="str">
        <f t="shared" si="4"/>
        <v>Cercopithecus_cephus10</v>
      </c>
      <c r="C296" s="6" t="s">
        <v>333</v>
      </c>
      <c r="D296" s="7">
        <v>10</v>
      </c>
      <c r="E296" s="14" t="s">
        <v>216</v>
      </c>
      <c r="F296" s="14" t="s">
        <v>320</v>
      </c>
    </row>
    <row r="297" spans="1:7">
      <c r="A297" s="45" t="str">
        <f>IF(COUNTIF($B$2:B297,B297)=1,"ok","dup")</f>
        <v>dup</v>
      </c>
      <c r="B297" s="45" t="str">
        <f t="shared" si="4"/>
        <v>Cercopithecus_cephus10</v>
      </c>
      <c r="C297" s="6" t="s">
        <v>333</v>
      </c>
      <c r="D297" s="7">
        <v>10</v>
      </c>
      <c r="E297" s="14" t="s">
        <v>212</v>
      </c>
    </row>
    <row r="298" spans="1:7">
      <c r="A298" s="45" t="str">
        <f>IF(COUNTIF($B$2:B298,B298)=1,"ok","dup")</f>
        <v>ok</v>
      </c>
      <c r="B298" s="45" t="str">
        <f t="shared" si="4"/>
        <v>Cercopithecus_cephus11.5</v>
      </c>
      <c r="C298" s="6" t="s">
        <v>333</v>
      </c>
      <c r="D298" s="7">
        <v>11.5</v>
      </c>
      <c r="E298" s="14" t="s">
        <v>212</v>
      </c>
    </row>
    <row r="299" spans="1:7">
      <c r="A299" s="45" t="str">
        <f>IF(COUNTIF($B$2:B299,B299)=1,"ok","dup")</f>
        <v>ok</v>
      </c>
      <c r="B299" s="45" t="str">
        <f t="shared" si="4"/>
        <v>Cercopithecus_diana14</v>
      </c>
      <c r="C299" s="6" t="s">
        <v>334</v>
      </c>
      <c r="D299" s="7">
        <v>14</v>
      </c>
      <c r="E299" s="14" t="s">
        <v>212</v>
      </c>
    </row>
    <row r="300" spans="1:7">
      <c r="A300" s="45" t="str">
        <f>IF(COUNTIF($B$2:B300,B300)=1,"ok","dup")</f>
        <v>ok</v>
      </c>
      <c r="B300" s="45" t="str">
        <f t="shared" si="4"/>
        <v>Cercopithecus_diana20</v>
      </c>
      <c r="C300" s="6" t="s">
        <v>334</v>
      </c>
      <c r="D300" s="7">
        <v>20</v>
      </c>
      <c r="E300" s="14" t="s">
        <v>212</v>
      </c>
    </row>
    <row r="301" spans="1:7">
      <c r="A301" s="45" t="str">
        <f>IF(COUNTIF($B$2:B301,B301)=1,"ok","dup")</f>
        <v>ok</v>
      </c>
      <c r="B301" s="45" t="str">
        <f t="shared" si="4"/>
        <v>Cercopithecus_diana35</v>
      </c>
      <c r="C301" s="6" t="s">
        <v>334</v>
      </c>
      <c r="D301" s="7">
        <v>35</v>
      </c>
      <c r="E301" s="14" t="s">
        <v>212</v>
      </c>
    </row>
    <row r="302" spans="1:7">
      <c r="A302" s="45" t="str">
        <f>IF(COUNTIF($B$2:B302,B302)=1,"ok","dup")</f>
        <v>ok</v>
      </c>
      <c r="B302" s="45" t="str">
        <f t="shared" si="4"/>
        <v>Cercopithecus_diana27.5</v>
      </c>
      <c r="C302" s="6" t="s">
        <v>334</v>
      </c>
      <c r="D302" s="7">
        <v>27.5</v>
      </c>
      <c r="E302" s="14" t="s">
        <v>211</v>
      </c>
    </row>
    <row r="303" spans="1:7">
      <c r="A303" s="45" t="str">
        <f>IF(COUNTIF($B$2:B303,B303)=1,"ok","dup")</f>
        <v>ok</v>
      </c>
      <c r="B303" s="45" t="str">
        <f t="shared" si="4"/>
        <v>Cercopithecus_diana5</v>
      </c>
      <c r="C303" s="6" t="s">
        <v>334</v>
      </c>
      <c r="D303" s="7">
        <v>5</v>
      </c>
      <c r="E303" s="14" t="s">
        <v>214</v>
      </c>
      <c r="F303" s="14" t="s">
        <v>335</v>
      </c>
    </row>
    <row r="304" spans="1:7">
      <c r="A304" s="45" t="str">
        <f>IF(COUNTIF($B$2:B304,B304)=1,"ok","dup")</f>
        <v>ok</v>
      </c>
      <c r="B304" s="45" t="str">
        <f t="shared" si="4"/>
        <v>Cercopithecus_erythrogaster30</v>
      </c>
      <c r="C304" s="6" t="s">
        <v>336</v>
      </c>
      <c r="D304" s="7">
        <v>30</v>
      </c>
      <c r="E304" s="14" t="s">
        <v>211</v>
      </c>
    </row>
    <row r="305" spans="1:6">
      <c r="A305" s="45" t="str">
        <f>IF(COUNTIF($B$2:B305,B305)=1,"ok","dup")</f>
        <v>ok</v>
      </c>
      <c r="B305" s="45" t="str">
        <f t="shared" si="4"/>
        <v>Cercopithecus_hamlyni10</v>
      </c>
      <c r="C305" s="6" t="s">
        <v>337</v>
      </c>
      <c r="D305" s="7">
        <v>10</v>
      </c>
      <c r="E305" s="14" t="s">
        <v>211</v>
      </c>
    </row>
    <row r="306" spans="1:6">
      <c r="A306" s="45" t="str">
        <f>IF(COUNTIF($B$2:B306,B306)=1,"ok","dup")</f>
        <v>ok</v>
      </c>
      <c r="B306" s="45" t="str">
        <f t="shared" si="4"/>
        <v>Cercopithecus_lhoesti17.4</v>
      </c>
      <c r="C306" s="6" t="s">
        <v>338</v>
      </c>
      <c r="D306" s="7">
        <v>17.399999999999999</v>
      </c>
      <c r="E306" s="14" t="s">
        <v>212</v>
      </c>
    </row>
    <row r="307" spans="1:6">
      <c r="A307" s="45" t="str">
        <f>IF(COUNTIF($B$2:B307,B307)=1,"ok","dup")</f>
        <v>ok</v>
      </c>
      <c r="B307" s="45" t="str">
        <f t="shared" si="4"/>
        <v>Cercopithecus_lhoesti11</v>
      </c>
      <c r="C307" s="6" t="s">
        <v>338</v>
      </c>
      <c r="D307" s="7">
        <v>11</v>
      </c>
      <c r="E307" s="14" t="s">
        <v>211</v>
      </c>
    </row>
    <row r="308" spans="1:6">
      <c r="A308" s="45" t="str">
        <f>IF(COUNTIF($B$2:B308,B308)=1,"ok","dup")</f>
        <v>ok</v>
      </c>
      <c r="B308" s="45" t="str">
        <f t="shared" si="4"/>
        <v>Cercopithecus_mitis18.7</v>
      </c>
      <c r="C308" s="6" t="s">
        <v>59</v>
      </c>
      <c r="D308" s="7">
        <v>18.7</v>
      </c>
      <c r="E308" s="14" t="s">
        <v>216</v>
      </c>
      <c r="F308" s="14" t="s">
        <v>323</v>
      </c>
    </row>
    <row r="309" spans="1:6">
      <c r="A309" s="45" t="str">
        <f>IF(COUNTIF($B$2:B309,B309)=1,"ok","dup")</f>
        <v>ok</v>
      </c>
      <c r="B309" s="45" t="str">
        <f t="shared" si="4"/>
        <v>Cercopithecus_mitis32.6</v>
      </c>
      <c r="C309" s="6" t="s">
        <v>59</v>
      </c>
      <c r="D309" s="7">
        <v>32.6</v>
      </c>
      <c r="E309" s="14" t="s">
        <v>216</v>
      </c>
      <c r="F309" s="14" t="s">
        <v>323</v>
      </c>
    </row>
    <row r="310" spans="1:6">
      <c r="A310" s="45" t="str">
        <f>IF(COUNTIF($B$2:B310,B310)=1,"ok","dup")</f>
        <v>ok</v>
      </c>
      <c r="B310" s="45" t="str">
        <f t="shared" si="4"/>
        <v>Cercopithecus_mitis10</v>
      </c>
      <c r="C310" s="6" t="s">
        <v>59</v>
      </c>
      <c r="D310" s="7">
        <v>10</v>
      </c>
      <c r="E310" s="14" t="s">
        <v>212</v>
      </c>
    </row>
    <row r="311" spans="1:6">
      <c r="A311" s="45" t="str">
        <f>IF(COUNTIF($B$2:B311,B311)=1,"ok","dup")</f>
        <v>ok</v>
      </c>
      <c r="B311" s="45" t="str">
        <f t="shared" si="4"/>
        <v>Cercopithecus_mitis11</v>
      </c>
      <c r="C311" s="6" t="s">
        <v>59</v>
      </c>
      <c r="D311" s="7">
        <v>11</v>
      </c>
      <c r="E311" s="14" t="s">
        <v>212</v>
      </c>
    </row>
    <row r="312" spans="1:6">
      <c r="A312" s="45" t="str">
        <f>IF(COUNTIF($B$2:B312,B312)=1,"ok","dup")</f>
        <v>ok</v>
      </c>
      <c r="B312" s="45" t="str">
        <f t="shared" si="4"/>
        <v>Cercopithecus_mitis12</v>
      </c>
      <c r="C312" s="6" t="s">
        <v>59</v>
      </c>
      <c r="D312" s="7">
        <v>12</v>
      </c>
      <c r="E312" s="14" t="s">
        <v>212</v>
      </c>
    </row>
    <row r="313" spans="1:6">
      <c r="A313" s="45" t="str">
        <f>IF(COUNTIF($B$2:B313,B313)=1,"ok","dup")</f>
        <v>ok</v>
      </c>
      <c r="B313" s="45" t="str">
        <f t="shared" si="4"/>
        <v>Cercopithecus_mitis13.6</v>
      </c>
      <c r="C313" s="6" t="s">
        <v>59</v>
      </c>
      <c r="D313" s="7">
        <v>13.6</v>
      </c>
      <c r="E313" s="14" t="s">
        <v>212</v>
      </c>
    </row>
    <row r="314" spans="1:6">
      <c r="A314" s="45" t="str">
        <f>IF(COUNTIF($B$2:B314,B314)=1,"ok","dup")</f>
        <v>ok</v>
      </c>
      <c r="B314" s="45" t="str">
        <f t="shared" si="4"/>
        <v>Cercopithecus_mitis15</v>
      </c>
      <c r="C314" s="6" t="s">
        <v>59</v>
      </c>
      <c r="D314" s="7">
        <v>15</v>
      </c>
      <c r="E314" s="14" t="s">
        <v>212</v>
      </c>
    </row>
    <row r="315" spans="1:6">
      <c r="A315" s="45" t="str">
        <f>IF(COUNTIF($B$2:B315,B315)=1,"ok","dup")</f>
        <v>ok</v>
      </c>
      <c r="B315" s="45" t="str">
        <f t="shared" si="4"/>
        <v>Cercopithecus_mitis16</v>
      </c>
      <c r="C315" s="6" t="s">
        <v>59</v>
      </c>
      <c r="D315" s="7">
        <v>16</v>
      </c>
      <c r="E315" s="14" t="s">
        <v>212</v>
      </c>
    </row>
    <row r="316" spans="1:6">
      <c r="A316" s="45" t="str">
        <f>IF(COUNTIF($B$2:B316,B316)=1,"ok","dup")</f>
        <v>dup</v>
      </c>
      <c r="B316" s="45" t="str">
        <f t="shared" si="4"/>
        <v>Cercopithecus_mitis16</v>
      </c>
      <c r="C316" s="6" t="s">
        <v>59</v>
      </c>
      <c r="D316" s="7">
        <v>16</v>
      </c>
      <c r="E316" s="14" t="s">
        <v>212</v>
      </c>
    </row>
    <row r="317" spans="1:6">
      <c r="A317" s="45" t="str">
        <f>IF(COUNTIF($B$2:B317,B317)=1,"ok","dup")</f>
        <v>ok</v>
      </c>
      <c r="B317" s="45" t="str">
        <f t="shared" si="4"/>
        <v>Cercopithecus_mitis18</v>
      </c>
      <c r="C317" s="6" t="s">
        <v>59</v>
      </c>
      <c r="D317" s="7">
        <v>18</v>
      </c>
      <c r="E317" s="14" t="s">
        <v>212</v>
      </c>
    </row>
    <row r="318" spans="1:6">
      <c r="A318" s="45" t="str">
        <f>IF(COUNTIF($B$2:B318,B318)=1,"ok","dup")</f>
        <v>dup</v>
      </c>
      <c r="B318" s="45" t="str">
        <f t="shared" si="4"/>
        <v>Cercopithecus_mitis18.7</v>
      </c>
      <c r="C318" s="6" t="s">
        <v>59</v>
      </c>
      <c r="D318" s="7">
        <v>18.7</v>
      </c>
      <c r="E318" s="14" t="s">
        <v>212</v>
      </c>
    </row>
    <row r="319" spans="1:6">
      <c r="A319" s="45" t="str">
        <f>IF(COUNTIF($B$2:B319,B319)=1,"ok","dup")</f>
        <v>dup</v>
      </c>
      <c r="B319" s="45" t="str">
        <f t="shared" si="4"/>
        <v>Cercopithecus_mitis32.6</v>
      </c>
      <c r="C319" s="6" t="s">
        <v>59</v>
      </c>
      <c r="D319" s="7">
        <v>32.6</v>
      </c>
      <c r="E319" s="14" t="s">
        <v>212</v>
      </c>
    </row>
    <row r="320" spans="1:6">
      <c r="A320" s="45" t="str">
        <f>IF(COUNTIF($B$2:B320,B320)=1,"ok","dup")</f>
        <v>ok</v>
      </c>
      <c r="B320" s="45" t="str">
        <f t="shared" si="4"/>
        <v>Cercopithecus_mitis24</v>
      </c>
      <c r="C320" s="6" t="s">
        <v>59</v>
      </c>
      <c r="D320" s="7">
        <v>24</v>
      </c>
      <c r="E320" s="14" t="s">
        <v>218</v>
      </c>
      <c r="F320" s="14" t="s">
        <v>324</v>
      </c>
    </row>
    <row r="321" spans="1:7">
      <c r="A321" s="45" t="str">
        <f>IF(COUNTIF($B$2:B321,B321)=1,"ok","dup")</f>
        <v>ok</v>
      </c>
      <c r="B321" s="45" t="str">
        <f t="shared" si="4"/>
        <v>Cercopithecus_mitis14</v>
      </c>
      <c r="C321" s="6" t="s">
        <v>59</v>
      </c>
      <c r="D321" s="7">
        <v>14</v>
      </c>
      <c r="E321" s="14" t="s">
        <v>213</v>
      </c>
    </row>
    <row r="322" spans="1:7">
      <c r="A322" s="45" t="str">
        <f>IF(COUNTIF($B$2:B322,B322)=1,"ok","dup")</f>
        <v>ok</v>
      </c>
      <c r="B322" s="45" t="str">
        <f t="shared" ref="B322:B385" si="5">C322&amp;D322</f>
        <v>Cercopithecus_mitis41</v>
      </c>
      <c r="C322" s="6" t="s">
        <v>59</v>
      </c>
      <c r="D322" s="7">
        <v>41</v>
      </c>
      <c r="E322" s="14" t="s">
        <v>211</v>
      </c>
    </row>
    <row r="323" spans="1:7">
      <c r="A323" s="45" t="str">
        <f>IF(COUNTIF($B$2:B323,B323)=1,"ok","dup")</f>
        <v>dup</v>
      </c>
      <c r="B323" s="45" t="str">
        <f t="shared" si="5"/>
        <v>Cercopithecus_mitis11</v>
      </c>
      <c r="C323" s="6" t="s">
        <v>59</v>
      </c>
      <c r="D323" s="7">
        <v>11</v>
      </c>
      <c r="E323" s="14" t="s">
        <v>220</v>
      </c>
      <c r="F323" s="14" t="s">
        <v>339</v>
      </c>
    </row>
    <row r="324" spans="1:7">
      <c r="A324" s="45" t="str">
        <f>IF(COUNTIF($B$2:B324,B324)=1,"ok","dup")</f>
        <v>dup</v>
      </c>
      <c r="B324" s="45" t="str">
        <f t="shared" si="5"/>
        <v>Cercopithecus_mitis14</v>
      </c>
      <c r="C324" s="6" t="s">
        <v>59</v>
      </c>
      <c r="D324" s="7">
        <v>14</v>
      </c>
      <c r="E324" s="14" t="s">
        <v>220</v>
      </c>
      <c r="F324" s="14" t="s">
        <v>340</v>
      </c>
      <c r="G324" s="6" t="s">
        <v>235</v>
      </c>
    </row>
    <row r="325" spans="1:7">
      <c r="A325" s="45" t="str">
        <f>IF(COUNTIF($B$2:B325,B325)=1,"ok","dup")</f>
        <v>ok</v>
      </c>
      <c r="B325" s="45" t="str">
        <f t="shared" si="5"/>
        <v>Cercopithecus_mitis14.5</v>
      </c>
      <c r="C325" s="6" t="s">
        <v>59</v>
      </c>
      <c r="D325" s="7">
        <v>14.5</v>
      </c>
      <c r="E325" s="14" t="s">
        <v>220</v>
      </c>
      <c r="F325" s="14" t="s">
        <v>341</v>
      </c>
      <c r="G325" s="6" t="s">
        <v>226</v>
      </c>
    </row>
    <row r="326" spans="1:7">
      <c r="A326" s="45" t="str">
        <f>IF(COUNTIF($B$2:B326,B326)=1,"ok","dup")</f>
        <v>ok</v>
      </c>
      <c r="B326" s="45" t="str">
        <f t="shared" si="5"/>
        <v>Cercopithecus_mitis17</v>
      </c>
      <c r="C326" s="6" t="s">
        <v>59</v>
      </c>
      <c r="D326" s="7">
        <v>17</v>
      </c>
      <c r="E326" s="14" t="s">
        <v>220</v>
      </c>
      <c r="F326" s="14" t="s">
        <v>342</v>
      </c>
    </row>
    <row r="327" spans="1:7">
      <c r="A327" s="45" t="str">
        <f>IF(COUNTIF($B$2:B327,B327)=1,"ok","dup")</f>
        <v>dup</v>
      </c>
      <c r="B327" s="45" t="str">
        <f t="shared" si="5"/>
        <v>Cercopithecus_mitis18.7</v>
      </c>
      <c r="C327" s="6" t="s">
        <v>59</v>
      </c>
      <c r="D327" s="7">
        <v>18.7</v>
      </c>
      <c r="E327" s="14" t="s">
        <v>220</v>
      </c>
      <c r="F327" s="14" t="s">
        <v>327</v>
      </c>
      <c r="G327" s="6" t="s">
        <v>228</v>
      </c>
    </row>
    <row r="328" spans="1:7">
      <c r="A328" s="45" t="str">
        <f>IF(COUNTIF($B$2:B328,B328)=1,"ok","dup")</f>
        <v>dup</v>
      </c>
      <c r="B328" s="45" t="str">
        <f t="shared" si="5"/>
        <v>Cercopithecus_mitis24</v>
      </c>
      <c r="C328" s="6" t="s">
        <v>59</v>
      </c>
      <c r="D328" s="7">
        <v>24</v>
      </c>
      <c r="E328" s="14" t="s">
        <v>220</v>
      </c>
      <c r="F328" s="14" t="s">
        <v>343</v>
      </c>
    </row>
    <row r="329" spans="1:7">
      <c r="A329" s="45" t="str">
        <f>IF(COUNTIF($B$2:B329,B329)=1,"ok","dup")</f>
        <v>dup</v>
      </c>
      <c r="B329" s="45" t="str">
        <f t="shared" si="5"/>
        <v>Cercopithecus_mitis32.6</v>
      </c>
      <c r="C329" s="6" t="s">
        <v>59</v>
      </c>
      <c r="D329" s="7">
        <v>32.6</v>
      </c>
      <c r="E329" s="14" t="s">
        <v>220</v>
      </c>
      <c r="F329" s="14" t="s">
        <v>327</v>
      </c>
      <c r="G329" s="6" t="s">
        <v>228</v>
      </c>
    </row>
    <row r="330" spans="1:7">
      <c r="A330" s="45" t="str">
        <f>IF(COUNTIF($B$2:B330,B330)=1,"ok","dup")</f>
        <v>ok</v>
      </c>
      <c r="B330" s="45" t="str">
        <f t="shared" si="5"/>
        <v>Cercopithecus_mitis34</v>
      </c>
      <c r="C330" s="6" t="s">
        <v>59</v>
      </c>
      <c r="D330" s="7">
        <v>34</v>
      </c>
      <c r="E330" s="14" t="s">
        <v>220</v>
      </c>
      <c r="F330" s="14" t="s">
        <v>342</v>
      </c>
    </row>
    <row r="331" spans="1:7">
      <c r="A331" s="45" t="str">
        <f>IF(COUNTIF($B$2:B331,B331)=1,"ok","dup")</f>
        <v>ok</v>
      </c>
      <c r="B331" s="45" t="str">
        <f t="shared" si="5"/>
        <v>Cercopithecus_mitis49</v>
      </c>
      <c r="C331" s="6" t="s">
        <v>59</v>
      </c>
      <c r="D331" s="7">
        <v>49</v>
      </c>
      <c r="E331" s="14" t="s">
        <v>220</v>
      </c>
      <c r="F331" s="14" t="s">
        <v>344</v>
      </c>
    </row>
    <row r="332" spans="1:7">
      <c r="A332" s="45" t="str">
        <f>IF(COUNTIF($B$2:B332,B332)=1,"ok","dup")</f>
        <v>dup</v>
      </c>
      <c r="B332" s="45" t="str">
        <f t="shared" si="5"/>
        <v>Cercopithecus_mitis17</v>
      </c>
      <c r="C332" s="6" t="s">
        <v>59</v>
      </c>
      <c r="D332" s="7">
        <v>17</v>
      </c>
      <c r="E332" s="14" t="s">
        <v>214</v>
      </c>
      <c r="F332" s="14" t="s">
        <v>345</v>
      </c>
    </row>
    <row r="333" spans="1:7">
      <c r="A333" s="45" t="str">
        <f>IF(COUNTIF($B$2:B333,B333)=1,"ok","dup")</f>
        <v>ok</v>
      </c>
      <c r="B333" s="45" t="str">
        <f t="shared" si="5"/>
        <v>Cercopithecus_mona21.5</v>
      </c>
      <c r="C333" s="6" t="s">
        <v>346</v>
      </c>
      <c r="D333" s="7">
        <v>21.5</v>
      </c>
      <c r="E333" s="14" t="s">
        <v>211</v>
      </c>
    </row>
    <row r="334" spans="1:7">
      <c r="A334" s="45" t="str">
        <f>IF(COUNTIF($B$2:B334,B334)=1,"ok","dup")</f>
        <v>ok</v>
      </c>
      <c r="B334" s="45" t="str">
        <f t="shared" si="5"/>
        <v>Cercopithecus_neglectus4</v>
      </c>
      <c r="C334" s="6" t="s">
        <v>347</v>
      </c>
      <c r="D334" s="7">
        <v>4</v>
      </c>
      <c r="E334" s="14" t="s">
        <v>216</v>
      </c>
      <c r="F334" s="14" t="s">
        <v>323</v>
      </c>
    </row>
    <row r="335" spans="1:7">
      <c r="A335" s="45" t="str">
        <f>IF(COUNTIF($B$2:B335,B335)=1,"ok","dup")</f>
        <v>dup</v>
      </c>
      <c r="B335" s="45" t="str">
        <f t="shared" si="5"/>
        <v>Cercopithecus_neglectus4</v>
      </c>
      <c r="C335" s="6" t="s">
        <v>347</v>
      </c>
      <c r="D335" s="7">
        <v>4</v>
      </c>
      <c r="E335" s="14" t="s">
        <v>212</v>
      </c>
    </row>
    <row r="336" spans="1:7">
      <c r="A336" s="45" t="str">
        <f>IF(COUNTIF($B$2:B336,B336)=1,"ok","dup")</f>
        <v>ok</v>
      </c>
      <c r="B336" s="45" t="str">
        <f t="shared" si="5"/>
        <v>Cercopithecus_neglectus5</v>
      </c>
      <c r="C336" s="6" t="s">
        <v>347</v>
      </c>
      <c r="D336" s="7">
        <v>5</v>
      </c>
      <c r="E336" s="14" t="s">
        <v>212</v>
      </c>
    </row>
    <row r="337" spans="1:7">
      <c r="A337" s="45" t="str">
        <f>IF(COUNTIF($B$2:B337,B337)=1,"ok","dup")</f>
        <v>ok</v>
      </c>
      <c r="B337" s="45" t="str">
        <f t="shared" si="5"/>
        <v>Cercopithecus_neglectus6</v>
      </c>
      <c r="C337" s="6" t="s">
        <v>347</v>
      </c>
      <c r="D337" s="7">
        <v>6</v>
      </c>
      <c r="E337" s="14" t="s">
        <v>212</v>
      </c>
    </row>
    <row r="338" spans="1:7">
      <c r="A338" s="45" t="str">
        <f>IF(COUNTIF($B$2:B338,B338)=1,"ok","dup")</f>
        <v>dup</v>
      </c>
      <c r="B338" s="45" t="str">
        <f t="shared" si="5"/>
        <v>Cercopithecus_neglectus6</v>
      </c>
      <c r="C338" s="6" t="s">
        <v>347</v>
      </c>
      <c r="D338" s="7">
        <v>6</v>
      </c>
      <c r="E338" s="14" t="s">
        <v>211</v>
      </c>
    </row>
    <row r="339" spans="1:7">
      <c r="A339" s="45" t="str">
        <f>IF(COUNTIF($B$2:B339,B339)=1,"ok","dup")</f>
        <v>ok</v>
      </c>
      <c r="B339" s="45" t="str">
        <f t="shared" si="5"/>
        <v>Cercopithecus_nictitans20</v>
      </c>
      <c r="C339" s="6" t="s">
        <v>60</v>
      </c>
      <c r="D339" s="7">
        <v>20</v>
      </c>
      <c r="E339" s="14" t="s">
        <v>216</v>
      </c>
      <c r="F339" s="14" t="s">
        <v>320</v>
      </c>
    </row>
    <row r="340" spans="1:7">
      <c r="A340" s="45" t="str">
        <f>IF(COUNTIF($B$2:B340,B340)=1,"ok","dup")</f>
        <v>ok</v>
      </c>
      <c r="B340" s="45" t="str">
        <f t="shared" si="5"/>
        <v>Cercopithecus_nictitans16.5</v>
      </c>
      <c r="C340" s="6" t="s">
        <v>60</v>
      </c>
      <c r="D340" s="7">
        <v>16.5</v>
      </c>
      <c r="E340" s="14" t="s">
        <v>212</v>
      </c>
    </row>
    <row r="341" spans="1:7">
      <c r="A341" s="45" t="str">
        <f>IF(COUNTIF($B$2:B341,B341)=1,"ok","dup")</f>
        <v>dup</v>
      </c>
      <c r="B341" s="45" t="str">
        <f t="shared" si="5"/>
        <v>Cercopithecus_nictitans20</v>
      </c>
      <c r="C341" s="6" t="s">
        <v>60</v>
      </c>
      <c r="D341" s="7">
        <v>20</v>
      </c>
      <c r="E341" s="14" t="s">
        <v>211</v>
      </c>
    </row>
    <row r="342" spans="1:7">
      <c r="A342" s="45" t="str">
        <f>IF(COUNTIF($B$2:B342,B342)=1,"ok","dup")</f>
        <v>ok</v>
      </c>
      <c r="B342" s="45" t="str">
        <f t="shared" si="5"/>
        <v>Cercopithecus_petaurista17.5</v>
      </c>
      <c r="C342" s="6" t="s">
        <v>348</v>
      </c>
      <c r="D342" s="7">
        <v>17.5</v>
      </c>
      <c r="E342" s="14" t="s">
        <v>211</v>
      </c>
    </row>
    <row r="343" spans="1:7">
      <c r="A343" s="45" t="str">
        <f>IF(COUNTIF($B$2:B343,B343)=1,"ok","dup")</f>
        <v>ok</v>
      </c>
      <c r="B343" s="45" t="str">
        <f t="shared" si="5"/>
        <v>Cercopithecus_pogonias15</v>
      </c>
      <c r="C343" s="6" t="s">
        <v>349</v>
      </c>
      <c r="D343" s="7">
        <v>15</v>
      </c>
      <c r="E343" s="14" t="s">
        <v>216</v>
      </c>
      <c r="F343" s="14" t="s">
        <v>320</v>
      </c>
    </row>
    <row r="344" spans="1:7">
      <c r="A344" s="45" t="str">
        <f>IF(COUNTIF($B$2:B344,B344)=1,"ok","dup")</f>
        <v>ok</v>
      </c>
      <c r="B344" s="45" t="str">
        <f t="shared" si="5"/>
        <v>Cercopithecus_pogonias15.5</v>
      </c>
      <c r="C344" s="6" t="s">
        <v>349</v>
      </c>
      <c r="D344" s="7">
        <v>15.5</v>
      </c>
      <c r="E344" s="14" t="s">
        <v>212</v>
      </c>
    </row>
    <row r="345" spans="1:7">
      <c r="A345" s="45" t="str">
        <f>IF(COUNTIF($B$2:B345,B345)=1,"ok","dup")</f>
        <v>ok</v>
      </c>
      <c r="B345" s="45" t="str">
        <f t="shared" si="5"/>
        <v>Cercopithecus_pogonias14</v>
      </c>
      <c r="C345" s="6" t="s">
        <v>349</v>
      </c>
      <c r="D345" s="7">
        <v>14</v>
      </c>
      <c r="E345" s="14" t="s">
        <v>211</v>
      </c>
    </row>
    <row r="346" spans="1:7">
      <c r="A346" s="45" t="str">
        <f>IF(COUNTIF($B$2:B346,B346)=1,"ok","dup")</f>
        <v>ok</v>
      </c>
      <c r="B346" s="45" t="str">
        <f t="shared" si="5"/>
        <v>Cercopithecus_preussi5</v>
      </c>
      <c r="C346" s="6" t="s">
        <v>350</v>
      </c>
      <c r="D346" s="7">
        <v>5</v>
      </c>
      <c r="E346" s="14" t="s">
        <v>211</v>
      </c>
    </row>
    <row r="347" spans="1:7">
      <c r="A347" s="45" t="str">
        <f>IF(COUNTIF($B$2:B347,B347)=1,"ok","dup")</f>
        <v>ok</v>
      </c>
      <c r="B347" s="45" t="str">
        <f t="shared" si="5"/>
        <v>Cercopithecus_wolfi6.5</v>
      </c>
      <c r="C347" s="6" t="s">
        <v>351</v>
      </c>
      <c r="D347" s="7">
        <v>6.5</v>
      </c>
      <c r="E347" s="14" t="s">
        <v>211</v>
      </c>
    </row>
    <row r="348" spans="1:7">
      <c r="A348" s="45" t="str">
        <f>IF(COUNTIF($B$2:B348,B348)=1,"ok","dup")</f>
        <v>ok</v>
      </c>
      <c r="B348" s="45" t="str">
        <f t="shared" si="5"/>
        <v>Cheirogaleus_major5.5</v>
      </c>
      <c r="C348" s="6" t="s">
        <v>61</v>
      </c>
      <c r="D348" s="7">
        <v>5.5</v>
      </c>
      <c r="E348" s="14" t="s">
        <v>276</v>
      </c>
      <c r="F348" s="14" t="s">
        <v>277</v>
      </c>
    </row>
    <row r="349" spans="1:7">
      <c r="A349" s="45" t="str">
        <f>IF(COUNTIF($B$2:B349,B349)=1,"ok","dup")</f>
        <v>ok</v>
      </c>
      <c r="B349" s="45" t="str">
        <f t="shared" si="5"/>
        <v>Cheirogaleus_medius3</v>
      </c>
      <c r="C349" s="6" t="s">
        <v>62</v>
      </c>
      <c r="D349" s="7">
        <v>3</v>
      </c>
      <c r="E349" s="14" t="s">
        <v>276</v>
      </c>
      <c r="F349" s="14" t="s">
        <v>277</v>
      </c>
    </row>
    <row r="350" spans="1:7">
      <c r="A350" s="45" t="str">
        <f>IF(COUNTIF($B$2:B350,B350)=1,"ok","dup")</f>
        <v>ok</v>
      </c>
      <c r="B350" s="45" t="str">
        <f t="shared" si="5"/>
        <v>Cheirogaleus_medius1</v>
      </c>
      <c r="C350" s="6" t="s">
        <v>62</v>
      </c>
      <c r="D350" s="7">
        <v>1</v>
      </c>
      <c r="E350" s="14" t="s">
        <v>212</v>
      </c>
    </row>
    <row r="351" spans="1:7">
      <c r="A351" s="45" t="str">
        <f>IF(COUNTIF($B$2:B351,B351)=1,"ok","dup")</f>
        <v>dup</v>
      </c>
      <c r="B351" s="45" t="str">
        <f t="shared" si="5"/>
        <v>Cheirogaleus_medius3</v>
      </c>
      <c r="C351" s="6" t="s">
        <v>62</v>
      </c>
      <c r="D351" s="7">
        <v>3</v>
      </c>
      <c r="E351" s="14" t="s">
        <v>211</v>
      </c>
      <c r="G351" s="6" t="s">
        <v>352</v>
      </c>
    </row>
    <row r="352" spans="1:7">
      <c r="A352" s="45" t="str">
        <f>IF(COUNTIF($B$2:B352,B352)=1,"ok","dup")</f>
        <v>ok</v>
      </c>
      <c r="B352" s="45" t="str">
        <f t="shared" si="5"/>
        <v>Chiropotes_satanas19</v>
      </c>
      <c r="C352" s="6" t="s">
        <v>353</v>
      </c>
      <c r="D352" s="7">
        <v>19</v>
      </c>
      <c r="E352" s="14" t="s">
        <v>216</v>
      </c>
      <c r="F352" s="14" t="s">
        <v>284</v>
      </c>
    </row>
    <row r="353" spans="1:6">
      <c r="A353" s="45" t="str">
        <f>IF(COUNTIF($B$2:B353,B353)=1,"ok","dup")</f>
        <v>dup</v>
      </c>
      <c r="B353" s="45" t="str">
        <f t="shared" si="5"/>
        <v>Chiropotes_satanas19</v>
      </c>
      <c r="C353" s="6" t="s">
        <v>353</v>
      </c>
      <c r="D353" s="7">
        <v>19</v>
      </c>
      <c r="E353" s="14" t="s">
        <v>212</v>
      </c>
    </row>
    <row r="354" spans="1:6">
      <c r="A354" s="45" t="str">
        <f>IF(COUNTIF($B$2:B354,B354)=1,"ok","dup")</f>
        <v>ok</v>
      </c>
      <c r="B354" s="45" t="str">
        <f t="shared" si="5"/>
        <v>Chiropotes_satanas20</v>
      </c>
      <c r="C354" s="6" t="s">
        <v>353</v>
      </c>
      <c r="D354" s="7">
        <v>20</v>
      </c>
      <c r="E354" s="14" t="s">
        <v>211</v>
      </c>
    </row>
    <row r="355" spans="1:6">
      <c r="A355" s="45" t="str">
        <f>IF(COUNTIF($B$2:B355,B355)=1,"ok","dup")</f>
        <v>ok</v>
      </c>
      <c r="B355" s="45" t="str">
        <f t="shared" si="5"/>
        <v>Chlorocebus_aethiops24</v>
      </c>
      <c r="C355" s="6" t="s">
        <v>354</v>
      </c>
      <c r="D355" s="7">
        <v>24</v>
      </c>
      <c r="E355" s="14" t="s">
        <v>216</v>
      </c>
      <c r="F355" s="14" t="s">
        <v>323</v>
      </c>
    </row>
    <row r="356" spans="1:6">
      <c r="A356" s="45" t="str">
        <f>IF(COUNTIF($B$2:B356,B356)=1,"ok","dup")</f>
        <v>ok</v>
      </c>
      <c r="B356" s="45" t="str">
        <f t="shared" si="5"/>
        <v>Chlorocebus_aethiops10</v>
      </c>
      <c r="C356" s="6" t="s">
        <v>354</v>
      </c>
      <c r="D356" s="7">
        <v>10</v>
      </c>
      <c r="E356" s="14" t="s">
        <v>212</v>
      </c>
    </row>
    <row r="357" spans="1:6">
      <c r="A357" s="45" t="str">
        <f>IF(COUNTIF($B$2:B357,B357)=1,"ok","dup")</f>
        <v>ok</v>
      </c>
      <c r="B357" s="45" t="str">
        <f t="shared" si="5"/>
        <v>Chlorocebus_aethiops17</v>
      </c>
      <c r="C357" s="6" t="s">
        <v>354</v>
      </c>
      <c r="D357" s="7">
        <v>17</v>
      </c>
      <c r="E357" s="14" t="s">
        <v>212</v>
      </c>
    </row>
    <row r="358" spans="1:6">
      <c r="A358" s="45" t="str">
        <f>IF(COUNTIF($B$2:B358,B358)=1,"ok","dup")</f>
        <v>ok</v>
      </c>
      <c r="B358" s="45" t="str">
        <f t="shared" si="5"/>
        <v>Chlorocebus_aethiops17.7</v>
      </c>
      <c r="C358" s="6" t="s">
        <v>354</v>
      </c>
      <c r="D358" s="7">
        <v>17.7</v>
      </c>
      <c r="E358" s="14" t="s">
        <v>212</v>
      </c>
    </row>
    <row r="359" spans="1:6">
      <c r="A359" s="45" t="str">
        <f>IF(COUNTIF($B$2:B359,B359)=1,"ok","dup")</f>
        <v>ok</v>
      </c>
      <c r="B359" s="45" t="str">
        <f t="shared" si="5"/>
        <v>Chlorocebus_aethiops17.9</v>
      </c>
      <c r="C359" s="6" t="s">
        <v>354</v>
      </c>
      <c r="D359" s="7">
        <v>17.899999999999999</v>
      </c>
      <c r="E359" s="14" t="s">
        <v>212</v>
      </c>
    </row>
    <row r="360" spans="1:6">
      <c r="A360" s="45" t="str">
        <f>IF(COUNTIF($B$2:B360,B360)=1,"ok","dup")</f>
        <v>ok</v>
      </c>
      <c r="B360" s="45" t="str">
        <f t="shared" si="5"/>
        <v>Chlorocebus_aethiops19.7</v>
      </c>
      <c r="C360" s="6" t="s">
        <v>354</v>
      </c>
      <c r="D360" s="7">
        <v>19.7</v>
      </c>
      <c r="E360" s="14" t="s">
        <v>212</v>
      </c>
    </row>
    <row r="361" spans="1:6">
      <c r="A361" s="45" t="str">
        <f>IF(COUNTIF($B$2:B361,B361)=1,"ok","dup")</f>
        <v>ok</v>
      </c>
      <c r="B361" s="45" t="str">
        <f t="shared" si="5"/>
        <v>Chlorocebus_aethiops21</v>
      </c>
      <c r="C361" s="6" t="s">
        <v>354</v>
      </c>
      <c r="D361" s="7">
        <v>21</v>
      </c>
      <c r="E361" s="14" t="s">
        <v>212</v>
      </c>
    </row>
    <row r="362" spans="1:6">
      <c r="A362" s="45" t="str">
        <f>IF(COUNTIF($B$2:B362,B362)=1,"ok","dup")</f>
        <v>ok</v>
      </c>
      <c r="B362" s="45" t="str">
        <f t="shared" si="5"/>
        <v>Chlorocebus_aethiops22.8</v>
      </c>
      <c r="C362" s="6" t="s">
        <v>354</v>
      </c>
      <c r="D362" s="7">
        <v>22.8</v>
      </c>
      <c r="E362" s="14" t="s">
        <v>212</v>
      </c>
    </row>
    <row r="363" spans="1:6">
      <c r="A363" s="45" t="str">
        <f>IF(COUNTIF($B$2:B363,B363)=1,"ok","dup")</f>
        <v>dup</v>
      </c>
      <c r="B363" s="45" t="str">
        <f t="shared" si="5"/>
        <v>Chlorocebus_aethiops24</v>
      </c>
      <c r="C363" s="6" t="s">
        <v>354</v>
      </c>
      <c r="D363" s="7">
        <v>24</v>
      </c>
      <c r="E363" s="14" t="s">
        <v>212</v>
      </c>
    </row>
    <row r="364" spans="1:6">
      <c r="A364" s="45" t="str">
        <f>IF(COUNTIF($B$2:B364,B364)=1,"ok","dup")</f>
        <v>ok</v>
      </c>
      <c r="B364" s="45" t="str">
        <f t="shared" si="5"/>
        <v>Chlorocebus_aethiops40</v>
      </c>
      <c r="C364" s="6" t="s">
        <v>354</v>
      </c>
      <c r="D364" s="7">
        <v>40</v>
      </c>
      <c r="E364" s="14" t="s">
        <v>212</v>
      </c>
    </row>
    <row r="365" spans="1:6">
      <c r="A365" s="45" t="str">
        <f>IF(COUNTIF($B$2:B365,B365)=1,"ok","dup")</f>
        <v>ok</v>
      </c>
      <c r="B365" s="45" t="str">
        <f t="shared" si="5"/>
        <v>Chlorocebus_aethiops40.1</v>
      </c>
      <c r="C365" s="6" t="s">
        <v>354</v>
      </c>
      <c r="D365" s="7">
        <v>40.1</v>
      </c>
      <c r="E365" s="14" t="s">
        <v>212</v>
      </c>
    </row>
    <row r="366" spans="1:6">
      <c r="A366" s="45" t="str">
        <f>IF(COUNTIF($B$2:B366,B366)=1,"ok","dup")</f>
        <v>ok</v>
      </c>
      <c r="B366" s="45" t="str">
        <f t="shared" si="5"/>
        <v>Chlorocebus_aethiops15</v>
      </c>
      <c r="C366" s="6" t="s">
        <v>354</v>
      </c>
      <c r="D366" s="7">
        <v>15</v>
      </c>
      <c r="E366" s="14" t="s">
        <v>213</v>
      </c>
    </row>
    <row r="367" spans="1:6">
      <c r="A367" s="45" t="str">
        <f>IF(COUNTIF($B$2:B367,B367)=1,"ok","dup")</f>
        <v>ok</v>
      </c>
      <c r="B367" s="45" t="str">
        <f t="shared" si="5"/>
        <v>Chlorocebus_aethiops40.5</v>
      </c>
      <c r="C367" s="6" t="s">
        <v>354</v>
      </c>
      <c r="D367" s="7">
        <v>40.5</v>
      </c>
      <c r="E367" s="14" t="s">
        <v>211</v>
      </c>
    </row>
    <row r="368" spans="1:6">
      <c r="A368" s="45" t="str">
        <f>IF(COUNTIF($B$2:B368,B368)=1,"ok","dup")</f>
        <v>ok</v>
      </c>
      <c r="B368" s="45" t="str">
        <f t="shared" si="5"/>
        <v>Chlorocebus_aethiops7.7</v>
      </c>
      <c r="C368" s="6" t="s">
        <v>354</v>
      </c>
      <c r="D368" s="7">
        <v>7.7</v>
      </c>
      <c r="E368" s="14" t="s">
        <v>214</v>
      </c>
      <c r="F368" s="14" t="s">
        <v>355</v>
      </c>
    </row>
    <row r="369" spans="1:7">
      <c r="A369" s="45" t="str">
        <f>IF(COUNTIF($B$2:B369,B369)=1,"ok","dup")</f>
        <v>ok</v>
      </c>
      <c r="B369" s="45" t="str">
        <f t="shared" si="5"/>
        <v>Chlorocebus_pygerythrus40.5</v>
      </c>
      <c r="C369" s="6" t="s">
        <v>356</v>
      </c>
      <c r="D369" s="7">
        <v>40.5</v>
      </c>
      <c r="E369" s="14" t="s">
        <v>211</v>
      </c>
      <c r="G369" s="6" t="s">
        <v>357</v>
      </c>
    </row>
    <row r="370" spans="1:7">
      <c r="A370" s="45" t="str">
        <f>IF(COUNTIF($B$2:B370,B370)=1,"ok","dup")</f>
        <v>ok</v>
      </c>
      <c r="B370" s="45" t="str">
        <f t="shared" si="5"/>
        <v>Colobus_angolensis9</v>
      </c>
      <c r="C370" s="6" t="s">
        <v>63</v>
      </c>
      <c r="D370" s="7">
        <v>9</v>
      </c>
      <c r="E370" s="14" t="s">
        <v>211</v>
      </c>
    </row>
    <row r="371" spans="1:7">
      <c r="A371" s="45" t="str">
        <f>IF(COUNTIF($B$2:B371,B371)=1,"ok","dup")</f>
        <v>ok</v>
      </c>
      <c r="B371" s="45" t="str">
        <f t="shared" si="5"/>
        <v>Colobus_guereza12</v>
      </c>
      <c r="C371" s="6" t="s">
        <v>358</v>
      </c>
      <c r="D371" s="7">
        <v>12</v>
      </c>
      <c r="E371" s="14" t="s">
        <v>216</v>
      </c>
      <c r="F371" s="14" t="s">
        <v>359</v>
      </c>
    </row>
    <row r="372" spans="1:7">
      <c r="A372" s="45" t="str">
        <f>IF(COUNTIF($B$2:B372,B372)=1,"ok","dup")</f>
        <v>dup</v>
      </c>
      <c r="B372" s="45" t="str">
        <f t="shared" si="5"/>
        <v>Colobus_guereza12</v>
      </c>
      <c r="C372" s="6" t="s">
        <v>358</v>
      </c>
      <c r="D372" s="7">
        <v>12</v>
      </c>
      <c r="E372" s="14" t="s">
        <v>212</v>
      </c>
    </row>
    <row r="373" spans="1:7">
      <c r="A373" s="45" t="str">
        <f>IF(COUNTIF($B$2:B373,B373)=1,"ok","dup")</f>
        <v>ok</v>
      </c>
      <c r="B373" s="45" t="str">
        <f t="shared" si="5"/>
        <v>Colobus_guereza9.2</v>
      </c>
      <c r="C373" s="6" t="s">
        <v>358</v>
      </c>
      <c r="D373" s="7">
        <v>9.1999999999999993</v>
      </c>
      <c r="E373" s="14" t="s">
        <v>218</v>
      </c>
      <c r="F373" s="14" t="s">
        <v>360</v>
      </c>
    </row>
    <row r="374" spans="1:7">
      <c r="A374" s="45" t="str">
        <f>IF(COUNTIF($B$2:B374,B374)=1,"ok","dup")</f>
        <v>ok</v>
      </c>
      <c r="B374" s="45" t="str">
        <f t="shared" si="5"/>
        <v>Colobus_guereza8</v>
      </c>
      <c r="C374" s="6" t="s">
        <v>358</v>
      </c>
      <c r="D374" s="7">
        <v>8</v>
      </c>
      <c r="E374" s="14" t="s">
        <v>213</v>
      </c>
    </row>
    <row r="375" spans="1:7">
      <c r="A375" s="45" t="str">
        <f>IF(COUNTIF($B$2:B375,B375)=1,"ok","dup")</f>
        <v>ok</v>
      </c>
      <c r="B375" s="45" t="str">
        <f t="shared" si="5"/>
        <v>Colobus_guereza9</v>
      </c>
      <c r="C375" s="6" t="s">
        <v>358</v>
      </c>
      <c r="D375" s="7">
        <v>9</v>
      </c>
      <c r="E375" s="14" t="s">
        <v>211</v>
      </c>
    </row>
    <row r="376" spans="1:7">
      <c r="A376" s="45" t="str">
        <f>IF(COUNTIF($B$2:B376,B376)=1,"ok","dup")</f>
        <v>ok</v>
      </c>
      <c r="B376" s="45" t="str">
        <f t="shared" si="5"/>
        <v>Colobus_guereza4.8</v>
      </c>
      <c r="C376" s="6" t="s">
        <v>358</v>
      </c>
      <c r="D376" s="7">
        <v>4.8</v>
      </c>
      <c r="E376" s="14" t="s">
        <v>214</v>
      </c>
      <c r="F376" s="14" t="s">
        <v>361</v>
      </c>
    </row>
    <row r="377" spans="1:7">
      <c r="A377" s="45" t="str">
        <f>IF(COUNTIF($B$2:B377,B377)=1,"ok","dup")</f>
        <v>ok</v>
      </c>
      <c r="B377" s="45" t="str">
        <f t="shared" si="5"/>
        <v>Colobus_polykomos9</v>
      </c>
      <c r="C377" s="6" t="s">
        <v>362</v>
      </c>
      <c r="D377" s="7">
        <v>9</v>
      </c>
      <c r="E377" s="14" t="s">
        <v>218</v>
      </c>
      <c r="F377" s="14" t="s">
        <v>363</v>
      </c>
    </row>
    <row r="378" spans="1:7">
      <c r="A378" s="45" t="str">
        <f>IF(COUNTIF($B$2:B378,B378)=1,"ok","dup")</f>
        <v>ok</v>
      </c>
      <c r="B378" s="45" t="str">
        <f t="shared" si="5"/>
        <v>Colobus_polykomos13</v>
      </c>
      <c r="C378" s="6" t="s">
        <v>362</v>
      </c>
      <c r="D378" s="7">
        <v>13</v>
      </c>
      <c r="E378" s="14" t="s">
        <v>211</v>
      </c>
    </row>
    <row r="379" spans="1:7">
      <c r="A379" s="45" t="str">
        <f>IF(COUNTIF($B$2:B379,B379)=1,"ok","dup")</f>
        <v>ok</v>
      </c>
      <c r="B379" s="45" t="str">
        <f t="shared" si="5"/>
        <v>Colobus_satanas15.5</v>
      </c>
      <c r="C379" s="6" t="s">
        <v>364</v>
      </c>
      <c r="D379" s="7">
        <v>15.5</v>
      </c>
      <c r="E379" s="14" t="s">
        <v>216</v>
      </c>
      <c r="F379" s="14" t="s">
        <v>359</v>
      </c>
    </row>
    <row r="380" spans="1:7">
      <c r="A380" s="45" t="str">
        <f>IF(COUNTIF($B$2:B380,B380)=1,"ok","dup")</f>
        <v>dup</v>
      </c>
      <c r="B380" s="45" t="str">
        <f t="shared" si="5"/>
        <v>Colobus_satanas15.5</v>
      </c>
      <c r="C380" s="6" t="s">
        <v>364</v>
      </c>
      <c r="D380" s="7">
        <v>15.5</v>
      </c>
      <c r="E380" s="14" t="s">
        <v>212</v>
      </c>
    </row>
    <row r="381" spans="1:7">
      <c r="A381" s="45" t="str">
        <f>IF(COUNTIF($B$2:B381,B381)=1,"ok","dup")</f>
        <v>ok</v>
      </c>
      <c r="B381" s="45" t="str">
        <f t="shared" si="5"/>
        <v>Colobus_satanas12.5</v>
      </c>
      <c r="C381" s="6" t="s">
        <v>364</v>
      </c>
      <c r="D381" s="7">
        <v>12.5</v>
      </c>
      <c r="E381" s="14" t="s">
        <v>218</v>
      </c>
      <c r="F381" s="14" t="s">
        <v>365</v>
      </c>
    </row>
    <row r="382" spans="1:7">
      <c r="A382" s="45" t="str">
        <f>IF(COUNTIF($B$2:B382,B382)=1,"ok","dup")</f>
        <v>ok</v>
      </c>
      <c r="B382" s="45" t="str">
        <f t="shared" si="5"/>
        <v>Colobus_satanas15</v>
      </c>
      <c r="C382" s="6" t="s">
        <v>364</v>
      </c>
      <c r="D382" s="7">
        <v>15</v>
      </c>
      <c r="E382" s="14" t="s">
        <v>211</v>
      </c>
    </row>
    <row r="383" spans="1:7">
      <c r="A383" s="45" t="str">
        <f>IF(COUNTIF($B$2:B383,B383)=1,"ok","dup")</f>
        <v>ok</v>
      </c>
      <c r="B383" s="45" t="str">
        <f t="shared" si="5"/>
        <v>Daubentonia_madagascariensis2</v>
      </c>
      <c r="C383" s="6" t="s">
        <v>64</v>
      </c>
      <c r="D383" s="7">
        <v>2</v>
      </c>
      <c r="E383" s="14" t="s">
        <v>276</v>
      </c>
      <c r="F383" s="14" t="s">
        <v>277</v>
      </c>
    </row>
    <row r="384" spans="1:7">
      <c r="A384" s="45" t="str">
        <f>IF(COUNTIF($B$2:B384,B384)=1,"ok","dup")</f>
        <v>ok</v>
      </c>
      <c r="B384" s="45" t="str">
        <f t="shared" si="5"/>
        <v>Daubentonia_madagascariensis1.5</v>
      </c>
      <c r="C384" s="6" t="s">
        <v>64</v>
      </c>
      <c r="D384" s="7">
        <v>1.5</v>
      </c>
      <c r="E384" s="14" t="s">
        <v>211</v>
      </c>
    </row>
    <row r="385" spans="1:7">
      <c r="A385" s="45" t="str">
        <f>IF(COUNTIF($B$2:B385,B385)=1,"ok","dup")</f>
        <v>ok</v>
      </c>
      <c r="B385" s="45" t="str">
        <f t="shared" si="5"/>
        <v>Erythrocebus_patas20.6</v>
      </c>
      <c r="C385" s="6" t="s">
        <v>65</v>
      </c>
      <c r="D385" s="7">
        <v>20.6</v>
      </c>
      <c r="E385" s="14" t="s">
        <v>216</v>
      </c>
      <c r="F385" s="14" t="s">
        <v>323</v>
      </c>
    </row>
    <row r="386" spans="1:7">
      <c r="A386" s="45" t="str">
        <f>IF(COUNTIF($B$2:B386,B386)=1,"ok","dup")</f>
        <v>ok</v>
      </c>
      <c r="B386" s="45" t="str">
        <f t="shared" ref="B386:B449" si="6">C386&amp;D386</f>
        <v>Erythrocebus_patas35.5</v>
      </c>
      <c r="C386" s="6" t="s">
        <v>65</v>
      </c>
      <c r="D386" s="7">
        <v>35.5</v>
      </c>
      <c r="E386" s="14" t="s">
        <v>216</v>
      </c>
      <c r="F386" s="14" t="s">
        <v>323</v>
      </c>
    </row>
    <row r="387" spans="1:7">
      <c r="A387" s="45" t="str">
        <f>IF(COUNTIF($B$2:B387,B387)=1,"ok","dup")</f>
        <v>dup</v>
      </c>
      <c r="B387" s="45" t="str">
        <f t="shared" si="6"/>
        <v>Erythrocebus_patas20.6</v>
      </c>
      <c r="C387" s="6" t="s">
        <v>65</v>
      </c>
      <c r="D387" s="7">
        <v>20.6</v>
      </c>
      <c r="E387" s="14" t="s">
        <v>212</v>
      </c>
    </row>
    <row r="388" spans="1:7">
      <c r="A388" s="45" t="str">
        <f>IF(COUNTIF($B$2:B388,B388)=1,"ok","dup")</f>
        <v>dup</v>
      </c>
      <c r="B388" s="45" t="str">
        <f t="shared" si="6"/>
        <v>Erythrocebus_patas35.5</v>
      </c>
      <c r="C388" s="6" t="s">
        <v>65</v>
      </c>
      <c r="D388" s="7">
        <v>35.5</v>
      </c>
      <c r="E388" s="14" t="s">
        <v>212</v>
      </c>
    </row>
    <row r="389" spans="1:7">
      <c r="A389" s="45" t="str">
        <f>IF(COUNTIF($B$2:B389,B389)=1,"ok","dup")</f>
        <v>ok</v>
      </c>
      <c r="B389" s="45" t="str">
        <f t="shared" si="6"/>
        <v>Erythrocebus_patas20</v>
      </c>
      <c r="C389" s="6" t="s">
        <v>65</v>
      </c>
      <c r="D389" s="7">
        <v>20</v>
      </c>
      <c r="E389" s="14" t="s">
        <v>213</v>
      </c>
    </row>
    <row r="390" spans="1:7">
      <c r="A390" s="45" t="str">
        <f>IF(COUNTIF($B$2:B390,B390)=1,"ok","dup")</f>
        <v>ok</v>
      </c>
      <c r="B390" s="45" t="str">
        <f t="shared" si="6"/>
        <v>Erythrocebus_patas19.5</v>
      </c>
      <c r="C390" s="6" t="s">
        <v>65</v>
      </c>
      <c r="D390" s="7">
        <v>19.5</v>
      </c>
      <c r="E390" s="14" t="s">
        <v>211</v>
      </c>
    </row>
    <row r="391" spans="1:7">
      <c r="A391" s="45" t="str">
        <f>IF(COUNTIF($B$2:B391,B391)=1,"ok","dup")</f>
        <v>ok</v>
      </c>
      <c r="B391" s="45" t="str">
        <f t="shared" si="6"/>
        <v>Erythrocebus_patas12</v>
      </c>
      <c r="C391" s="6" t="s">
        <v>65</v>
      </c>
      <c r="D391" s="7">
        <v>12</v>
      </c>
      <c r="E391" s="14" t="s">
        <v>220</v>
      </c>
      <c r="F391" s="14" t="s">
        <v>366</v>
      </c>
    </row>
    <row r="392" spans="1:7">
      <c r="A392" s="45" t="str">
        <f>IF(COUNTIF($B$2:B392,B392)=1,"ok","dup")</f>
        <v>ok</v>
      </c>
      <c r="B392" s="45" t="str">
        <f t="shared" si="6"/>
        <v>Erythrocebus_patas19</v>
      </c>
      <c r="C392" s="6" t="s">
        <v>65</v>
      </c>
      <c r="D392" s="7">
        <v>19</v>
      </c>
      <c r="E392" s="14" t="s">
        <v>220</v>
      </c>
      <c r="F392" s="14" t="s">
        <v>367</v>
      </c>
      <c r="G392" s="6" t="s">
        <v>330</v>
      </c>
    </row>
    <row r="393" spans="1:7">
      <c r="A393" s="45" t="str">
        <f>IF(COUNTIF($B$2:B393,B393)=1,"ok","dup")</f>
        <v>dup</v>
      </c>
      <c r="B393" s="45" t="str">
        <f t="shared" si="6"/>
        <v>Erythrocebus_patas20</v>
      </c>
      <c r="C393" s="6" t="s">
        <v>65</v>
      </c>
      <c r="D393" s="7">
        <v>20</v>
      </c>
      <c r="E393" s="14" t="s">
        <v>220</v>
      </c>
      <c r="F393" s="14" t="s">
        <v>368</v>
      </c>
      <c r="G393" s="6" t="s">
        <v>235</v>
      </c>
    </row>
    <row r="394" spans="1:7">
      <c r="A394" s="45" t="str">
        <f>IF(COUNTIF($B$2:B394,B394)=1,"ok","dup")</f>
        <v>dup</v>
      </c>
      <c r="B394" s="45" t="str">
        <f t="shared" si="6"/>
        <v>Erythrocebus_patas20</v>
      </c>
      <c r="C394" s="6" t="s">
        <v>65</v>
      </c>
      <c r="D394" s="7">
        <v>20</v>
      </c>
      <c r="E394" s="14" t="s">
        <v>220</v>
      </c>
      <c r="F394" s="14" t="s">
        <v>369</v>
      </c>
      <c r="G394" s="6" t="s">
        <v>330</v>
      </c>
    </row>
    <row r="395" spans="1:7">
      <c r="A395" s="45" t="str">
        <f>IF(COUNTIF($B$2:B395,B395)=1,"ok","dup")</f>
        <v>dup</v>
      </c>
      <c r="B395" s="45" t="str">
        <f t="shared" si="6"/>
        <v>Erythrocebus_patas20.6</v>
      </c>
      <c r="C395" s="6" t="s">
        <v>65</v>
      </c>
      <c r="D395" s="7">
        <v>20.6</v>
      </c>
      <c r="E395" s="14" t="s">
        <v>220</v>
      </c>
      <c r="F395" s="14" t="s">
        <v>327</v>
      </c>
      <c r="G395" s="6" t="s">
        <v>228</v>
      </c>
    </row>
    <row r="396" spans="1:7">
      <c r="A396" s="45" t="str">
        <f>IF(COUNTIF($B$2:B396,B396)=1,"ok","dup")</f>
        <v>ok</v>
      </c>
      <c r="B396" s="45" t="str">
        <f t="shared" si="6"/>
        <v>Erythrocebus_patas21</v>
      </c>
      <c r="C396" s="6" t="s">
        <v>65</v>
      </c>
      <c r="D396" s="7">
        <v>21</v>
      </c>
      <c r="E396" s="14" t="s">
        <v>220</v>
      </c>
      <c r="F396" s="14" t="s">
        <v>370</v>
      </c>
      <c r="G396" s="6" t="s">
        <v>330</v>
      </c>
    </row>
    <row r="397" spans="1:7">
      <c r="A397" s="45" t="str">
        <f>IF(COUNTIF($B$2:B397,B397)=1,"ok","dup")</f>
        <v>ok</v>
      </c>
      <c r="B397" s="45" t="str">
        <f t="shared" si="6"/>
        <v>Erythrocebus_patas24</v>
      </c>
      <c r="C397" s="6" t="s">
        <v>65</v>
      </c>
      <c r="D397" s="7">
        <v>24</v>
      </c>
      <c r="E397" s="14" t="s">
        <v>220</v>
      </c>
      <c r="F397" s="14" t="s">
        <v>371</v>
      </c>
      <c r="G397" s="6" t="s">
        <v>226</v>
      </c>
    </row>
    <row r="398" spans="1:7">
      <c r="A398" s="45" t="str">
        <f>IF(COUNTIF($B$2:B398,B398)=1,"ok","dup")</f>
        <v>ok</v>
      </c>
      <c r="B398" s="45" t="str">
        <f t="shared" si="6"/>
        <v>Erythrocebus_patas31.2</v>
      </c>
      <c r="C398" s="6" t="s">
        <v>65</v>
      </c>
      <c r="D398" s="7">
        <v>31.2</v>
      </c>
      <c r="E398" s="14" t="s">
        <v>220</v>
      </c>
      <c r="F398" s="14" t="s">
        <v>372</v>
      </c>
      <c r="G398" s="6" t="s">
        <v>330</v>
      </c>
    </row>
    <row r="399" spans="1:7">
      <c r="A399" s="45" t="str">
        <f>IF(COUNTIF($B$2:B399,B399)=1,"ok","dup")</f>
        <v>dup</v>
      </c>
      <c r="B399" s="45" t="str">
        <f t="shared" si="6"/>
        <v>Erythrocebus_patas35.5</v>
      </c>
      <c r="C399" s="6" t="s">
        <v>65</v>
      </c>
      <c r="D399" s="7">
        <v>35.5</v>
      </c>
      <c r="E399" s="14" t="s">
        <v>220</v>
      </c>
      <c r="F399" s="14" t="s">
        <v>373</v>
      </c>
      <c r="G399" s="6" t="s">
        <v>239</v>
      </c>
    </row>
    <row r="400" spans="1:7">
      <c r="A400" s="45" t="str">
        <f>IF(COUNTIF($B$2:B400,B400)=1,"ok","dup")</f>
        <v>dup</v>
      </c>
      <c r="B400" s="45" t="str">
        <f t="shared" si="6"/>
        <v>Erythrocebus_patas35.5</v>
      </c>
      <c r="C400" s="6" t="s">
        <v>65</v>
      </c>
      <c r="D400" s="7">
        <v>35.5</v>
      </c>
      <c r="E400" s="14" t="s">
        <v>220</v>
      </c>
      <c r="F400" s="14" t="s">
        <v>327</v>
      </c>
      <c r="G400" s="6" t="s">
        <v>228</v>
      </c>
    </row>
    <row r="401" spans="1:6">
      <c r="A401" s="45" t="str">
        <f>IF(COUNTIF($B$2:B401,B401)=1,"ok","dup")</f>
        <v>ok</v>
      </c>
      <c r="B401" s="45" t="str">
        <f t="shared" si="6"/>
        <v>Erythrocebus_patas37</v>
      </c>
      <c r="C401" s="6" t="s">
        <v>65</v>
      </c>
      <c r="D401" s="7">
        <v>37</v>
      </c>
      <c r="E401" s="14" t="s">
        <v>220</v>
      </c>
      <c r="F401" s="14" t="s">
        <v>374</v>
      </c>
    </row>
    <row r="402" spans="1:6">
      <c r="A402" s="45" t="str">
        <f>IF(COUNTIF($B$2:B402,B402)=1,"ok","dup")</f>
        <v>ok</v>
      </c>
      <c r="B402" s="45" t="str">
        <f t="shared" si="6"/>
        <v>Erythrocebus_patas44</v>
      </c>
      <c r="C402" s="6" t="s">
        <v>65</v>
      </c>
      <c r="D402" s="7">
        <v>44</v>
      </c>
      <c r="E402" s="14" t="s">
        <v>220</v>
      </c>
      <c r="F402" s="14" t="s">
        <v>366</v>
      </c>
    </row>
    <row r="403" spans="1:6">
      <c r="A403" s="45" t="str">
        <f>IF(COUNTIF($B$2:B403,B403)=1,"ok","dup")</f>
        <v>ok</v>
      </c>
      <c r="B403" s="45" t="str">
        <f t="shared" si="6"/>
        <v>Erythrocebus_patas45</v>
      </c>
      <c r="C403" s="6" t="s">
        <v>65</v>
      </c>
      <c r="D403" s="7">
        <v>45</v>
      </c>
      <c r="E403" s="14" t="s">
        <v>220</v>
      </c>
      <c r="F403" s="14" t="s">
        <v>366</v>
      </c>
    </row>
    <row r="404" spans="1:6">
      <c r="A404" s="45" t="str">
        <f>IF(COUNTIF($B$2:B404,B404)=1,"ok","dup")</f>
        <v>ok</v>
      </c>
      <c r="B404" s="45" t="str">
        <f t="shared" si="6"/>
        <v>Erythrocebus_patas51</v>
      </c>
      <c r="C404" s="6" t="s">
        <v>65</v>
      </c>
      <c r="D404" s="7">
        <v>51</v>
      </c>
      <c r="E404" s="14" t="s">
        <v>220</v>
      </c>
      <c r="F404" s="14" t="s">
        <v>375</v>
      </c>
    </row>
    <row r="405" spans="1:6">
      <c r="A405" s="45" t="str">
        <f>IF(COUNTIF($B$2:B405,B405)=1,"ok","dup")</f>
        <v>ok</v>
      </c>
      <c r="B405" s="45" t="str">
        <f t="shared" si="6"/>
        <v>Erythrocebus_patas8</v>
      </c>
      <c r="C405" s="6" t="s">
        <v>65</v>
      </c>
      <c r="D405" s="7">
        <v>8</v>
      </c>
      <c r="E405" s="14" t="s">
        <v>220</v>
      </c>
      <c r="F405" s="14" t="s">
        <v>376</v>
      </c>
    </row>
    <row r="406" spans="1:6">
      <c r="A406" s="45" t="str">
        <f>IF(COUNTIF($B$2:B406,B406)=1,"ok","dup")</f>
        <v>ok</v>
      </c>
      <c r="B406" s="45" t="str">
        <f t="shared" si="6"/>
        <v>Erythrocebus_patas10</v>
      </c>
      <c r="C406" s="6" t="s">
        <v>65</v>
      </c>
      <c r="D406" s="7">
        <v>10</v>
      </c>
      <c r="E406" s="14" t="s">
        <v>214</v>
      </c>
      <c r="F406" s="14" t="s">
        <v>377</v>
      </c>
    </row>
    <row r="407" spans="1:6">
      <c r="A407" s="45" t="str">
        <f>IF(COUNTIF($B$2:B407,B407)=1,"ok","dup")</f>
        <v>ok</v>
      </c>
      <c r="B407" s="45" t="str">
        <f t="shared" si="6"/>
        <v>Eulemur_coronatus8.4</v>
      </c>
      <c r="C407" s="6" t="s">
        <v>378</v>
      </c>
      <c r="D407" s="7">
        <v>8.4</v>
      </c>
      <c r="E407" s="14" t="s">
        <v>276</v>
      </c>
      <c r="F407" s="14" t="s">
        <v>277</v>
      </c>
    </row>
    <row r="408" spans="1:6">
      <c r="A408" s="45" t="str">
        <f>IF(COUNTIF($B$2:B408,B408)=1,"ok","dup")</f>
        <v>ok</v>
      </c>
      <c r="B408" s="45" t="str">
        <f t="shared" si="6"/>
        <v>Eulemur_coronatus5.5</v>
      </c>
      <c r="C408" s="6" t="s">
        <v>378</v>
      </c>
      <c r="D408" s="7">
        <v>5.5</v>
      </c>
      <c r="E408" s="14" t="s">
        <v>211</v>
      </c>
    </row>
    <row r="409" spans="1:6">
      <c r="A409" s="45" t="str">
        <f>IF(COUNTIF($B$2:B409,B409)=1,"ok","dup")</f>
        <v>ok</v>
      </c>
      <c r="B409" s="45" t="str">
        <f t="shared" si="6"/>
        <v>Eulemur_fulvus_fulvus9.5</v>
      </c>
      <c r="C409" s="6" t="s">
        <v>66</v>
      </c>
      <c r="D409" s="7">
        <v>9.5</v>
      </c>
      <c r="E409" s="14" t="s">
        <v>216</v>
      </c>
      <c r="F409" s="14" t="s">
        <v>320</v>
      </c>
    </row>
    <row r="410" spans="1:6">
      <c r="A410" s="45" t="str">
        <f>IF(COUNTIF($B$2:B410,B410)=1,"ok","dup")</f>
        <v>ok</v>
      </c>
      <c r="B410" s="45" t="str">
        <f t="shared" si="6"/>
        <v>Eulemur_fulvus_fulvus9</v>
      </c>
      <c r="C410" s="6" t="s">
        <v>66</v>
      </c>
      <c r="D410" s="7">
        <v>9</v>
      </c>
      <c r="E410" s="14" t="s">
        <v>212</v>
      </c>
    </row>
    <row r="411" spans="1:6">
      <c r="A411" s="45" t="str">
        <f>IF(COUNTIF($B$2:B411,B411)=1,"ok","dup")</f>
        <v>dup</v>
      </c>
      <c r="B411" s="45" t="str">
        <f t="shared" si="6"/>
        <v>Eulemur_fulvus_fulvus9.5</v>
      </c>
      <c r="C411" s="6" t="s">
        <v>66</v>
      </c>
      <c r="D411" s="7">
        <v>9.5</v>
      </c>
      <c r="E411" s="14" t="s">
        <v>218</v>
      </c>
      <c r="F411" s="14" t="s">
        <v>379</v>
      </c>
    </row>
    <row r="412" spans="1:6">
      <c r="A412" s="45" t="str">
        <f>IF(COUNTIF($B$2:B412,B412)=1,"ok","dup")</f>
        <v>ok</v>
      </c>
      <c r="B412" s="45" t="str">
        <f t="shared" si="6"/>
        <v>Eulemur_fulvus_fulvus9.4</v>
      </c>
      <c r="C412" s="6" t="s">
        <v>66</v>
      </c>
      <c r="D412" s="7">
        <v>9.4</v>
      </c>
      <c r="E412" s="14" t="s">
        <v>213</v>
      </c>
    </row>
    <row r="413" spans="1:6">
      <c r="A413" s="45" t="str">
        <f>IF(COUNTIF($B$2:B413,B413)=1,"ok","dup")</f>
        <v>ok</v>
      </c>
      <c r="B413" s="45" t="str">
        <f t="shared" si="6"/>
        <v>Eulemur_fulvus_fulvus15.5</v>
      </c>
      <c r="C413" s="6" t="s">
        <v>66</v>
      </c>
      <c r="D413" s="7">
        <v>15.5</v>
      </c>
      <c r="E413" s="14" t="s">
        <v>211</v>
      </c>
    </row>
    <row r="414" spans="1:6">
      <c r="A414" s="45" t="str">
        <f>IF(COUNTIF($B$2:B414,B414)=1,"ok","dup")</f>
        <v>ok</v>
      </c>
      <c r="B414" s="45" t="str">
        <f t="shared" si="6"/>
        <v>Eulemur_fulvus_fulvus7</v>
      </c>
      <c r="C414" s="6" t="s">
        <v>66</v>
      </c>
      <c r="D414" s="7">
        <v>7</v>
      </c>
      <c r="E414" s="14" t="s">
        <v>214</v>
      </c>
      <c r="F414" s="14" t="s">
        <v>380</v>
      </c>
    </row>
    <row r="415" spans="1:6">
      <c r="A415" s="45" t="str">
        <f>IF(COUNTIF($B$2:B415,B415)=1,"ok","dup")</f>
        <v>ok</v>
      </c>
      <c r="B415" s="45" t="str">
        <f t="shared" si="6"/>
        <v>Eulemur_fulvus_rufus9.2</v>
      </c>
      <c r="C415" s="6" t="s">
        <v>381</v>
      </c>
      <c r="D415" s="7">
        <v>9.1999999999999993</v>
      </c>
      <c r="E415" s="14" t="s">
        <v>276</v>
      </c>
      <c r="F415" s="14" t="s">
        <v>277</v>
      </c>
    </row>
    <row r="416" spans="1:6">
      <c r="A416" s="45" t="str">
        <f>IF(COUNTIF($B$2:B416,B416)=1,"ok","dup")</f>
        <v>ok</v>
      </c>
      <c r="B416" s="45" t="str">
        <f t="shared" si="6"/>
        <v>Eulemur_macaco_macaco8.4</v>
      </c>
      <c r="C416" s="6" t="s">
        <v>382</v>
      </c>
      <c r="D416" s="7">
        <v>8.4</v>
      </c>
      <c r="E416" s="14" t="s">
        <v>276</v>
      </c>
      <c r="F416" s="14" t="s">
        <v>277</v>
      </c>
    </row>
    <row r="417" spans="1:7">
      <c r="A417" s="45" t="str">
        <f>IF(COUNTIF($B$2:B417,B417)=1,"ok","dup")</f>
        <v>ok</v>
      </c>
      <c r="B417" s="45" t="str">
        <f t="shared" si="6"/>
        <v>Eulemur_macaco_macaco10</v>
      </c>
      <c r="C417" s="6" t="s">
        <v>382</v>
      </c>
      <c r="D417" s="7">
        <v>10</v>
      </c>
      <c r="E417" s="14" t="s">
        <v>212</v>
      </c>
    </row>
    <row r="418" spans="1:7">
      <c r="A418" s="45" t="str">
        <f>IF(COUNTIF($B$2:B418,B418)=1,"ok","dup")</f>
        <v>ok</v>
      </c>
      <c r="B418" s="45" t="str">
        <f t="shared" si="6"/>
        <v>Eulemur_macaco_macaco8.5</v>
      </c>
      <c r="C418" s="6" t="s">
        <v>382</v>
      </c>
      <c r="D418" s="7">
        <v>8.5</v>
      </c>
      <c r="E418" s="14" t="s">
        <v>211</v>
      </c>
    </row>
    <row r="419" spans="1:7">
      <c r="A419" s="45" t="str">
        <f>IF(COUNTIF($B$2:B419,B419)=1,"ok","dup")</f>
        <v>ok</v>
      </c>
      <c r="B419" s="45" t="str">
        <f t="shared" si="6"/>
        <v>Eulemur_mongoz3.5</v>
      </c>
      <c r="C419" s="6" t="s">
        <v>67</v>
      </c>
      <c r="D419" s="7">
        <v>3.5</v>
      </c>
      <c r="E419" s="14" t="s">
        <v>276</v>
      </c>
      <c r="F419" s="14" t="s">
        <v>277</v>
      </c>
    </row>
    <row r="420" spans="1:7">
      <c r="A420" s="45" t="str">
        <f>IF(COUNTIF($B$2:B420,B420)=1,"ok","dup")</f>
        <v>ok</v>
      </c>
      <c r="B420" s="45" t="str">
        <f t="shared" si="6"/>
        <v>Eulemur_mongoz2.6</v>
      </c>
      <c r="C420" s="6" t="s">
        <v>67</v>
      </c>
      <c r="D420" s="7">
        <v>2.6</v>
      </c>
      <c r="E420" s="14" t="s">
        <v>216</v>
      </c>
      <c r="F420" s="14" t="s">
        <v>320</v>
      </c>
    </row>
    <row r="421" spans="1:7">
      <c r="A421" s="45" t="str">
        <f>IF(COUNTIF($B$2:B421,B421)=1,"ok","dup")</f>
        <v>ok</v>
      </c>
      <c r="B421" s="45" t="str">
        <f t="shared" si="6"/>
        <v>Eulemur_mongoz2</v>
      </c>
      <c r="C421" s="6" t="s">
        <v>67</v>
      </c>
      <c r="D421" s="7">
        <v>2</v>
      </c>
      <c r="E421" s="14" t="s">
        <v>212</v>
      </c>
    </row>
    <row r="422" spans="1:7">
      <c r="A422" s="45" t="str">
        <f>IF(COUNTIF($B$2:B422,B422)=1,"ok","dup")</f>
        <v>dup</v>
      </c>
      <c r="B422" s="45" t="str">
        <f t="shared" si="6"/>
        <v>Eulemur_mongoz2.6</v>
      </c>
      <c r="C422" s="6" t="s">
        <v>67</v>
      </c>
      <c r="D422" s="7">
        <v>2.6</v>
      </c>
      <c r="E422" s="14" t="s">
        <v>213</v>
      </c>
    </row>
    <row r="423" spans="1:7">
      <c r="A423" s="45" t="str">
        <f>IF(COUNTIF($B$2:B423,B423)=1,"ok","dup")</f>
        <v>dup</v>
      </c>
      <c r="B423" s="45" t="str">
        <f t="shared" si="6"/>
        <v>Eulemur_mongoz3.5</v>
      </c>
      <c r="C423" s="6" t="s">
        <v>67</v>
      </c>
      <c r="D423" s="7">
        <v>3.5</v>
      </c>
      <c r="E423" s="14" t="s">
        <v>211</v>
      </c>
    </row>
    <row r="424" spans="1:7">
      <c r="A424" s="45" t="str">
        <f>IF(COUNTIF($B$2:B424,B424)=1,"ok","dup")</f>
        <v>ok</v>
      </c>
      <c r="B424" s="45" t="str">
        <f t="shared" si="6"/>
        <v>Eulemur_rubriventer3.2</v>
      </c>
      <c r="C424" s="6" t="s">
        <v>383</v>
      </c>
      <c r="D424" s="7">
        <v>3.2</v>
      </c>
      <c r="E424" s="14" t="s">
        <v>276</v>
      </c>
      <c r="F424" s="14" t="s">
        <v>277</v>
      </c>
    </row>
    <row r="425" spans="1:7">
      <c r="A425" s="45" t="str">
        <f>IF(COUNTIF($B$2:B425,B425)=1,"ok","dup")</f>
        <v>ok</v>
      </c>
      <c r="B425" s="45" t="str">
        <f t="shared" si="6"/>
        <v>Eulemur_rubriventer3</v>
      </c>
      <c r="C425" s="6" t="s">
        <v>383</v>
      </c>
      <c r="D425" s="7">
        <v>3</v>
      </c>
      <c r="E425" s="14" t="s">
        <v>211</v>
      </c>
    </row>
    <row r="426" spans="1:7">
      <c r="A426" s="45" t="str">
        <f>IF(COUNTIF($B$2:B426,B426)=1,"ok","dup")</f>
        <v>ok</v>
      </c>
      <c r="B426" s="45" t="str">
        <f t="shared" si="6"/>
        <v>Euoticus_elegantulus1</v>
      </c>
      <c r="C426" s="6" t="s">
        <v>384</v>
      </c>
      <c r="D426" s="7">
        <v>1</v>
      </c>
      <c r="E426" s="14" t="s">
        <v>213</v>
      </c>
    </row>
    <row r="427" spans="1:7">
      <c r="A427" s="45" t="str">
        <f>IF(COUNTIF($B$2:B427,B427)=1,"ok","dup")</f>
        <v>ok</v>
      </c>
      <c r="B427" s="45" t="str">
        <f t="shared" si="6"/>
        <v>Euoticus_elegantulus4</v>
      </c>
      <c r="C427" s="6" t="s">
        <v>384</v>
      </c>
      <c r="D427" s="7">
        <v>4</v>
      </c>
      <c r="E427" s="14" t="s">
        <v>211</v>
      </c>
      <c r="G427" s="6" t="s">
        <v>352</v>
      </c>
    </row>
    <row r="428" spans="1:7">
      <c r="A428" s="45" t="str">
        <f>IF(COUNTIF($B$2:B428,B428)=1,"ok","dup")</f>
        <v>ok</v>
      </c>
      <c r="B428" s="45" t="str">
        <f t="shared" si="6"/>
        <v>Galago_alleni1</v>
      </c>
      <c r="C428" s="6" t="s">
        <v>385</v>
      </c>
      <c r="D428" s="7">
        <v>1</v>
      </c>
      <c r="E428" s="14" t="s">
        <v>213</v>
      </c>
    </row>
    <row r="429" spans="1:7">
      <c r="A429" s="45" t="str">
        <f>IF(COUNTIF($B$2:B429,B429)=1,"ok","dup")</f>
        <v>ok</v>
      </c>
      <c r="B429" s="45" t="str">
        <f t="shared" si="6"/>
        <v>Galago_alleni2.5</v>
      </c>
      <c r="C429" s="6" t="s">
        <v>385</v>
      </c>
      <c r="D429" s="7">
        <v>2.5</v>
      </c>
      <c r="E429" s="14" t="s">
        <v>211</v>
      </c>
      <c r="G429" s="6" t="s">
        <v>352</v>
      </c>
    </row>
    <row r="430" spans="1:7">
      <c r="A430" s="45" t="str">
        <f>IF(COUNTIF($B$2:B430,B430)=1,"ok","dup")</f>
        <v>ok</v>
      </c>
      <c r="B430" s="45" t="str">
        <f t="shared" si="6"/>
        <v>Galago_moholi2</v>
      </c>
      <c r="C430" s="6" t="s">
        <v>386</v>
      </c>
      <c r="D430" s="7">
        <v>2</v>
      </c>
      <c r="E430" s="14" t="s">
        <v>211</v>
      </c>
    </row>
    <row r="431" spans="1:7">
      <c r="A431" s="45" t="str">
        <f>IF(COUNTIF($B$2:B431,B431)=1,"ok","dup")</f>
        <v>ok</v>
      </c>
      <c r="B431" s="45" t="str">
        <f t="shared" si="6"/>
        <v>Galago_senegalensis1</v>
      </c>
      <c r="C431" s="6" t="s">
        <v>68</v>
      </c>
      <c r="D431" s="7">
        <v>1</v>
      </c>
      <c r="E431" s="14" t="s">
        <v>213</v>
      </c>
    </row>
    <row r="432" spans="1:7">
      <c r="A432" s="45" t="str">
        <f>IF(COUNTIF($B$2:B432,B432)=1,"ok","dup")</f>
        <v>ok</v>
      </c>
      <c r="B432" s="45" t="str">
        <f t="shared" si="6"/>
        <v>Galagoides_demidoff1</v>
      </c>
      <c r="C432" s="6" t="s">
        <v>69</v>
      </c>
      <c r="D432" s="7">
        <v>1</v>
      </c>
      <c r="E432" s="14" t="s">
        <v>213</v>
      </c>
    </row>
    <row r="433" spans="1:7">
      <c r="A433" s="45" t="str">
        <f>IF(COUNTIF($B$2:B433,B433)=1,"ok","dup")</f>
        <v>ok</v>
      </c>
      <c r="B433" s="45" t="str">
        <f t="shared" si="6"/>
        <v>Galagoides_demidoff3.5</v>
      </c>
      <c r="C433" s="6" t="s">
        <v>69</v>
      </c>
      <c r="D433" s="7">
        <v>3.5</v>
      </c>
      <c r="E433" s="14" t="s">
        <v>211</v>
      </c>
      <c r="G433" s="6" t="s">
        <v>352</v>
      </c>
    </row>
    <row r="434" spans="1:7">
      <c r="A434" s="45" t="str">
        <f>IF(COUNTIF($B$2:B434,B434)=1,"ok","dup")</f>
        <v>ok</v>
      </c>
      <c r="B434" s="45" t="str">
        <f t="shared" si="6"/>
        <v>Galagoides_zanzibaricus3.5</v>
      </c>
      <c r="C434" s="6" t="s">
        <v>387</v>
      </c>
      <c r="D434" s="7">
        <v>3.5</v>
      </c>
      <c r="E434" s="14" t="s">
        <v>211</v>
      </c>
      <c r="G434" s="6" t="s">
        <v>352</v>
      </c>
    </row>
    <row r="435" spans="1:7">
      <c r="A435" s="45" t="str">
        <f>IF(COUNTIF($B$2:B435,B435)=1,"ok","dup")</f>
        <v>ok</v>
      </c>
      <c r="B435" s="45" t="str">
        <f t="shared" si="6"/>
        <v>Gorilla_beringei17</v>
      </c>
      <c r="C435" s="6" t="s">
        <v>71</v>
      </c>
      <c r="D435" s="7">
        <v>17</v>
      </c>
      <c r="E435" s="14" t="s">
        <v>213</v>
      </c>
    </row>
    <row r="436" spans="1:7">
      <c r="A436" s="45" t="str">
        <f>IF(COUNTIF($B$2:B436,B436)=1,"ok","dup")</f>
        <v>ok</v>
      </c>
      <c r="B436" s="45" t="str">
        <f t="shared" si="6"/>
        <v>Gorilla_beringei9</v>
      </c>
      <c r="C436" s="6" t="s">
        <v>71</v>
      </c>
      <c r="D436" s="7">
        <v>9</v>
      </c>
      <c r="E436" s="14" t="s">
        <v>211</v>
      </c>
    </row>
    <row r="437" spans="1:7">
      <c r="A437" s="45" t="str">
        <f>IF(COUNTIF($B$2:B437,B437)=1,"ok","dup")</f>
        <v>ok</v>
      </c>
      <c r="B437" s="45" t="str">
        <f t="shared" si="6"/>
        <v>Gorilla_gorilla_gorilla9</v>
      </c>
      <c r="C437" s="6" t="s">
        <v>73</v>
      </c>
      <c r="D437" s="7">
        <v>9</v>
      </c>
      <c r="E437" s="14" t="s">
        <v>216</v>
      </c>
      <c r="F437" s="14" t="s">
        <v>388</v>
      </c>
    </row>
    <row r="438" spans="1:7">
      <c r="A438" s="45" t="str">
        <f>IF(COUNTIF($B$2:B438,B438)=1,"ok","dup")</f>
        <v>ok</v>
      </c>
      <c r="B438" s="45" t="str">
        <f t="shared" si="6"/>
        <v>Gorilla_gorilla_gorilla6</v>
      </c>
      <c r="C438" s="6" t="s">
        <v>73</v>
      </c>
      <c r="D438" s="7">
        <v>6</v>
      </c>
      <c r="E438" s="14" t="s">
        <v>218</v>
      </c>
      <c r="F438" s="14" t="s">
        <v>389</v>
      </c>
    </row>
    <row r="439" spans="1:7">
      <c r="A439" s="45" t="str">
        <f>IF(COUNTIF($B$2:B439,B439)=1,"ok","dup")</f>
        <v>ok</v>
      </c>
      <c r="B439" s="45" t="str">
        <f t="shared" si="6"/>
        <v>Gorilla_gorilla_gorilla12</v>
      </c>
      <c r="C439" s="6" t="s">
        <v>73</v>
      </c>
      <c r="D439" s="7">
        <v>12</v>
      </c>
      <c r="E439" s="14" t="s">
        <v>211</v>
      </c>
    </row>
    <row r="440" spans="1:7">
      <c r="A440" s="45" t="str">
        <f>IF(COUNTIF($B$2:B440,B440)=1,"ok","dup")</f>
        <v>ok</v>
      </c>
      <c r="B440" s="45" t="str">
        <f t="shared" si="6"/>
        <v>Gorilla_gorilla_gorilla11</v>
      </c>
      <c r="C440" s="6" t="s">
        <v>73</v>
      </c>
      <c r="D440" s="7">
        <v>11</v>
      </c>
      <c r="E440" s="14" t="s">
        <v>220</v>
      </c>
      <c r="F440" s="14" t="s">
        <v>390</v>
      </c>
    </row>
    <row r="441" spans="1:7">
      <c r="A441" s="45" t="str">
        <f>IF(COUNTIF($B$2:B441,B441)=1,"ok","dup")</f>
        <v>dup</v>
      </c>
      <c r="B441" s="45" t="str">
        <f t="shared" si="6"/>
        <v>Gorilla_gorilla_gorilla11</v>
      </c>
      <c r="C441" s="6" t="s">
        <v>73</v>
      </c>
      <c r="D441" s="7">
        <v>11</v>
      </c>
      <c r="E441" s="14" t="s">
        <v>220</v>
      </c>
      <c r="F441" s="14" t="s">
        <v>390</v>
      </c>
    </row>
    <row r="442" spans="1:7">
      <c r="A442" s="45" t="str">
        <f>IF(COUNTIF($B$2:B442,B442)=1,"ok","dup")</f>
        <v>ok</v>
      </c>
      <c r="B442" s="45" t="str">
        <f t="shared" si="6"/>
        <v>Gorilla_gorilla_gorilla13</v>
      </c>
      <c r="C442" s="6" t="s">
        <v>73</v>
      </c>
      <c r="D442" s="7">
        <v>13</v>
      </c>
      <c r="E442" s="14" t="s">
        <v>220</v>
      </c>
      <c r="F442" s="14" t="s">
        <v>390</v>
      </c>
    </row>
    <row r="443" spans="1:7">
      <c r="A443" s="45" t="str">
        <f>IF(COUNTIF($B$2:B443,B443)=1,"ok","dup")</f>
        <v>dup</v>
      </c>
      <c r="B443" s="45" t="str">
        <f t="shared" si="6"/>
        <v>Gorilla_gorilla_gorilla13</v>
      </c>
      <c r="C443" s="6" t="s">
        <v>73</v>
      </c>
      <c r="D443" s="7">
        <v>13</v>
      </c>
      <c r="E443" s="14" t="s">
        <v>220</v>
      </c>
      <c r="F443" s="14" t="s">
        <v>391</v>
      </c>
    </row>
    <row r="444" spans="1:7">
      <c r="A444" s="45" t="str">
        <f>IF(COUNTIF($B$2:B444,B444)=1,"ok","dup")</f>
        <v>ok</v>
      </c>
      <c r="B444" s="45" t="str">
        <f t="shared" si="6"/>
        <v>Gorilla_gorilla_gorilla13.7</v>
      </c>
      <c r="C444" s="6" t="s">
        <v>73</v>
      </c>
      <c r="D444" s="7">
        <v>13.7</v>
      </c>
      <c r="E444" s="14" t="s">
        <v>220</v>
      </c>
      <c r="F444" s="14" t="s">
        <v>392</v>
      </c>
      <c r="G444" s="6" t="s">
        <v>226</v>
      </c>
    </row>
    <row r="445" spans="1:7">
      <c r="A445" s="45" t="str">
        <f>IF(COUNTIF($B$2:B445,B445)=1,"ok","dup")</f>
        <v>ok</v>
      </c>
      <c r="B445" s="45" t="str">
        <f t="shared" si="6"/>
        <v>Gorilla_gorilla_gorilla14</v>
      </c>
      <c r="C445" s="6" t="s">
        <v>73</v>
      </c>
      <c r="D445" s="7">
        <v>14</v>
      </c>
      <c r="E445" s="14" t="s">
        <v>220</v>
      </c>
      <c r="F445" s="14" t="s">
        <v>390</v>
      </c>
    </row>
    <row r="446" spans="1:7">
      <c r="A446" s="45" t="str">
        <f>IF(COUNTIF($B$2:B446,B446)=1,"ok","dup")</f>
        <v>ok</v>
      </c>
      <c r="B446" s="45" t="str">
        <f t="shared" si="6"/>
        <v>Gorilla_gorilla_gorilla16</v>
      </c>
      <c r="C446" s="6" t="s">
        <v>73</v>
      </c>
      <c r="D446" s="7">
        <v>16</v>
      </c>
      <c r="E446" s="14" t="s">
        <v>220</v>
      </c>
      <c r="F446" s="14" t="s">
        <v>390</v>
      </c>
    </row>
    <row r="447" spans="1:7">
      <c r="A447" s="45" t="str">
        <f>IF(COUNTIF($B$2:B447,B447)=1,"ok","dup")</f>
        <v>ok</v>
      </c>
      <c r="B447" s="45" t="str">
        <f t="shared" si="6"/>
        <v>Gorilla_gorilla_gorilla17</v>
      </c>
      <c r="C447" s="6" t="s">
        <v>73</v>
      </c>
      <c r="D447" s="7">
        <v>17</v>
      </c>
      <c r="E447" s="14" t="s">
        <v>220</v>
      </c>
      <c r="F447" s="14" t="s">
        <v>393</v>
      </c>
      <c r="G447" s="6" t="s">
        <v>394</v>
      </c>
    </row>
    <row r="448" spans="1:7">
      <c r="A448" s="45" t="str">
        <f>IF(COUNTIF($B$2:B448,B448)=1,"ok","dup")</f>
        <v>ok</v>
      </c>
      <c r="B448" s="45" t="str">
        <f t="shared" si="6"/>
        <v>Gorilla_gorilla_gorilla2</v>
      </c>
      <c r="C448" s="6" t="s">
        <v>73</v>
      </c>
      <c r="D448" s="7">
        <v>2</v>
      </c>
      <c r="E448" s="14" t="s">
        <v>220</v>
      </c>
      <c r="F448" s="14" t="s">
        <v>390</v>
      </c>
    </row>
    <row r="449" spans="1:7">
      <c r="A449" s="45" t="str">
        <f>IF(COUNTIF($B$2:B449,B449)=1,"ok","dup")</f>
        <v>ok</v>
      </c>
      <c r="B449" s="45" t="str">
        <f t="shared" si="6"/>
        <v>Gorilla_gorilla_gorilla27</v>
      </c>
      <c r="C449" s="6" t="s">
        <v>73</v>
      </c>
      <c r="D449" s="7">
        <v>27</v>
      </c>
      <c r="E449" s="14" t="s">
        <v>220</v>
      </c>
      <c r="F449" s="14" t="s">
        <v>392</v>
      </c>
      <c r="G449" s="6" t="s">
        <v>239</v>
      </c>
    </row>
    <row r="450" spans="1:7">
      <c r="A450" s="45" t="str">
        <f>IF(COUNTIF($B$2:B450,B450)=1,"ok","dup")</f>
        <v>ok</v>
      </c>
      <c r="B450" s="45" t="str">
        <f t="shared" ref="B450:B513" si="7">C450&amp;D450</f>
        <v>Gorilla_gorilla_gorilla3</v>
      </c>
      <c r="C450" s="6" t="s">
        <v>73</v>
      </c>
      <c r="D450" s="7">
        <v>3</v>
      </c>
      <c r="E450" s="14" t="s">
        <v>220</v>
      </c>
      <c r="F450" s="14" t="s">
        <v>390</v>
      </c>
    </row>
    <row r="451" spans="1:7">
      <c r="A451" s="45" t="str">
        <f>IF(COUNTIF($B$2:B451,B451)=1,"ok","dup")</f>
        <v>dup</v>
      </c>
      <c r="B451" s="45" t="str">
        <f t="shared" si="7"/>
        <v>Gorilla_gorilla_gorilla3</v>
      </c>
      <c r="C451" s="6" t="s">
        <v>73</v>
      </c>
      <c r="D451" s="7">
        <v>3</v>
      </c>
      <c r="E451" s="14" t="s">
        <v>220</v>
      </c>
      <c r="F451" s="14" t="s">
        <v>395</v>
      </c>
    </row>
    <row r="452" spans="1:7">
      <c r="A452" s="45" t="str">
        <f>IF(COUNTIF($B$2:B452,B452)=1,"ok","dup")</f>
        <v>ok</v>
      </c>
      <c r="B452" s="45" t="str">
        <f t="shared" si="7"/>
        <v>Gorilla_gorilla_gorilla4</v>
      </c>
      <c r="C452" s="6" t="s">
        <v>73</v>
      </c>
      <c r="D452" s="7">
        <v>4</v>
      </c>
      <c r="E452" s="14" t="s">
        <v>220</v>
      </c>
      <c r="F452" s="14" t="s">
        <v>390</v>
      </c>
    </row>
    <row r="453" spans="1:7">
      <c r="A453" s="45" t="str">
        <f>IF(COUNTIF($B$2:B453,B453)=1,"ok","dup")</f>
        <v>ok</v>
      </c>
      <c r="B453" s="45" t="str">
        <f t="shared" si="7"/>
        <v>Gorilla_gorilla_gorilla5</v>
      </c>
      <c r="C453" s="6" t="s">
        <v>73</v>
      </c>
      <c r="D453" s="7">
        <v>5</v>
      </c>
      <c r="E453" s="14" t="s">
        <v>220</v>
      </c>
      <c r="F453" s="14" t="s">
        <v>390</v>
      </c>
    </row>
    <row r="454" spans="1:7">
      <c r="A454" s="45" t="str">
        <f>IF(COUNTIF($B$2:B454,B454)=1,"ok","dup")</f>
        <v>dup</v>
      </c>
      <c r="B454" s="45" t="str">
        <f t="shared" si="7"/>
        <v>Gorilla_gorilla_gorilla6</v>
      </c>
      <c r="C454" s="6" t="s">
        <v>73</v>
      </c>
      <c r="D454" s="7">
        <v>6</v>
      </c>
      <c r="E454" s="14" t="s">
        <v>220</v>
      </c>
      <c r="F454" s="14" t="s">
        <v>396</v>
      </c>
      <c r="G454" s="6" t="s">
        <v>222</v>
      </c>
    </row>
    <row r="455" spans="1:7">
      <c r="A455" s="45" t="str">
        <f>IF(COUNTIF($B$2:B455,B455)=1,"ok","dup")</f>
        <v>dup</v>
      </c>
      <c r="B455" s="45" t="str">
        <f t="shared" si="7"/>
        <v>Gorilla_gorilla_gorilla6</v>
      </c>
      <c r="C455" s="6" t="s">
        <v>73</v>
      </c>
      <c r="D455" s="7">
        <v>6</v>
      </c>
      <c r="E455" s="14" t="s">
        <v>220</v>
      </c>
      <c r="F455" s="14" t="s">
        <v>390</v>
      </c>
    </row>
    <row r="456" spans="1:7">
      <c r="A456" s="45" t="str">
        <f>IF(COUNTIF($B$2:B456,B456)=1,"ok","dup")</f>
        <v>ok</v>
      </c>
      <c r="B456" s="45" t="str">
        <f t="shared" si="7"/>
        <v>Gorilla_gorilla_gorilla7</v>
      </c>
      <c r="C456" s="6" t="s">
        <v>73</v>
      </c>
      <c r="D456" s="7">
        <v>7</v>
      </c>
      <c r="E456" s="14" t="s">
        <v>220</v>
      </c>
      <c r="F456" s="14" t="s">
        <v>390</v>
      </c>
    </row>
    <row r="457" spans="1:7">
      <c r="A457" s="45" t="str">
        <f>IF(COUNTIF($B$2:B457,B457)=1,"ok","dup")</f>
        <v>dup</v>
      </c>
      <c r="B457" s="45" t="str">
        <f t="shared" si="7"/>
        <v>Gorilla_gorilla_gorilla7</v>
      </c>
      <c r="C457" s="6" t="s">
        <v>73</v>
      </c>
      <c r="D457" s="7">
        <v>7</v>
      </c>
      <c r="E457" s="14" t="s">
        <v>220</v>
      </c>
      <c r="F457" s="14" t="s">
        <v>390</v>
      </c>
    </row>
    <row r="458" spans="1:7">
      <c r="A458" s="45" t="str">
        <f>IF(COUNTIF($B$2:B458,B458)=1,"ok","dup")</f>
        <v>dup</v>
      </c>
      <c r="B458" s="45" t="str">
        <f t="shared" si="7"/>
        <v>Gorilla_gorilla_gorilla9</v>
      </c>
      <c r="C458" s="6" t="s">
        <v>73</v>
      </c>
      <c r="D458" s="7">
        <v>9</v>
      </c>
      <c r="E458" s="14" t="s">
        <v>220</v>
      </c>
      <c r="F458" s="14" t="s">
        <v>397</v>
      </c>
      <c r="G458" s="6" t="s">
        <v>228</v>
      </c>
    </row>
    <row r="459" spans="1:7">
      <c r="A459" s="45" t="str">
        <f>IF(COUNTIF($B$2:B459,B459)=1,"ok","dup")</f>
        <v>dup</v>
      </c>
      <c r="B459" s="45" t="str">
        <f t="shared" si="7"/>
        <v>Gorilla_gorilla_gorilla9</v>
      </c>
      <c r="C459" s="6" t="s">
        <v>73</v>
      </c>
      <c r="D459" s="7">
        <v>9</v>
      </c>
      <c r="E459" s="14" t="s">
        <v>220</v>
      </c>
      <c r="F459" s="14" t="s">
        <v>396</v>
      </c>
      <c r="G459" s="6" t="s">
        <v>222</v>
      </c>
    </row>
    <row r="460" spans="1:7">
      <c r="A460" s="45" t="str">
        <f>IF(COUNTIF($B$2:B460,B460)=1,"ok","dup")</f>
        <v>dup</v>
      </c>
      <c r="B460" s="45" t="str">
        <f t="shared" si="7"/>
        <v>Gorilla_gorilla_gorilla9</v>
      </c>
      <c r="C460" s="6" t="s">
        <v>73</v>
      </c>
      <c r="D460" s="7">
        <v>9</v>
      </c>
      <c r="E460" s="14" t="s">
        <v>220</v>
      </c>
      <c r="F460" s="14" t="s">
        <v>390</v>
      </c>
    </row>
    <row r="461" spans="1:7">
      <c r="A461" s="45" t="str">
        <f>IF(COUNTIF($B$2:B461,B461)=1,"ok","dup")</f>
        <v>dup</v>
      </c>
      <c r="B461" s="45" t="str">
        <f t="shared" si="7"/>
        <v>Gorilla_gorilla_gorilla9</v>
      </c>
      <c r="C461" s="6" t="s">
        <v>73</v>
      </c>
      <c r="D461" s="7">
        <v>9</v>
      </c>
      <c r="E461" s="14" t="s">
        <v>220</v>
      </c>
      <c r="F461" s="14" t="s">
        <v>390</v>
      </c>
    </row>
    <row r="462" spans="1:7">
      <c r="A462" s="45" t="str">
        <f>IF(COUNTIF($B$2:B462,B462)=1,"ok","dup")</f>
        <v>dup</v>
      </c>
      <c r="B462" s="45" t="str">
        <f t="shared" si="7"/>
        <v>Gorilla_gorilla_gorilla9</v>
      </c>
      <c r="C462" s="6" t="s">
        <v>73</v>
      </c>
      <c r="D462" s="7">
        <v>9</v>
      </c>
      <c r="E462" s="14" t="s">
        <v>220</v>
      </c>
      <c r="F462" s="14" t="s">
        <v>398</v>
      </c>
    </row>
    <row r="463" spans="1:7">
      <c r="A463" s="45" t="str">
        <f>IF(COUNTIF($B$2:B463,B463)=1,"ok","dup")</f>
        <v>ok</v>
      </c>
      <c r="B463" s="45" t="str">
        <f t="shared" si="7"/>
        <v>Gorilla_gorilla_gorilla9.2</v>
      </c>
      <c r="C463" s="6" t="s">
        <v>73</v>
      </c>
      <c r="D463" s="7">
        <v>9.1999999999999993</v>
      </c>
      <c r="E463" s="14" t="s">
        <v>220</v>
      </c>
      <c r="F463" s="14" t="s">
        <v>399</v>
      </c>
      <c r="G463" s="6" t="s">
        <v>226</v>
      </c>
    </row>
    <row r="464" spans="1:7">
      <c r="A464" s="45" t="str">
        <f>IF(COUNTIF($B$2:B464,B464)=1,"ok","dup")</f>
        <v>ok</v>
      </c>
      <c r="B464" s="45" t="str">
        <f t="shared" si="7"/>
        <v>Gorilla_gorilla_gorilla9.4</v>
      </c>
      <c r="C464" s="6" t="s">
        <v>73</v>
      </c>
      <c r="D464" s="7">
        <v>9.4</v>
      </c>
      <c r="E464" s="14" t="s">
        <v>220</v>
      </c>
      <c r="F464" s="14" t="s">
        <v>400</v>
      </c>
      <c r="G464" s="6" t="s">
        <v>226</v>
      </c>
    </row>
    <row r="465" spans="1:7">
      <c r="A465" s="45" t="str">
        <f>IF(COUNTIF($B$2:B465,B465)=1,"ok","dup")</f>
        <v>ok</v>
      </c>
      <c r="B465" s="45" t="str">
        <f t="shared" si="7"/>
        <v>Gorilla_gorilla_gorilla9.5</v>
      </c>
      <c r="C465" s="6" t="s">
        <v>73</v>
      </c>
      <c r="D465" s="7">
        <v>9.5</v>
      </c>
      <c r="E465" s="14" t="s">
        <v>220</v>
      </c>
      <c r="F465" s="14" t="s">
        <v>401</v>
      </c>
      <c r="G465" s="6" t="s">
        <v>226</v>
      </c>
    </row>
    <row r="466" spans="1:7">
      <c r="A466" s="45" t="str">
        <f>IF(COUNTIF($B$2:B466,B466)=1,"ok","dup")</f>
        <v>ok</v>
      </c>
      <c r="B466" s="45" t="str">
        <f t="shared" si="7"/>
        <v>Hapalemur_aureus3</v>
      </c>
      <c r="C466" s="6" t="s">
        <v>402</v>
      </c>
      <c r="D466" s="7">
        <v>3</v>
      </c>
      <c r="E466" s="14" t="s">
        <v>211</v>
      </c>
    </row>
    <row r="467" spans="1:7">
      <c r="A467" s="45" t="str">
        <f>IF(COUNTIF($B$2:B467,B467)=1,"ok","dup")</f>
        <v>ok</v>
      </c>
      <c r="B467" s="45" t="str">
        <f t="shared" si="7"/>
        <v>Hapalemur_griseus2.6</v>
      </c>
      <c r="C467" s="6" t="s">
        <v>403</v>
      </c>
      <c r="D467" s="7">
        <v>2.6</v>
      </c>
      <c r="E467" s="14" t="s">
        <v>276</v>
      </c>
      <c r="F467" s="14" t="s">
        <v>277</v>
      </c>
    </row>
    <row r="468" spans="1:7">
      <c r="A468" s="45" t="str">
        <f>IF(COUNTIF($B$2:B468,B468)=1,"ok","dup")</f>
        <v>ok</v>
      </c>
      <c r="B468" s="45" t="str">
        <f t="shared" si="7"/>
        <v>Hapalemur_griseus4.5</v>
      </c>
      <c r="C468" s="6" t="s">
        <v>403</v>
      </c>
      <c r="D468" s="7">
        <v>4.5</v>
      </c>
      <c r="E468" s="14" t="s">
        <v>212</v>
      </c>
    </row>
    <row r="469" spans="1:7">
      <c r="A469" s="45" t="str">
        <f>IF(COUNTIF($B$2:B469,B469)=1,"ok","dup")</f>
        <v>dup</v>
      </c>
      <c r="B469" s="45" t="str">
        <f t="shared" si="7"/>
        <v>Hapalemur_griseus4.5</v>
      </c>
      <c r="C469" s="6" t="s">
        <v>403</v>
      </c>
      <c r="D469" s="7">
        <v>4.5</v>
      </c>
      <c r="E469" s="14" t="s">
        <v>211</v>
      </c>
    </row>
    <row r="470" spans="1:7">
      <c r="A470" s="45" t="str">
        <f>IF(COUNTIF($B$2:B470,B470)=1,"ok","dup")</f>
        <v>ok</v>
      </c>
      <c r="B470" s="45" t="str">
        <f t="shared" si="7"/>
        <v>Hapalemur_simus8</v>
      </c>
      <c r="C470" s="6" t="s">
        <v>404</v>
      </c>
      <c r="D470" s="7">
        <v>8</v>
      </c>
      <c r="E470" s="14" t="s">
        <v>211</v>
      </c>
    </row>
    <row r="471" spans="1:7">
      <c r="A471" s="45" t="str">
        <f>IF(COUNTIF($B$2:B471,B471)=1,"ok","dup")</f>
        <v>ok</v>
      </c>
      <c r="B471" s="45" t="str">
        <f t="shared" si="7"/>
        <v>Hylobates_agilis4.4</v>
      </c>
      <c r="C471" s="6" t="s">
        <v>405</v>
      </c>
      <c r="D471" s="7">
        <v>4.4000000000000004</v>
      </c>
      <c r="E471" s="14" t="s">
        <v>216</v>
      </c>
      <c r="F471" s="14" t="s">
        <v>406</v>
      </c>
    </row>
    <row r="472" spans="1:7">
      <c r="A472" s="45" t="str">
        <f>IF(COUNTIF($B$2:B472,B472)=1,"ok","dup")</f>
        <v>dup</v>
      </c>
      <c r="B472" s="45" t="str">
        <f t="shared" si="7"/>
        <v>Hylobates_agilis4.4</v>
      </c>
      <c r="C472" s="6" t="s">
        <v>405</v>
      </c>
      <c r="D472" s="7">
        <v>4.4000000000000004</v>
      </c>
      <c r="E472" s="14" t="s">
        <v>212</v>
      </c>
    </row>
    <row r="473" spans="1:7">
      <c r="A473" s="45" t="str">
        <f>IF(COUNTIF($B$2:B473,B473)=1,"ok","dup")</f>
        <v>dup</v>
      </c>
      <c r="B473" s="45" t="str">
        <f t="shared" si="7"/>
        <v>Hylobates_agilis4.4</v>
      </c>
      <c r="C473" s="6" t="s">
        <v>405</v>
      </c>
      <c r="D473" s="7">
        <v>4.4000000000000004</v>
      </c>
      <c r="E473" s="14" t="s">
        <v>218</v>
      </c>
      <c r="F473" s="14" t="s">
        <v>407</v>
      </c>
    </row>
    <row r="474" spans="1:7">
      <c r="A474" s="45" t="str">
        <f>IF(COUNTIF($B$2:B474,B474)=1,"ok","dup")</f>
        <v>ok</v>
      </c>
      <c r="B474" s="45" t="str">
        <f t="shared" si="7"/>
        <v>Hylobates_agilis3.5</v>
      </c>
      <c r="C474" s="6" t="s">
        <v>405</v>
      </c>
      <c r="D474" s="7">
        <v>3.5</v>
      </c>
      <c r="E474" s="14" t="s">
        <v>213</v>
      </c>
    </row>
    <row r="475" spans="1:7">
      <c r="A475" s="45" t="str">
        <f>IF(COUNTIF($B$2:B475,B475)=1,"ok","dup")</f>
        <v>dup</v>
      </c>
      <c r="B475" s="45" t="str">
        <f t="shared" si="7"/>
        <v>Hylobates_agilis4.4</v>
      </c>
      <c r="C475" s="6" t="s">
        <v>405</v>
      </c>
      <c r="D475" s="7">
        <v>4.4000000000000004</v>
      </c>
      <c r="E475" s="14" t="s">
        <v>211</v>
      </c>
    </row>
    <row r="476" spans="1:7">
      <c r="A476" s="45" t="str">
        <f>IF(COUNTIF($B$2:B476,B476)=1,"ok","dup")</f>
        <v>ok</v>
      </c>
      <c r="B476" s="45" t="str">
        <f t="shared" si="7"/>
        <v>Hylobates_klossii3.7</v>
      </c>
      <c r="C476" s="6" t="s">
        <v>408</v>
      </c>
      <c r="D476" s="7">
        <v>3.7</v>
      </c>
      <c r="E476" s="14" t="s">
        <v>216</v>
      </c>
      <c r="F476" s="14" t="s">
        <v>406</v>
      </c>
    </row>
    <row r="477" spans="1:7">
      <c r="A477" s="45" t="str">
        <f>IF(COUNTIF($B$2:B477,B477)=1,"ok","dup")</f>
        <v>dup</v>
      </c>
      <c r="B477" s="45" t="str">
        <f t="shared" si="7"/>
        <v>Hylobates_klossii3.7</v>
      </c>
      <c r="C477" s="6" t="s">
        <v>408</v>
      </c>
      <c r="D477" s="7">
        <v>3.7</v>
      </c>
      <c r="E477" s="14" t="s">
        <v>212</v>
      </c>
    </row>
    <row r="478" spans="1:7">
      <c r="A478" s="45" t="str">
        <f>IF(COUNTIF($B$2:B478,B478)=1,"ok","dup")</f>
        <v>ok</v>
      </c>
      <c r="B478" s="45" t="str">
        <f t="shared" si="7"/>
        <v>Hylobates_klossii3.8</v>
      </c>
      <c r="C478" s="6" t="s">
        <v>408</v>
      </c>
      <c r="D478" s="7">
        <v>3.8</v>
      </c>
      <c r="E478" s="14" t="s">
        <v>212</v>
      </c>
    </row>
    <row r="479" spans="1:7">
      <c r="A479" s="45" t="str">
        <f>IF(COUNTIF($B$2:B479,B479)=1,"ok","dup")</f>
        <v>ok</v>
      </c>
      <c r="B479" s="45" t="str">
        <f t="shared" si="7"/>
        <v>Hylobates_klossii3.4</v>
      </c>
      <c r="C479" s="6" t="s">
        <v>408</v>
      </c>
      <c r="D479" s="7">
        <v>3.4</v>
      </c>
      <c r="E479" s="14" t="s">
        <v>218</v>
      </c>
      <c r="F479" s="14" t="s">
        <v>409</v>
      </c>
    </row>
    <row r="480" spans="1:7">
      <c r="A480" s="45" t="str">
        <f>IF(COUNTIF($B$2:B480,B480)=1,"ok","dup")</f>
        <v>ok</v>
      </c>
      <c r="B480" s="45" t="str">
        <f t="shared" si="7"/>
        <v>Hylobates_klossii3.5</v>
      </c>
      <c r="C480" s="6" t="s">
        <v>408</v>
      </c>
      <c r="D480" s="7">
        <v>3.5</v>
      </c>
      <c r="E480" s="14" t="s">
        <v>213</v>
      </c>
    </row>
    <row r="481" spans="1:7">
      <c r="A481" s="45" t="str">
        <f>IF(COUNTIF($B$2:B481,B481)=1,"ok","dup")</f>
        <v>dup</v>
      </c>
      <c r="B481" s="45" t="str">
        <f t="shared" si="7"/>
        <v>Hylobates_klossii3.4</v>
      </c>
      <c r="C481" s="6" t="s">
        <v>408</v>
      </c>
      <c r="D481" s="7">
        <v>3.4</v>
      </c>
      <c r="E481" s="14" t="s">
        <v>211</v>
      </c>
    </row>
    <row r="482" spans="1:7">
      <c r="A482" s="45" t="str">
        <f>IF(COUNTIF($B$2:B482,B482)=1,"ok","dup")</f>
        <v>ok</v>
      </c>
      <c r="B482" s="45" t="str">
        <f t="shared" si="7"/>
        <v>Hylobates_lar3.5</v>
      </c>
      <c r="C482" s="6" t="s">
        <v>77</v>
      </c>
      <c r="D482" s="7">
        <v>3.5</v>
      </c>
      <c r="E482" s="14" t="s">
        <v>216</v>
      </c>
      <c r="F482" s="14" t="s">
        <v>406</v>
      </c>
    </row>
    <row r="483" spans="1:7">
      <c r="A483" s="45" t="str">
        <f>IF(COUNTIF($B$2:B483,B483)=1,"ok","dup")</f>
        <v>ok</v>
      </c>
      <c r="B483" s="45" t="str">
        <f t="shared" si="7"/>
        <v>Hylobates_lar3.3</v>
      </c>
      <c r="C483" s="6" t="s">
        <v>77</v>
      </c>
      <c r="D483" s="7">
        <v>3.3</v>
      </c>
      <c r="E483" s="14" t="s">
        <v>212</v>
      </c>
    </row>
    <row r="484" spans="1:7">
      <c r="A484" s="45" t="str">
        <f>IF(COUNTIF($B$2:B484,B484)=1,"ok","dup")</f>
        <v>dup</v>
      </c>
      <c r="B484" s="45" t="str">
        <f t="shared" si="7"/>
        <v>Hylobates_lar3.5</v>
      </c>
      <c r="C484" s="6" t="s">
        <v>77</v>
      </c>
      <c r="D484" s="7">
        <v>3.5</v>
      </c>
      <c r="E484" s="14" t="s">
        <v>212</v>
      </c>
    </row>
    <row r="485" spans="1:7">
      <c r="A485" s="45" t="str">
        <f>IF(COUNTIF($B$2:B485,B485)=1,"ok","dup")</f>
        <v>ok</v>
      </c>
      <c r="B485" s="45" t="str">
        <f t="shared" si="7"/>
        <v>Hylobates_lar3.8</v>
      </c>
      <c r="C485" s="6" t="s">
        <v>77</v>
      </c>
      <c r="D485" s="7">
        <v>3.8</v>
      </c>
      <c r="E485" s="14" t="s">
        <v>218</v>
      </c>
      <c r="F485" s="14" t="s">
        <v>410</v>
      </c>
    </row>
    <row r="486" spans="1:7">
      <c r="A486" s="45" t="str">
        <f>IF(COUNTIF($B$2:B486,B486)=1,"ok","dup")</f>
        <v>dup</v>
      </c>
      <c r="B486" s="45" t="str">
        <f t="shared" si="7"/>
        <v>Hylobates_lar3.5</v>
      </c>
      <c r="C486" s="6" t="s">
        <v>77</v>
      </c>
      <c r="D486" s="7">
        <v>3.5</v>
      </c>
      <c r="E486" s="14" t="s">
        <v>213</v>
      </c>
    </row>
    <row r="487" spans="1:7">
      <c r="A487" s="45" t="str">
        <f>IF(COUNTIF($B$2:B487,B487)=1,"ok","dup")</f>
        <v>ok</v>
      </c>
      <c r="B487" s="45" t="str">
        <f t="shared" si="7"/>
        <v>Hylobates_lar5</v>
      </c>
      <c r="C487" s="6" t="s">
        <v>77</v>
      </c>
      <c r="D487" s="7">
        <v>5</v>
      </c>
      <c r="E487" s="14" t="s">
        <v>211</v>
      </c>
    </row>
    <row r="488" spans="1:7">
      <c r="A488" s="45" t="str">
        <f>IF(COUNTIF($B$2:B488,B488)=1,"ok","dup")</f>
        <v>ok</v>
      </c>
      <c r="B488" s="45" t="str">
        <f t="shared" si="7"/>
        <v>Hylobates_lar2</v>
      </c>
      <c r="C488" s="6" t="s">
        <v>77</v>
      </c>
      <c r="D488" s="7">
        <v>2</v>
      </c>
      <c r="E488" s="14" t="s">
        <v>220</v>
      </c>
      <c r="F488" s="14" t="s">
        <v>411</v>
      </c>
      <c r="G488" s="6" t="s">
        <v>222</v>
      </c>
    </row>
    <row r="489" spans="1:7">
      <c r="A489" s="45" t="str">
        <f>IF(COUNTIF($B$2:B489,B489)=1,"ok","dup")</f>
        <v>dup</v>
      </c>
      <c r="B489" s="45" t="str">
        <f t="shared" si="7"/>
        <v>Hylobates_lar2</v>
      </c>
      <c r="C489" s="6" t="s">
        <v>77</v>
      </c>
      <c r="D489" s="7">
        <v>2</v>
      </c>
      <c r="E489" s="14" t="s">
        <v>220</v>
      </c>
      <c r="F489" s="14" t="s">
        <v>412</v>
      </c>
    </row>
    <row r="490" spans="1:7">
      <c r="A490" s="45" t="str">
        <f>IF(COUNTIF($B$2:B490,B490)=1,"ok","dup")</f>
        <v>ok</v>
      </c>
      <c r="B490" s="45" t="str">
        <f t="shared" si="7"/>
        <v>Hylobates_lar3</v>
      </c>
      <c r="C490" s="6" t="s">
        <v>77</v>
      </c>
      <c r="D490" s="7">
        <v>3</v>
      </c>
      <c r="E490" s="14" t="s">
        <v>220</v>
      </c>
      <c r="F490" s="14" t="s">
        <v>413</v>
      </c>
    </row>
    <row r="491" spans="1:7">
      <c r="A491" s="45" t="str">
        <f>IF(COUNTIF($B$2:B491,B491)=1,"ok","dup")</f>
        <v>dup</v>
      </c>
      <c r="B491" s="45" t="str">
        <f t="shared" si="7"/>
        <v>Hylobates_lar3</v>
      </c>
      <c r="C491" s="6" t="s">
        <v>77</v>
      </c>
      <c r="D491" s="7">
        <v>3</v>
      </c>
      <c r="E491" s="14" t="s">
        <v>220</v>
      </c>
      <c r="F491" s="14" t="s">
        <v>412</v>
      </c>
    </row>
    <row r="492" spans="1:7">
      <c r="A492" s="45" t="str">
        <f>IF(COUNTIF($B$2:B492,B492)=1,"ok","dup")</f>
        <v>dup</v>
      </c>
      <c r="B492" s="45" t="str">
        <f t="shared" si="7"/>
        <v>Hylobates_lar3</v>
      </c>
      <c r="C492" s="6" t="s">
        <v>77</v>
      </c>
      <c r="D492" s="7">
        <v>3</v>
      </c>
      <c r="E492" s="14" t="s">
        <v>220</v>
      </c>
      <c r="F492" s="14" t="s">
        <v>412</v>
      </c>
    </row>
    <row r="493" spans="1:7">
      <c r="A493" s="45" t="str">
        <f>IF(COUNTIF($B$2:B493,B493)=1,"ok","dup")</f>
        <v>dup</v>
      </c>
      <c r="B493" s="45" t="str">
        <f t="shared" si="7"/>
        <v>Hylobates_lar3.5</v>
      </c>
      <c r="C493" s="6" t="s">
        <v>77</v>
      </c>
      <c r="D493" s="7">
        <v>3.5</v>
      </c>
      <c r="E493" s="14" t="s">
        <v>220</v>
      </c>
      <c r="F493" s="14" t="s">
        <v>414</v>
      </c>
      <c r="G493" s="6" t="s">
        <v>228</v>
      </c>
    </row>
    <row r="494" spans="1:7">
      <c r="A494" s="45" t="str">
        <f>IF(COUNTIF($B$2:B494,B494)=1,"ok","dup")</f>
        <v>dup</v>
      </c>
      <c r="B494" s="45" t="str">
        <f t="shared" si="7"/>
        <v>Hylobates_lar3.5</v>
      </c>
      <c r="C494" s="6" t="s">
        <v>77</v>
      </c>
      <c r="D494" s="7">
        <v>3.5</v>
      </c>
      <c r="E494" s="14" t="s">
        <v>220</v>
      </c>
      <c r="F494" s="14" t="s">
        <v>415</v>
      </c>
      <c r="G494" s="6" t="s">
        <v>235</v>
      </c>
    </row>
    <row r="495" spans="1:7">
      <c r="A495" s="45" t="str">
        <f>IF(COUNTIF($B$2:B495,B495)=1,"ok","dup")</f>
        <v>ok</v>
      </c>
      <c r="B495" s="45" t="str">
        <f t="shared" si="7"/>
        <v>Hylobates_lar4</v>
      </c>
      <c r="C495" s="6" t="s">
        <v>77</v>
      </c>
      <c r="D495" s="7">
        <v>4</v>
      </c>
      <c r="E495" s="14" t="s">
        <v>220</v>
      </c>
      <c r="F495" s="14" t="s">
        <v>411</v>
      </c>
      <c r="G495" s="6" t="s">
        <v>222</v>
      </c>
    </row>
    <row r="496" spans="1:7">
      <c r="A496" s="45" t="str">
        <f>IF(COUNTIF($B$2:B496,B496)=1,"ok","dup")</f>
        <v>dup</v>
      </c>
      <c r="B496" s="45" t="str">
        <f t="shared" si="7"/>
        <v>Hylobates_lar4</v>
      </c>
      <c r="C496" s="6" t="s">
        <v>77</v>
      </c>
      <c r="D496" s="7">
        <v>4</v>
      </c>
      <c r="E496" s="14" t="s">
        <v>220</v>
      </c>
      <c r="F496" s="14" t="s">
        <v>413</v>
      </c>
    </row>
    <row r="497" spans="1:6">
      <c r="A497" s="45" t="str">
        <f>IF(COUNTIF($B$2:B497,B497)=1,"ok","dup")</f>
        <v>dup</v>
      </c>
      <c r="B497" s="45" t="str">
        <f t="shared" si="7"/>
        <v>Hylobates_lar4</v>
      </c>
      <c r="C497" s="6" t="s">
        <v>77</v>
      </c>
      <c r="D497" s="7">
        <v>4</v>
      </c>
      <c r="E497" s="14" t="s">
        <v>220</v>
      </c>
      <c r="F497" s="14" t="s">
        <v>413</v>
      </c>
    </row>
    <row r="498" spans="1:6">
      <c r="A498" s="45" t="str">
        <f>IF(COUNTIF($B$2:B498,B498)=1,"ok","dup")</f>
        <v>dup</v>
      </c>
      <c r="B498" s="45" t="str">
        <f t="shared" si="7"/>
        <v>Hylobates_lar4</v>
      </c>
      <c r="C498" s="6" t="s">
        <v>77</v>
      </c>
      <c r="D498" s="7">
        <v>4</v>
      </c>
      <c r="E498" s="14" t="s">
        <v>220</v>
      </c>
      <c r="F498" s="14" t="s">
        <v>413</v>
      </c>
    </row>
    <row r="499" spans="1:6">
      <c r="A499" s="45" t="str">
        <f>IF(COUNTIF($B$2:B499,B499)=1,"ok","dup")</f>
        <v>dup</v>
      </c>
      <c r="B499" s="45" t="str">
        <f t="shared" si="7"/>
        <v>Hylobates_lar4</v>
      </c>
      <c r="C499" s="6" t="s">
        <v>77</v>
      </c>
      <c r="D499" s="7">
        <v>4</v>
      </c>
      <c r="E499" s="14" t="s">
        <v>220</v>
      </c>
      <c r="F499" s="14" t="s">
        <v>413</v>
      </c>
    </row>
    <row r="500" spans="1:6">
      <c r="A500" s="45" t="str">
        <f>IF(COUNTIF($B$2:B500,B500)=1,"ok","dup")</f>
        <v>dup</v>
      </c>
      <c r="B500" s="45" t="str">
        <f t="shared" si="7"/>
        <v>Hylobates_lar4</v>
      </c>
      <c r="C500" s="6" t="s">
        <v>77</v>
      </c>
      <c r="D500" s="7">
        <v>4</v>
      </c>
      <c r="E500" s="14" t="s">
        <v>220</v>
      </c>
      <c r="F500" s="14" t="s">
        <v>413</v>
      </c>
    </row>
    <row r="501" spans="1:6">
      <c r="A501" s="45" t="str">
        <f>IF(COUNTIF($B$2:B501,B501)=1,"ok","dup")</f>
        <v>dup</v>
      </c>
      <c r="B501" s="45" t="str">
        <f t="shared" si="7"/>
        <v>Hylobates_lar4</v>
      </c>
      <c r="C501" s="6" t="s">
        <v>77</v>
      </c>
      <c r="D501" s="7">
        <v>4</v>
      </c>
      <c r="E501" s="14" t="s">
        <v>220</v>
      </c>
      <c r="F501" s="14" t="s">
        <v>413</v>
      </c>
    </row>
    <row r="502" spans="1:6">
      <c r="A502" s="45" t="str">
        <f>IF(COUNTIF($B$2:B502,B502)=1,"ok","dup")</f>
        <v>dup</v>
      </c>
      <c r="B502" s="45" t="str">
        <f t="shared" si="7"/>
        <v>Hylobates_lar4</v>
      </c>
      <c r="C502" s="6" t="s">
        <v>77</v>
      </c>
      <c r="D502" s="7">
        <v>4</v>
      </c>
      <c r="E502" s="14" t="s">
        <v>220</v>
      </c>
      <c r="F502" s="14" t="s">
        <v>413</v>
      </c>
    </row>
    <row r="503" spans="1:6">
      <c r="A503" s="45" t="str">
        <f>IF(COUNTIF($B$2:B503,B503)=1,"ok","dup")</f>
        <v>dup</v>
      </c>
      <c r="B503" s="45" t="str">
        <f t="shared" si="7"/>
        <v>Hylobates_lar4</v>
      </c>
      <c r="C503" s="6" t="s">
        <v>77</v>
      </c>
      <c r="D503" s="7">
        <v>4</v>
      </c>
      <c r="E503" s="14" t="s">
        <v>220</v>
      </c>
      <c r="F503" s="14" t="s">
        <v>412</v>
      </c>
    </row>
    <row r="504" spans="1:6">
      <c r="A504" s="45" t="str">
        <f>IF(COUNTIF($B$2:B504,B504)=1,"ok","dup")</f>
        <v>dup</v>
      </c>
      <c r="B504" s="45" t="str">
        <f t="shared" si="7"/>
        <v>Hylobates_lar4</v>
      </c>
      <c r="C504" s="6" t="s">
        <v>77</v>
      </c>
      <c r="D504" s="7">
        <v>4</v>
      </c>
      <c r="E504" s="14" t="s">
        <v>220</v>
      </c>
      <c r="F504" s="14" t="s">
        <v>416</v>
      </c>
    </row>
    <row r="505" spans="1:6">
      <c r="A505" s="45" t="str">
        <f>IF(COUNTIF($B$2:B505,B505)=1,"ok","dup")</f>
        <v>dup</v>
      </c>
      <c r="B505" s="45" t="str">
        <f t="shared" si="7"/>
        <v>Hylobates_lar4</v>
      </c>
      <c r="C505" s="6" t="s">
        <v>77</v>
      </c>
      <c r="D505" s="7">
        <v>4</v>
      </c>
      <c r="E505" s="14" t="s">
        <v>220</v>
      </c>
      <c r="F505" s="14" t="s">
        <v>417</v>
      </c>
    </row>
    <row r="506" spans="1:6">
      <c r="A506" s="45" t="str">
        <f>IF(COUNTIF($B$2:B506,B506)=1,"ok","dup")</f>
        <v>dup</v>
      </c>
      <c r="B506" s="45" t="str">
        <f t="shared" si="7"/>
        <v>Hylobates_lar5</v>
      </c>
      <c r="C506" s="6" t="s">
        <v>77</v>
      </c>
      <c r="D506" s="7">
        <v>5</v>
      </c>
      <c r="E506" s="14" t="s">
        <v>220</v>
      </c>
      <c r="F506" s="14" t="s">
        <v>413</v>
      </c>
    </row>
    <row r="507" spans="1:6">
      <c r="A507" s="45" t="str">
        <f>IF(COUNTIF($B$2:B507,B507)=1,"ok","dup")</f>
        <v>dup</v>
      </c>
      <c r="B507" s="45" t="str">
        <f t="shared" si="7"/>
        <v>Hylobates_lar5</v>
      </c>
      <c r="C507" s="6" t="s">
        <v>77</v>
      </c>
      <c r="D507" s="7">
        <v>5</v>
      </c>
      <c r="E507" s="14" t="s">
        <v>220</v>
      </c>
      <c r="F507" s="14" t="s">
        <v>413</v>
      </c>
    </row>
    <row r="508" spans="1:6">
      <c r="A508" s="45" t="str">
        <f>IF(COUNTIF($B$2:B508,B508)=1,"ok","dup")</f>
        <v>dup</v>
      </c>
      <c r="B508" s="45" t="str">
        <f t="shared" si="7"/>
        <v>Hylobates_lar5</v>
      </c>
      <c r="C508" s="6" t="s">
        <v>77</v>
      </c>
      <c r="D508" s="7">
        <v>5</v>
      </c>
      <c r="E508" s="14" t="s">
        <v>220</v>
      </c>
      <c r="F508" s="14" t="s">
        <v>413</v>
      </c>
    </row>
    <row r="509" spans="1:6">
      <c r="A509" s="45" t="str">
        <f>IF(COUNTIF($B$2:B509,B509)=1,"ok","dup")</f>
        <v>dup</v>
      </c>
      <c r="B509" s="45" t="str">
        <f t="shared" si="7"/>
        <v>Hylobates_lar5</v>
      </c>
      <c r="C509" s="6" t="s">
        <v>77</v>
      </c>
      <c r="D509" s="7">
        <v>5</v>
      </c>
      <c r="E509" s="14" t="s">
        <v>220</v>
      </c>
      <c r="F509" s="14" t="s">
        <v>413</v>
      </c>
    </row>
    <row r="510" spans="1:6">
      <c r="A510" s="45" t="str">
        <f>IF(COUNTIF($B$2:B510,B510)=1,"ok","dup")</f>
        <v>dup</v>
      </c>
      <c r="B510" s="45" t="str">
        <f t="shared" si="7"/>
        <v>Hylobates_lar5</v>
      </c>
      <c r="C510" s="6" t="s">
        <v>77</v>
      </c>
      <c r="D510" s="7">
        <v>5</v>
      </c>
      <c r="E510" s="14" t="s">
        <v>220</v>
      </c>
      <c r="F510" s="14" t="s">
        <v>413</v>
      </c>
    </row>
    <row r="511" spans="1:6">
      <c r="A511" s="45" t="str">
        <f>IF(COUNTIF($B$2:B511,B511)=1,"ok","dup")</f>
        <v>dup</v>
      </c>
      <c r="B511" s="45" t="str">
        <f t="shared" si="7"/>
        <v>Hylobates_lar5</v>
      </c>
      <c r="C511" s="6" t="s">
        <v>77</v>
      </c>
      <c r="D511" s="7">
        <v>5</v>
      </c>
      <c r="E511" s="14" t="s">
        <v>220</v>
      </c>
      <c r="F511" s="14" t="s">
        <v>417</v>
      </c>
    </row>
    <row r="512" spans="1:6">
      <c r="A512" s="45" t="str">
        <f>IF(COUNTIF($B$2:B512,B512)=1,"ok","dup")</f>
        <v>ok</v>
      </c>
      <c r="B512" s="45" t="str">
        <f t="shared" si="7"/>
        <v>Hylobates_moloch3.5</v>
      </c>
      <c r="C512" s="6" t="s">
        <v>418</v>
      </c>
      <c r="D512" s="7">
        <v>3.5</v>
      </c>
      <c r="E512" s="14" t="s">
        <v>213</v>
      </c>
    </row>
    <row r="513" spans="1:6">
      <c r="A513" s="45" t="str">
        <f>IF(COUNTIF($B$2:B513,B513)=1,"ok","dup")</f>
        <v>dup</v>
      </c>
      <c r="B513" s="45" t="str">
        <f t="shared" si="7"/>
        <v>Hylobates_moloch3.5</v>
      </c>
      <c r="C513" s="6" t="s">
        <v>418</v>
      </c>
      <c r="D513" s="7">
        <v>3.5</v>
      </c>
      <c r="E513" s="14" t="s">
        <v>211</v>
      </c>
    </row>
    <row r="514" spans="1:6">
      <c r="A514" s="45" t="str">
        <f>IF(COUNTIF($B$2:B514,B514)=1,"ok","dup")</f>
        <v>ok</v>
      </c>
      <c r="B514" s="45" t="str">
        <f t="shared" ref="B514:B577" si="8">C514&amp;D514</f>
        <v>Hylobates_muelleri3.4</v>
      </c>
      <c r="C514" s="6" t="s">
        <v>79</v>
      </c>
      <c r="D514" s="7">
        <v>3.4</v>
      </c>
      <c r="E514" s="14" t="s">
        <v>212</v>
      </c>
    </row>
    <row r="515" spans="1:6">
      <c r="A515" s="45" t="str">
        <f>IF(COUNTIF($B$2:B515,B515)=1,"ok","dup")</f>
        <v>ok</v>
      </c>
      <c r="B515" s="45" t="str">
        <f t="shared" si="8"/>
        <v>Hylobates_muelleri3.5</v>
      </c>
      <c r="C515" s="6" t="s">
        <v>79</v>
      </c>
      <c r="D515" s="7">
        <v>3.5</v>
      </c>
      <c r="E515" s="14" t="s">
        <v>211</v>
      </c>
    </row>
    <row r="516" spans="1:6">
      <c r="A516" s="45" t="str">
        <f>IF(COUNTIF($B$2:B516,B516)=1,"ok","dup")</f>
        <v>ok</v>
      </c>
      <c r="B516" s="45" t="str">
        <f t="shared" si="8"/>
        <v>Hylobates_pileatus3.7</v>
      </c>
      <c r="C516" s="6" t="s">
        <v>419</v>
      </c>
      <c r="D516" s="7">
        <v>3.7</v>
      </c>
      <c r="E516" s="14" t="s">
        <v>212</v>
      </c>
    </row>
    <row r="517" spans="1:6">
      <c r="A517" s="45" t="str">
        <f>IF(COUNTIF($B$2:B517,B517)=1,"ok","dup")</f>
        <v>ok</v>
      </c>
      <c r="B517" s="45" t="str">
        <f t="shared" si="8"/>
        <v>Hylobates_pileatus4</v>
      </c>
      <c r="C517" s="6" t="s">
        <v>419</v>
      </c>
      <c r="D517" s="7">
        <v>4</v>
      </c>
      <c r="E517" s="14" t="s">
        <v>211</v>
      </c>
    </row>
    <row r="518" spans="1:6">
      <c r="A518" s="45" t="str">
        <f>IF(COUNTIF($B$2:B518,B518)=1,"ok","dup")</f>
        <v>ok</v>
      </c>
      <c r="B518" s="45" t="str">
        <f t="shared" si="8"/>
        <v>Indri_indri3.1</v>
      </c>
      <c r="C518" s="6" t="s">
        <v>80</v>
      </c>
      <c r="D518" s="7">
        <v>3.1</v>
      </c>
      <c r="E518" s="14" t="s">
        <v>276</v>
      </c>
      <c r="F518" s="14" t="s">
        <v>277</v>
      </c>
    </row>
    <row r="519" spans="1:6">
      <c r="A519" s="45" t="str">
        <f>IF(COUNTIF($B$2:B519,B519)=1,"ok","dup")</f>
        <v>ok</v>
      </c>
      <c r="B519" s="45" t="str">
        <f t="shared" si="8"/>
        <v>Indri_indri3</v>
      </c>
      <c r="C519" s="6" t="s">
        <v>80</v>
      </c>
      <c r="D519" s="7">
        <v>3</v>
      </c>
      <c r="E519" s="14" t="s">
        <v>216</v>
      </c>
      <c r="F519" s="14" t="s">
        <v>320</v>
      </c>
    </row>
    <row r="520" spans="1:6">
      <c r="A520" s="45" t="str">
        <f>IF(COUNTIF($B$2:B520,B520)=1,"ok","dup")</f>
        <v>ok</v>
      </c>
      <c r="B520" s="45" t="str">
        <f t="shared" si="8"/>
        <v>Indri_indri2</v>
      </c>
      <c r="C520" s="6" t="s">
        <v>80</v>
      </c>
      <c r="D520" s="7">
        <v>2</v>
      </c>
      <c r="E520" s="14" t="s">
        <v>212</v>
      </c>
    </row>
    <row r="521" spans="1:6">
      <c r="A521" s="45" t="str">
        <f>IF(COUNTIF($B$2:B521,B521)=1,"ok","dup")</f>
        <v>ok</v>
      </c>
      <c r="B521" s="45" t="str">
        <f t="shared" si="8"/>
        <v>Indri_indri4.3</v>
      </c>
      <c r="C521" s="6" t="s">
        <v>80</v>
      </c>
      <c r="D521" s="7">
        <v>4.3</v>
      </c>
      <c r="E521" s="14" t="s">
        <v>218</v>
      </c>
      <c r="F521" s="14" t="s">
        <v>420</v>
      </c>
    </row>
    <row r="522" spans="1:6">
      <c r="A522" s="45" t="str">
        <f>IF(COUNTIF($B$2:B522,B522)=1,"ok","dup")</f>
        <v>dup</v>
      </c>
      <c r="B522" s="45" t="str">
        <f t="shared" si="8"/>
        <v>Indri_indri3</v>
      </c>
      <c r="C522" s="6" t="s">
        <v>80</v>
      </c>
      <c r="D522" s="7">
        <v>3</v>
      </c>
      <c r="E522" s="14" t="s">
        <v>213</v>
      </c>
    </row>
    <row r="523" spans="1:6">
      <c r="A523" s="45" t="str">
        <f>IF(COUNTIF($B$2:B523,B523)=1,"ok","dup")</f>
        <v>ok</v>
      </c>
      <c r="B523" s="45" t="str">
        <f t="shared" si="8"/>
        <v>Indri_indri4</v>
      </c>
      <c r="C523" s="6" t="s">
        <v>80</v>
      </c>
      <c r="D523" s="7">
        <v>4</v>
      </c>
      <c r="E523" s="14" t="s">
        <v>211</v>
      </c>
    </row>
    <row r="524" spans="1:6">
      <c r="A524" s="45" t="str">
        <f>IF(COUNTIF($B$2:B524,B524)=1,"ok","dup")</f>
        <v>dup</v>
      </c>
      <c r="B524" s="45" t="str">
        <f t="shared" si="8"/>
        <v>Indri_indri4</v>
      </c>
      <c r="C524" s="6" t="s">
        <v>80</v>
      </c>
      <c r="D524" s="7">
        <v>4</v>
      </c>
      <c r="E524" s="14" t="s">
        <v>214</v>
      </c>
      <c r="F524" s="14" t="s">
        <v>421</v>
      </c>
    </row>
    <row r="525" spans="1:6">
      <c r="A525" s="45" t="str">
        <f>IF(COUNTIF($B$2:B525,B525)=1,"ok","dup")</f>
        <v>ok</v>
      </c>
      <c r="B525" s="45" t="str">
        <f t="shared" si="8"/>
        <v>Lagothrix_lagotricha33</v>
      </c>
      <c r="C525" s="6" t="s">
        <v>81</v>
      </c>
      <c r="D525" s="7">
        <v>33</v>
      </c>
      <c r="E525" s="14" t="s">
        <v>216</v>
      </c>
      <c r="F525" s="14" t="s">
        <v>264</v>
      </c>
    </row>
    <row r="526" spans="1:6">
      <c r="A526" s="45" t="str">
        <f>IF(COUNTIF($B$2:B526,B526)=1,"ok","dup")</f>
        <v>ok</v>
      </c>
      <c r="B526" s="45" t="str">
        <f t="shared" si="8"/>
        <v>Lagothrix_lagotricha23.4</v>
      </c>
      <c r="C526" s="6" t="s">
        <v>81</v>
      </c>
      <c r="D526" s="7">
        <v>23.4</v>
      </c>
      <c r="E526" s="14" t="s">
        <v>212</v>
      </c>
    </row>
    <row r="527" spans="1:6">
      <c r="A527" s="45" t="str">
        <f>IF(COUNTIF($B$2:B527,B527)=1,"ok","dup")</f>
        <v>dup</v>
      </c>
      <c r="B527" s="45" t="str">
        <f t="shared" si="8"/>
        <v>Lagothrix_lagotricha33</v>
      </c>
      <c r="C527" s="6" t="s">
        <v>81</v>
      </c>
      <c r="D527" s="7">
        <v>33</v>
      </c>
      <c r="E527" s="14" t="s">
        <v>212</v>
      </c>
    </row>
    <row r="528" spans="1:6">
      <c r="A528" s="45" t="str">
        <f>IF(COUNTIF($B$2:B528,B528)=1,"ok","dup")</f>
        <v>dup</v>
      </c>
      <c r="B528" s="45" t="str">
        <f t="shared" si="8"/>
        <v>Lagothrix_lagotricha33</v>
      </c>
      <c r="C528" s="6" t="s">
        <v>81</v>
      </c>
      <c r="D528" s="7">
        <v>33</v>
      </c>
      <c r="E528" s="14" t="s">
        <v>211</v>
      </c>
    </row>
    <row r="529" spans="1:7">
      <c r="A529" s="45" t="str">
        <f>IF(COUNTIF($B$2:B529,B529)=1,"ok","dup")</f>
        <v>ok</v>
      </c>
      <c r="B529" s="45" t="str">
        <f t="shared" si="8"/>
        <v>Lagothrix_lagotricha11</v>
      </c>
      <c r="C529" s="6" t="s">
        <v>81</v>
      </c>
      <c r="D529" s="7">
        <v>11</v>
      </c>
      <c r="E529" s="14" t="s">
        <v>220</v>
      </c>
      <c r="F529" s="14" t="s">
        <v>422</v>
      </c>
      <c r="G529" s="6" t="s">
        <v>222</v>
      </c>
    </row>
    <row r="530" spans="1:7">
      <c r="A530" s="45" t="str">
        <f>IF(COUNTIF($B$2:B530,B530)=1,"ok","dup")</f>
        <v>ok</v>
      </c>
      <c r="B530" s="45" t="str">
        <f t="shared" si="8"/>
        <v>Lagothrix_lagotricha12</v>
      </c>
      <c r="C530" s="6" t="s">
        <v>81</v>
      </c>
      <c r="D530" s="7">
        <v>12</v>
      </c>
      <c r="E530" s="14" t="s">
        <v>220</v>
      </c>
      <c r="F530" s="14" t="s">
        <v>423</v>
      </c>
    </row>
    <row r="531" spans="1:7">
      <c r="A531" s="45" t="str">
        <f>IF(COUNTIF($B$2:B531,B531)=1,"ok","dup")</f>
        <v>ok</v>
      </c>
      <c r="B531" s="45" t="str">
        <f t="shared" si="8"/>
        <v>Lagothrix_lagotricha17</v>
      </c>
      <c r="C531" s="6" t="s">
        <v>81</v>
      </c>
      <c r="D531" s="7">
        <v>17</v>
      </c>
      <c r="E531" s="14" t="s">
        <v>220</v>
      </c>
      <c r="F531" s="14" t="s">
        <v>424</v>
      </c>
    </row>
    <row r="532" spans="1:7">
      <c r="A532" s="45" t="str">
        <f>IF(COUNTIF($B$2:B532,B532)=1,"ok","dup")</f>
        <v>ok</v>
      </c>
      <c r="B532" s="45" t="str">
        <f t="shared" si="8"/>
        <v>Lagothrix_lagotricha19</v>
      </c>
      <c r="C532" s="6" t="s">
        <v>81</v>
      </c>
      <c r="D532" s="7">
        <v>19</v>
      </c>
      <c r="E532" s="14" t="s">
        <v>220</v>
      </c>
      <c r="F532" s="14" t="s">
        <v>425</v>
      </c>
      <c r="G532" s="6" t="s">
        <v>222</v>
      </c>
    </row>
    <row r="533" spans="1:7">
      <c r="A533" s="45" t="str">
        <f>IF(COUNTIF($B$2:B533,B533)=1,"ok","dup")</f>
        <v>ok</v>
      </c>
      <c r="B533" s="45" t="str">
        <f t="shared" si="8"/>
        <v>Lagothrix_lagotricha22</v>
      </c>
      <c r="C533" s="6" t="s">
        <v>81</v>
      </c>
      <c r="D533" s="7">
        <v>22</v>
      </c>
      <c r="E533" s="14" t="s">
        <v>220</v>
      </c>
      <c r="F533" s="14" t="s">
        <v>422</v>
      </c>
      <c r="G533" s="6" t="s">
        <v>222</v>
      </c>
    </row>
    <row r="534" spans="1:7">
      <c r="A534" s="45" t="str">
        <f>IF(COUNTIF($B$2:B534,B534)=1,"ok","dup")</f>
        <v>ok</v>
      </c>
      <c r="B534" s="45" t="str">
        <f t="shared" si="8"/>
        <v>Lagothrix_lagotricha23</v>
      </c>
      <c r="C534" s="6" t="s">
        <v>81</v>
      </c>
      <c r="D534" s="7">
        <v>23</v>
      </c>
      <c r="E534" s="14" t="s">
        <v>220</v>
      </c>
      <c r="F534" s="14" t="s">
        <v>426</v>
      </c>
      <c r="G534" s="6" t="s">
        <v>222</v>
      </c>
    </row>
    <row r="535" spans="1:7">
      <c r="A535" s="45" t="str">
        <f>IF(COUNTIF($B$2:B535,B535)=1,"ok","dup")</f>
        <v>dup</v>
      </c>
      <c r="B535" s="45" t="str">
        <f t="shared" si="8"/>
        <v>Lagothrix_lagotricha23</v>
      </c>
      <c r="C535" s="6" t="s">
        <v>81</v>
      </c>
      <c r="D535" s="7">
        <v>23</v>
      </c>
      <c r="E535" s="14" t="s">
        <v>220</v>
      </c>
      <c r="F535" s="14" t="s">
        <v>427</v>
      </c>
    </row>
    <row r="536" spans="1:7">
      <c r="A536" s="45" t="str">
        <f>IF(COUNTIF($B$2:B536,B536)=1,"ok","dup")</f>
        <v>dup</v>
      </c>
      <c r="B536" s="45" t="str">
        <f t="shared" si="8"/>
        <v>Lagothrix_lagotricha23</v>
      </c>
      <c r="C536" s="6" t="s">
        <v>81</v>
      </c>
      <c r="D536" s="7">
        <v>23</v>
      </c>
      <c r="E536" s="14" t="s">
        <v>220</v>
      </c>
      <c r="F536" s="14" t="s">
        <v>428</v>
      </c>
    </row>
    <row r="537" spans="1:7">
      <c r="A537" s="45" t="str">
        <f>IF(COUNTIF($B$2:B537,B537)=1,"ok","dup")</f>
        <v>ok</v>
      </c>
      <c r="B537" s="45" t="str">
        <f t="shared" si="8"/>
        <v>Lagothrix_lagotricha25</v>
      </c>
      <c r="C537" s="6" t="s">
        <v>81</v>
      </c>
      <c r="D537" s="7">
        <v>25</v>
      </c>
      <c r="E537" s="14" t="s">
        <v>220</v>
      </c>
      <c r="F537" s="14" t="s">
        <v>426</v>
      </c>
      <c r="G537" s="6" t="s">
        <v>222</v>
      </c>
    </row>
    <row r="538" spans="1:7">
      <c r="A538" s="45" t="str">
        <f>IF(COUNTIF($B$2:B538,B538)=1,"ok","dup")</f>
        <v>dup</v>
      </c>
      <c r="B538" s="45" t="str">
        <f t="shared" si="8"/>
        <v>Lagothrix_lagotricha25</v>
      </c>
      <c r="C538" s="6" t="s">
        <v>81</v>
      </c>
      <c r="D538" s="7">
        <v>25</v>
      </c>
      <c r="E538" s="14" t="s">
        <v>220</v>
      </c>
      <c r="F538" s="14" t="s">
        <v>429</v>
      </c>
    </row>
    <row r="539" spans="1:7">
      <c r="A539" s="45" t="str">
        <f>IF(COUNTIF($B$2:B539,B539)=1,"ok","dup")</f>
        <v>dup</v>
      </c>
      <c r="B539" s="45" t="str">
        <f t="shared" si="8"/>
        <v>Lagothrix_lagotricha25</v>
      </c>
      <c r="C539" s="6" t="s">
        <v>81</v>
      </c>
      <c r="D539" s="7">
        <v>25</v>
      </c>
      <c r="E539" s="14" t="s">
        <v>220</v>
      </c>
      <c r="F539" s="14" t="s">
        <v>427</v>
      </c>
    </row>
    <row r="540" spans="1:7">
      <c r="A540" s="45" t="str">
        <f>IF(COUNTIF($B$2:B540,B540)=1,"ok","dup")</f>
        <v>ok</v>
      </c>
      <c r="B540" s="45" t="str">
        <f t="shared" si="8"/>
        <v>Lagothrix_lagotricha30</v>
      </c>
      <c r="C540" s="6" t="s">
        <v>81</v>
      </c>
      <c r="D540" s="7">
        <v>30</v>
      </c>
      <c r="E540" s="14" t="s">
        <v>220</v>
      </c>
      <c r="F540" s="14" t="s">
        <v>430</v>
      </c>
    </row>
    <row r="541" spans="1:7">
      <c r="A541" s="45" t="str">
        <f>IF(COUNTIF($B$2:B541,B541)=1,"ok","dup")</f>
        <v>dup</v>
      </c>
      <c r="B541" s="45" t="str">
        <f t="shared" si="8"/>
        <v>Lagothrix_lagotricha33</v>
      </c>
      <c r="C541" s="6" t="s">
        <v>81</v>
      </c>
      <c r="D541" s="7">
        <v>33</v>
      </c>
      <c r="E541" s="14" t="s">
        <v>220</v>
      </c>
      <c r="F541" s="14" t="s">
        <v>314</v>
      </c>
      <c r="G541" s="6" t="s">
        <v>228</v>
      </c>
    </row>
    <row r="542" spans="1:7">
      <c r="A542" s="45" t="str">
        <f>IF(COUNTIF($B$2:B542,B542)=1,"ok","dup")</f>
        <v>ok</v>
      </c>
      <c r="B542" s="45" t="str">
        <f t="shared" si="8"/>
        <v>Lagothrix_lagotricha8</v>
      </c>
      <c r="C542" s="6" t="s">
        <v>81</v>
      </c>
      <c r="D542" s="7">
        <v>8</v>
      </c>
      <c r="E542" s="14" t="s">
        <v>220</v>
      </c>
      <c r="F542" s="14" t="s">
        <v>425</v>
      </c>
      <c r="G542" s="6" t="s">
        <v>222</v>
      </c>
    </row>
    <row r="543" spans="1:7">
      <c r="A543" s="45" t="str">
        <f>IF(COUNTIF($B$2:B543,B543)=1,"ok","dup")</f>
        <v>ok</v>
      </c>
      <c r="B543" s="45" t="str">
        <f t="shared" si="8"/>
        <v>Lemur_catta15.3</v>
      </c>
      <c r="C543" s="6" t="s">
        <v>82</v>
      </c>
      <c r="D543" s="7">
        <v>15.3</v>
      </c>
      <c r="E543" s="14" t="s">
        <v>276</v>
      </c>
      <c r="F543" s="14" t="s">
        <v>277</v>
      </c>
    </row>
    <row r="544" spans="1:7">
      <c r="A544" s="45" t="str">
        <f>IF(COUNTIF($B$2:B544,B544)=1,"ok","dup")</f>
        <v>ok</v>
      </c>
      <c r="B544" s="45" t="str">
        <f t="shared" si="8"/>
        <v>Lemur_catta18</v>
      </c>
      <c r="C544" s="6" t="s">
        <v>82</v>
      </c>
      <c r="D544" s="7">
        <v>18</v>
      </c>
      <c r="E544" s="14" t="s">
        <v>216</v>
      </c>
      <c r="F544" s="14" t="s">
        <v>320</v>
      </c>
    </row>
    <row r="545" spans="1:6">
      <c r="A545" s="45" t="str">
        <f>IF(COUNTIF($B$2:B545,B545)=1,"ok","dup")</f>
        <v>ok</v>
      </c>
      <c r="B545" s="45" t="str">
        <f t="shared" si="8"/>
        <v>Lemur_catta17</v>
      </c>
      <c r="C545" s="6" t="s">
        <v>82</v>
      </c>
      <c r="D545" s="7">
        <v>17</v>
      </c>
      <c r="E545" s="14" t="s">
        <v>212</v>
      </c>
    </row>
    <row r="546" spans="1:6">
      <c r="A546" s="45" t="str">
        <f>IF(COUNTIF($B$2:B546,B546)=1,"ok","dup")</f>
        <v>ok</v>
      </c>
      <c r="B546" s="45" t="str">
        <f t="shared" si="8"/>
        <v>Lemur_catta17.2</v>
      </c>
      <c r="C546" s="6" t="s">
        <v>82</v>
      </c>
      <c r="D546" s="7">
        <v>17.2</v>
      </c>
      <c r="E546" s="14" t="s">
        <v>218</v>
      </c>
      <c r="F546" s="14" t="s">
        <v>431</v>
      </c>
    </row>
    <row r="547" spans="1:6">
      <c r="A547" s="45" t="str">
        <f>IF(COUNTIF($B$2:B547,B547)=1,"ok","dup")</f>
        <v>ok</v>
      </c>
      <c r="B547" s="45" t="str">
        <f t="shared" si="8"/>
        <v>Lemur_catta12</v>
      </c>
      <c r="C547" s="6" t="s">
        <v>82</v>
      </c>
      <c r="D547" s="7">
        <v>12</v>
      </c>
      <c r="E547" s="14" t="s">
        <v>213</v>
      </c>
    </row>
    <row r="548" spans="1:6">
      <c r="A548" s="45" t="str">
        <f>IF(COUNTIF($B$2:B548,B548)=1,"ok","dup")</f>
        <v>dup</v>
      </c>
      <c r="B548" s="45" t="str">
        <f t="shared" si="8"/>
        <v>Lemur_catta17</v>
      </c>
      <c r="C548" s="6" t="s">
        <v>82</v>
      </c>
      <c r="D548" s="7">
        <v>17</v>
      </c>
      <c r="E548" s="14" t="s">
        <v>211</v>
      </c>
    </row>
    <row r="549" spans="1:6">
      <c r="A549" s="45" t="str">
        <f>IF(COUNTIF($B$2:B549,B549)=1,"ok","dup")</f>
        <v>ok</v>
      </c>
      <c r="B549" s="45" t="str">
        <f t="shared" si="8"/>
        <v>Lemur_catta15</v>
      </c>
      <c r="C549" s="6" t="s">
        <v>82</v>
      </c>
      <c r="D549" s="7">
        <v>15</v>
      </c>
      <c r="E549" s="14" t="s">
        <v>214</v>
      </c>
      <c r="F549" s="14" t="s">
        <v>432</v>
      </c>
    </row>
    <row r="550" spans="1:6">
      <c r="A550" s="45" t="str">
        <f>IF(COUNTIF($B$2:B550,B550)=1,"ok","dup")</f>
        <v>ok</v>
      </c>
      <c r="B550" s="45" t="str">
        <f t="shared" si="8"/>
        <v>Leontopithecus_chrysomelas6.7</v>
      </c>
      <c r="C550" s="6" t="s">
        <v>433</v>
      </c>
      <c r="D550" s="7">
        <v>6.7</v>
      </c>
      <c r="E550" s="14" t="s">
        <v>211</v>
      </c>
    </row>
    <row r="551" spans="1:6">
      <c r="A551" s="45" t="str">
        <f>IF(COUNTIF($B$2:B551,B551)=1,"ok","dup")</f>
        <v>ok</v>
      </c>
      <c r="B551" s="45" t="str">
        <f t="shared" si="8"/>
        <v>Leontopithecus_rosalia5</v>
      </c>
      <c r="C551" s="6" t="s">
        <v>83</v>
      </c>
      <c r="D551" s="7">
        <v>5</v>
      </c>
      <c r="E551" s="14" t="s">
        <v>212</v>
      </c>
    </row>
    <row r="552" spans="1:6">
      <c r="A552" s="45" t="str">
        <f>IF(COUNTIF($B$2:B552,B552)=1,"ok","dup")</f>
        <v>ok</v>
      </c>
      <c r="B552" s="45" t="str">
        <f t="shared" si="8"/>
        <v>Leontopithecus_rosalia5.8</v>
      </c>
      <c r="C552" s="6" t="s">
        <v>83</v>
      </c>
      <c r="D552" s="7">
        <v>5.8</v>
      </c>
      <c r="E552" s="14" t="s">
        <v>211</v>
      </c>
    </row>
    <row r="553" spans="1:6">
      <c r="A553" s="45" t="str">
        <f>IF(COUNTIF($B$2:B553,B553)=1,"ok","dup")</f>
        <v>ok</v>
      </c>
      <c r="B553" s="45" t="str">
        <f t="shared" si="8"/>
        <v>Lepilemur_mustelinus2</v>
      </c>
      <c r="C553" s="6" t="s">
        <v>434</v>
      </c>
      <c r="D553" s="7">
        <v>2</v>
      </c>
      <c r="E553" s="14" t="s">
        <v>276</v>
      </c>
      <c r="F553" s="14" t="s">
        <v>277</v>
      </c>
    </row>
    <row r="554" spans="1:6">
      <c r="A554" s="45" t="str">
        <f>IF(COUNTIF($B$2:B554,B554)=1,"ok","dup")</f>
        <v>ok</v>
      </c>
      <c r="B554" s="45" t="str">
        <f t="shared" si="8"/>
        <v>Lepilemur_mustelinus1</v>
      </c>
      <c r="C554" s="6" t="s">
        <v>434</v>
      </c>
      <c r="D554" s="7">
        <v>1</v>
      </c>
      <c r="E554" s="14" t="s">
        <v>212</v>
      </c>
    </row>
    <row r="555" spans="1:6">
      <c r="A555" s="45" t="str">
        <f>IF(COUNTIF($B$2:B555,B555)=1,"ok","dup")</f>
        <v>dup</v>
      </c>
      <c r="B555" s="45" t="str">
        <f t="shared" si="8"/>
        <v>Lepilemur_mustelinus1</v>
      </c>
      <c r="C555" s="6" t="s">
        <v>434</v>
      </c>
      <c r="D555" s="7">
        <v>1</v>
      </c>
      <c r="E555" s="14" t="s">
        <v>213</v>
      </c>
    </row>
    <row r="556" spans="1:6">
      <c r="A556" s="45" t="str">
        <f>IF(COUNTIF($B$2:B556,B556)=1,"ok","dup")</f>
        <v>ok</v>
      </c>
      <c r="B556" s="45" t="str">
        <f t="shared" si="8"/>
        <v>Lophocebus_albigena14.4</v>
      </c>
      <c r="C556" s="6" t="s">
        <v>85</v>
      </c>
      <c r="D556" s="7">
        <v>14.4</v>
      </c>
      <c r="E556" s="14" t="s">
        <v>216</v>
      </c>
      <c r="F556" s="14" t="s">
        <v>435</v>
      </c>
    </row>
    <row r="557" spans="1:6">
      <c r="A557" s="45" t="str">
        <f>IF(COUNTIF($B$2:B557,B557)=1,"ok","dup")</f>
        <v>ok</v>
      </c>
      <c r="B557" s="45" t="str">
        <f t="shared" si="8"/>
        <v>Lophocebus_albigena13</v>
      </c>
      <c r="C557" s="6" t="s">
        <v>85</v>
      </c>
      <c r="D557" s="7">
        <v>13</v>
      </c>
      <c r="E557" s="14" t="s">
        <v>212</v>
      </c>
    </row>
    <row r="558" spans="1:6">
      <c r="A558" s="45" t="str">
        <f>IF(COUNTIF($B$2:B558,B558)=1,"ok","dup")</f>
        <v>dup</v>
      </c>
      <c r="B558" s="45" t="str">
        <f t="shared" si="8"/>
        <v>Lophocebus_albigena14.4</v>
      </c>
      <c r="C558" s="6" t="s">
        <v>85</v>
      </c>
      <c r="D558" s="7">
        <v>14.4</v>
      </c>
      <c r="E558" s="14" t="s">
        <v>212</v>
      </c>
    </row>
    <row r="559" spans="1:6">
      <c r="A559" s="45" t="str">
        <f>IF(COUNTIF($B$2:B559,B559)=1,"ok","dup")</f>
        <v>ok</v>
      </c>
      <c r="B559" s="45" t="str">
        <f t="shared" si="8"/>
        <v>Lophocebus_albigena15</v>
      </c>
      <c r="C559" s="6" t="s">
        <v>85</v>
      </c>
      <c r="D559" s="7">
        <v>15</v>
      </c>
      <c r="E559" s="14" t="s">
        <v>212</v>
      </c>
    </row>
    <row r="560" spans="1:6">
      <c r="A560" s="45" t="str">
        <f>IF(COUNTIF($B$2:B560,B560)=1,"ok","dup")</f>
        <v>ok</v>
      </c>
      <c r="B560" s="45" t="str">
        <f t="shared" si="8"/>
        <v>Lophocebus_albigena16</v>
      </c>
      <c r="C560" s="6" t="s">
        <v>85</v>
      </c>
      <c r="D560" s="7">
        <v>16</v>
      </c>
      <c r="E560" s="14" t="s">
        <v>212</v>
      </c>
    </row>
    <row r="561" spans="1:7">
      <c r="A561" s="45" t="str">
        <f>IF(COUNTIF($B$2:B561,B561)=1,"ok","dup")</f>
        <v>ok</v>
      </c>
      <c r="B561" s="45" t="str">
        <f t="shared" si="8"/>
        <v>Lophocebus_albigena16.8</v>
      </c>
      <c r="C561" s="6" t="s">
        <v>85</v>
      </c>
      <c r="D561" s="7">
        <v>16.8</v>
      </c>
      <c r="E561" s="14" t="s">
        <v>212</v>
      </c>
    </row>
    <row r="562" spans="1:7">
      <c r="A562" s="45" t="str">
        <f>IF(COUNTIF($B$2:B562,B562)=1,"ok","dup")</f>
        <v>ok</v>
      </c>
      <c r="B562" s="45" t="str">
        <f t="shared" si="8"/>
        <v>Lophocebus_albigena17.3</v>
      </c>
      <c r="C562" s="6" t="s">
        <v>85</v>
      </c>
      <c r="D562" s="7">
        <v>17.3</v>
      </c>
      <c r="E562" s="14" t="s">
        <v>212</v>
      </c>
    </row>
    <row r="563" spans="1:7">
      <c r="A563" s="45" t="str">
        <f>IF(COUNTIF($B$2:B563,B563)=1,"ok","dup")</f>
        <v>ok</v>
      </c>
      <c r="B563" s="45" t="str">
        <f t="shared" si="8"/>
        <v>Lophocebus_albigena21</v>
      </c>
      <c r="C563" s="6" t="s">
        <v>85</v>
      </c>
      <c r="D563" s="7">
        <v>21</v>
      </c>
      <c r="E563" s="14" t="s">
        <v>212</v>
      </c>
    </row>
    <row r="564" spans="1:7">
      <c r="A564" s="45" t="str">
        <f>IF(COUNTIF($B$2:B564,B564)=1,"ok","dup")</f>
        <v>dup</v>
      </c>
      <c r="B564" s="45" t="str">
        <f t="shared" si="8"/>
        <v>Lophocebus_albigena15</v>
      </c>
      <c r="C564" s="6" t="s">
        <v>85</v>
      </c>
      <c r="D564" s="7">
        <v>15</v>
      </c>
      <c r="E564" s="14" t="s">
        <v>218</v>
      </c>
      <c r="F564" s="14" t="s">
        <v>324</v>
      </c>
    </row>
    <row r="565" spans="1:7">
      <c r="A565" s="45" t="str">
        <f>IF(COUNTIF($B$2:B565,B565)=1,"ok","dup")</f>
        <v>ok</v>
      </c>
      <c r="B565" s="45" t="str">
        <f t="shared" si="8"/>
        <v>Lophocebus_albigena17</v>
      </c>
      <c r="C565" s="6" t="s">
        <v>85</v>
      </c>
      <c r="D565" s="7">
        <v>17</v>
      </c>
      <c r="E565" s="14" t="s">
        <v>213</v>
      </c>
    </row>
    <row r="566" spans="1:7">
      <c r="A566" s="45" t="str">
        <f>IF(COUNTIF($B$2:B566,B566)=1,"ok","dup")</f>
        <v>dup</v>
      </c>
      <c r="B566" s="45" t="str">
        <f t="shared" si="8"/>
        <v>Lophocebus_albigena15</v>
      </c>
      <c r="C566" s="6" t="s">
        <v>85</v>
      </c>
      <c r="D566" s="7">
        <v>15</v>
      </c>
      <c r="E566" s="14" t="s">
        <v>211</v>
      </c>
    </row>
    <row r="567" spans="1:7">
      <c r="A567" s="45" t="str">
        <f>IF(COUNTIF($B$2:B567,B567)=1,"ok","dup")</f>
        <v>ok</v>
      </c>
      <c r="B567" s="45" t="str">
        <f t="shared" si="8"/>
        <v>Lophocebus_albigena11</v>
      </c>
      <c r="C567" s="6" t="s">
        <v>85</v>
      </c>
      <c r="D567" s="7">
        <v>11</v>
      </c>
      <c r="E567" s="14" t="s">
        <v>220</v>
      </c>
      <c r="F567" s="14" t="s">
        <v>436</v>
      </c>
      <c r="G567" s="6" t="s">
        <v>222</v>
      </c>
    </row>
    <row r="568" spans="1:7">
      <c r="A568" s="45" t="str">
        <f>IF(COUNTIF($B$2:B568,B568)=1,"ok","dup")</f>
        <v>dup</v>
      </c>
      <c r="B568" s="45" t="str">
        <f t="shared" si="8"/>
        <v>Lophocebus_albigena11</v>
      </c>
      <c r="C568" s="6" t="s">
        <v>85</v>
      </c>
      <c r="D568" s="7">
        <v>11</v>
      </c>
      <c r="E568" s="14" t="s">
        <v>220</v>
      </c>
      <c r="F568" s="14" t="s">
        <v>436</v>
      </c>
    </row>
    <row r="569" spans="1:7">
      <c r="A569" s="45" t="str">
        <f>IF(COUNTIF($B$2:B569,B569)=1,"ok","dup")</f>
        <v>ok</v>
      </c>
      <c r="B569" s="45" t="str">
        <f t="shared" si="8"/>
        <v>Lophocebus_albigena14</v>
      </c>
      <c r="C569" s="6" t="s">
        <v>85</v>
      </c>
      <c r="D569" s="7">
        <v>14</v>
      </c>
      <c r="E569" s="14" t="s">
        <v>220</v>
      </c>
      <c r="F569" s="14" t="s">
        <v>436</v>
      </c>
      <c r="G569" s="6" t="s">
        <v>222</v>
      </c>
    </row>
    <row r="570" spans="1:7">
      <c r="A570" s="45" t="str">
        <f>IF(COUNTIF($B$2:B570,B570)=1,"ok","dup")</f>
        <v>dup</v>
      </c>
      <c r="B570" s="45" t="str">
        <f t="shared" si="8"/>
        <v>Lophocebus_albigena14</v>
      </c>
      <c r="C570" s="6" t="s">
        <v>85</v>
      </c>
      <c r="D570" s="7">
        <v>14</v>
      </c>
      <c r="E570" s="14" t="s">
        <v>220</v>
      </c>
      <c r="F570" s="14" t="s">
        <v>436</v>
      </c>
    </row>
    <row r="571" spans="1:7">
      <c r="A571" s="45" t="str">
        <f>IF(COUNTIF($B$2:B571,B571)=1,"ok","dup")</f>
        <v>ok</v>
      </c>
      <c r="B571" s="45" t="str">
        <f t="shared" si="8"/>
        <v>Lophocebus_albigena14.1</v>
      </c>
      <c r="C571" s="6" t="s">
        <v>85</v>
      </c>
      <c r="D571" s="7">
        <v>14.1</v>
      </c>
      <c r="E571" s="14" t="s">
        <v>220</v>
      </c>
      <c r="F571" s="14" t="s">
        <v>437</v>
      </c>
      <c r="G571" s="6" t="s">
        <v>330</v>
      </c>
    </row>
    <row r="572" spans="1:7">
      <c r="A572" s="45" t="str">
        <f>IF(COUNTIF($B$2:B572,B572)=1,"ok","dup")</f>
        <v>ok</v>
      </c>
      <c r="B572" s="45" t="str">
        <f t="shared" si="8"/>
        <v>Lophocebus_albigena14.3</v>
      </c>
      <c r="C572" s="6" t="s">
        <v>85</v>
      </c>
      <c r="D572" s="7">
        <v>14.3</v>
      </c>
      <c r="E572" s="14" t="s">
        <v>220</v>
      </c>
      <c r="F572" s="14" t="s">
        <v>438</v>
      </c>
      <c r="G572" s="6" t="s">
        <v>226</v>
      </c>
    </row>
    <row r="573" spans="1:7">
      <c r="A573" s="45" t="str">
        <f>IF(COUNTIF($B$2:B573,B573)=1,"ok","dup")</f>
        <v>dup</v>
      </c>
      <c r="B573" s="45" t="str">
        <f t="shared" si="8"/>
        <v>Lophocebus_albigena14.4</v>
      </c>
      <c r="C573" s="6" t="s">
        <v>85</v>
      </c>
      <c r="D573" s="7">
        <v>14.4</v>
      </c>
      <c r="E573" s="14" t="s">
        <v>220</v>
      </c>
      <c r="F573" s="14" t="s">
        <v>439</v>
      </c>
      <c r="G573" s="6" t="s">
        <v>228</v>
      </c>
    </row>
    <row r="574" spans="1:7">
      <c r="A574" s="45" t="str">
        <f>IF(COUNTIF($B$2:B574,B574)=1,"ok","dup")</f>
        <v>ok</v>
      </c>
      <c r="B574" s="45" t="str">
        <f t="shared" si="8"/>
        <v>Lophocebus_albigena16.6</v>
      </c>
      <c r="C574" s="6" t="s">
        <v>85</v>
      </c>
      <c r="D574" s="7">
        <v>16.600000000000001</v>
      </c>
      <c r="E574" s="14" t="s">
        <v>220</v>
      </c>
      <c r="F574" s="14" t="s">
        <v>440</v>
      </c>
      <c r="G574" s="6" t="s">
        <v>239</v>
      </c>
    </row>
    <row r="575" spans="1:7">
      <c r="A575" s="45" t="str">
        <f>IF(COUNTIF($B$2:B575,B575)=1,"ok","dup")</f>
        <v>dup</v>
      </c>
      <c r="B575" s="45" t="str">
        <f t="shared" si="8"/>
        <v>Lophocebus_albigena17</v>
      </c>
      <c r="C575" s="6" t="s">
        <v>85</v>
      </c>
      <c r="D575" s="7">
        <v>17</v>
      </c>
      <c r="E575" s="14" t="s">
        <v>220</v>
      </c>
      <c r="F575" s="14" t="s">
        <v>441</v>
      </c>
      <c r="G575" s="6" t="s">
        <v>235</v>
      </c>
    </row>
    <row r="576" spans="1:7">
      <c r="A576" s="45" t="str">
        <f>IF(COUNTIF($B$2:B576,B576)=1,"ok","dup")</f>
        <v>dup</v>
      </c>
      <c r="B576" s="45" t="str">
        <f t="shared" si="8"/>
        <v>Lophocebus_albigena17</v>
      </c>
      <c r="C576" s="6" t="s">
        <v>85</v>
      </c>
      <c r="D576" s="7">
        <v>17</v>
      </c>
      <c r="E576" s="14" t="s">
        <v>220</v>
      </c>
      <c r="F576" s="14" t="s">
        <v>442</v>
      </c>
      <c r="G576" s="6" t="s">
        <v>330</v>
      </c>
    </row>
    <row r="577" spans="1:7">
      <c r="A577" s="45" t="str">
        <f>IF(COUNTIF($B$2:B577,B577)=1,"ok","dup")</f>
        <v>dup</v>
      </c>
      <c r="B577" s="45" t="str">
        <f t="shared" si="8"/>
        <v>Lophocebus_albigena17</v>
      </c>
      <c r="C577" s="6" t="s">
        <v>85</v>
      </c>
      <c r="D577" s="7">
        <v>17</v>
      </c>
      <c r="E577" s="14" t="s">
        <v>220</v>
      </c>
      <c r="F577" s="14" t="s">
        <v>440</v>
      </c>
      <c r="G577" s="6" t="s">
        <v>330</v>
      </c>
    </row>
    <row r="578" spans="1:7">
      <c r="A578" s="45" t="str">
        <f>IF(COUNTIF($B$2:B578,B578)=1,"ok","dup")</f>
        <v>dup</v>
      </c>
      <c r="B578" s="45" t="str">
        <f t="shared" ref="B578:B641" si="9">C578&amp;D578</f>
        <v>Lophocebus_albigena17</v>
      </c>
      <c r="C578" s="6" t="s">
        <v>85</v>
      </c>
      <c r="D578" s="7">
        <v>17</v>
      </c>
      <c r="E578" s="14" t="s">
        <v>220</v>
      </c>
      <c r="F578" s="14" t="s">
        <v>436</v>
      </c>
    </row>
    <row r="579" spans="1:7">
      <c r="A579" s="45" t="str">
        <f>IF(COUNTIF($B$2:B579,B579)=1,"ok","dup")</f>
        <v>ok</v>
      </c>
      <c r="B579" s="45" t="str">
        <f t="shared" si="9"/>
        <v>Lophocebus_albigena18</v>
      </c>
      <c r="C579" s="6" t="s">
        <v>85</v>
      </c>
      <c r="D579" s="7">
        <v>18</v>
      </c>
      <c r="E579" s="14" t="s">
        <v>220</v>
      </c>
      <c r="F579" s="14" t="s">
        <v>443</v>
      </c>
    </row>
    <row r="580" spans="1:7">
      <c r="A580" s="45" t="str">
        <f>IF(COUNTIF($B$2:B580,B580)=1,"ok","dup")</f>
        <v>dup</v>
      </c>
      <c r="B580" s="45" t="str">
        <f t="shared" si="9"/>
        <v>Lophocebus_albigena18</v>
      </c>
      <c r="C580" s="6" t="s">
        <v>85</v>
      </c>
      <c r="D580" s="7">
        <v>18</v>
      </c>
      <c r="E580" s="14" t="s">
        <v>220</v>
      </c>
      <c r="F580" s="14" t="s">
        <v>444</v>
      </c>
    </row>
    <row r="581" spans="1:7">
      <c r="A581" s="45" t="str">
        <f>IF(COUNTIF($B$2:B581,B581)=1,"ok","dup")</f>
        <v>ok</v>
      </c>
      <c r="B581" s="45" t="str">
        <f t="shared" si="9"/>
        <v>Lophocebus_albigena19</v>
      </c>
      <c r="C581" s="6" t="s">
        <v>85</v>
      </c>
      <c r="D581" s="7">
        <v>19</v>
      </c>
      <c r="E581" s="14" t="s">
        <v>220</v>
      </c>
      <c r="F581" s="14" t="s">
        <v>444</v>
      </c>
    </row>
    <row r="582" spans="1:7">
      <c r="A582" s="45" t="str">
        <f>IF(COUNTIF($B$2:B582,B582)=1,"ok","dup")</f>
        <v>ok</v>
      </c>
      <c r="B582" s="45" t="str">
        <f t="shared" si="9"/>
        <v>Lophocebus_albigena19.8</v>
      </c>
      <c r="C582" s="6" t="s">
        <v>85</v>
      </c>
      <c r="D582" s="7">
        <v>19.8</v>
      </c>
      <c r="E582" s="14" t="s">
        <v>220</v>
      </c>
      <c r="F582" s="14" t="s">
        <v>443</v>
      </c>
      <c r="G582" s="6" t="s">
        <v>330</v>
      </c>
    </row>
    <row r="583" spans="1:7">
      <c r="A583" s="45" t="str">
        <f>IF(COUNTIF($B$2:B583,B583)=1,"ok","dup")</f>
        <v>ok</v>
      </c>
      <c r="B583" s="45" t="str">
        <f t="shared" si="9"/>
        <v>Lophocebus_albigena25</v>
      </c>
      <c r="C583" s="6" t="s">
        <v>85</v>
      </c>
      <c r="D583" s="7">
        <v>25</v>
      </c>
      <c r="E583" s="14" t="s">
        <v>220</v>
      </c>
      <c r="F583" s="14" t="s">
        <v>440</v>
      </c>
      <c r="G583" s="6" t="s">
        <v>330</v>
      </c>
    </row>
    <row r="584" spans="1:7">
      <c r="A584" s="45" t="str">
        <f>IF(COUNTIF($B$2:B584,B584)=1,"ok","dup")</f>
        <v>ok</v>
      </c>
      <c r="B584" s="45" t="str">
        <f t="shared" si="9"/>
        <v>Lophocebus_albigena27</v>
      </c>
      <c r="C584" s="6" t="s">
        <v>85</v>
      </c>
      <c r="D584" s="7">
        <v>27</v>
      </c>
      <c r="E584" s="14" t="s">
        <v>220</v>
      </c>
      <c r="F584" s="14" t="s">
        <v>438</v>
      </c>
      <c r="G584" s="6" t="s">
        <v>222</v>
      </c>
    </row>
    <row r="585" spans="1:7">
      <c r="A585" s="45" t="str">
        <f>IF(COUNTIF($B$2:B585,B585)=1,"ok","dup")</f>
        <v>ok</v>
      </c>
      <c r="B585" s="45" t="str">
        <f t="shared" si="9"/>
        <v>Lophocebus_albigena5</v>
      </c>
      <c r="C585" s="6" t="s">
        <v>85</v>
      </c>
      <c r="D585" s="7">
        <v>5</v>
      </c>
      <c r="E585" s="14" t="s">
        <v>220</v>
      </c>
      <c r="F585" s="14" t="s">
        <v>436</v>
      </c>
    </row>
    <row r="586" spans="1:7">
      <c r="A586" s="45" t="str">
        <f>IF(COUNTIF($B$2:B586,B586)=1,"ok","dup")</f>
        <v>ok</v>
      </c>
      <c r="B586" s="45" t="str">
        <f t="shared" si="9"/>
        <v>Lophocebus_albigena6</v>
      </c>
      <c r="C586" s="6" t="s">
        <v>85</v>
      </c>
      <c r="D586" s="7">
        <v>6</v>
      </c>
      <c r="E586" s="14" t="s">
        <v>220</v>
      </c>
      <c r="F586" s="14" t="s">
        <v>438</v>
      </c>
      <c r="G586" s="6" t="s">
        <v>222</v>
      </c>
    </row>
    <row r="587" spans="1:7">
      <c r="A587" s="45" t="str">
        <f>IF(COUNTIF($B$2:B587,B587)=1,"ok","dup")</f>
        <v>ok</v>
      </c>
      <c r="B587" s="45" t="str">
        <f t="shared" si="9"/>
        <v>Lophocebus_albigena9</v>
      </c>
      <c r="C587" s="6" t="s">
        <v>85</v>
      </c>
      <c r="D587" s="7">
        <v>9</v>
      </c>
      <c r="E587" s="14" t="s">
        <v>220</v>
      </c>
      <c r="F587" s="14" t="s">
        <v>444</v>
      </c>
    </row>
    <row r="588" spans="1:7">
      <c r="A588" s="45" t="str">
        <f>IF(COUNTIF($B$2:B588,B588)=1,"ok","dup")</f>
        <v>ok</v>
      </c>
      <c r="B588" s="45" t="str">
        <f t="shared" si="9"/>
        <v>Lophocebus_aterrimus9.5</v>
      </c>
      <c r="C588" s="6" t="s">
        <v>445</v>
      </c>
      <c r="D588" s="7">
        <v>9.5</v>
      </c>
      <c r="E588" s="14" t="s">
        <v>211</v>
      </c>
    </row>
    <row r="589" spans="1:7">
      <c r="A589" s="45" t="str">
        <f>IF(COUNTIF($B$2:B589,B589)=1,"ok","dup")</f>
        <v>ok</v>
      </c>
      <c r="B589" s="45" t="str">
        <f t="shared" si="9"/>
        <v>Loris_tardigradus1</v>
      </c>
      <c r="C589" s="6" t="s">
        <v>86</v>
      </c>
      <c r="D589" s="7">
        <v>1</v>
      </c>
      <c r="E589" s="14" t="s">
        <v>213</v>
      </c>
    </row>
    <row r="590" spans="1:7">
      <c r="A590" s="45" t="str">
        <f>IF(COUNTIF($B$2:B590,B590)=1,"ok","dup")</f>
        <v>ok</v>
      </c>
      <c r="B590" s="45" t="str">
        <f t="shared" si="9"/>
        <v>Loris_tardigradus3</v>
      </c>
      <c r="C590" s="6" t="s">
        <v>86</v>
      </c>
      <c r="D590" s="7">
        <v>3</v>
      </c>
      <c r="E590" s="14" t="s">
        <v>211</v>
      </c>
    </row>
    <row r="591" spans="1:7">
      <c r="A591" s="45" t="str">
        <f>IF(COUNTIF($B$2:B591,B591)=1,"ok","dup")</f>
        <v>ok</v>
      </c>
      <c r="B591" s="45" t="str">
        <f t="shared" si="9"/>
        <v>Macaca_arctoides22.5</v>
      </c>
      <c r="C591" s="6" t="s">
        <v>446</v>
      </c>
      <c r="D591" s="7">
        <v>22.5</v>
      </c>
      <c r="E591" s="14" t="s">
        <v>211</v>
      </c>
    </row>
    <row r="592" spans="1:7">
      <c r="A592" s="45" t="str">
        <f>IF(COUNTIF($B$2:B592,B592)=1,"ok","dup")</f>
        <v>ok</v>
      </c>
      <c r="B592" s="45" t="str">
        <f t="shared" si="9"/>
        <v>Macaca_arctoides5</v>
      </c>
      <c r="C592" s="6" t="s">
        <v>446</v>
      </c>
      <c r="D592" s="7">
        <v>5</v>
      </c>
      <c r="E592" s="14" t="s">
        <v>214</v>
      </c>
      <c r="F592" s="14" t="s">
        <v>447</v>
      </c>
    </row>
    <row r="593" spans="1:6">
      <c r="A593" s="45" t="str">
        <f>IF(COUNTIF($B$2:B593,B593)=1,"ok","dup")</f>
        <v>ok</v>
      </c>
      <c r="B593" s="45" t="str">
        <f t="shared" si="9"/>
        <v>Macaca_assamensis21.8</v>
      </c>
      <c r="C593" s="6" t="s">
        <v>448</v>
      </c>
      <c r="D593" s="7">
        <v>21.8</v>
      </c>
      <c r="E593" s="14" t="s">
        <v>212</v>
      </c>
    </row>
    <row r="594" spans="1:6">
      <c r="A594" s="45" t="str">
        <f>IF(COUNTIF($B$2:B594,B594)=1,"ok","dup")</f>
        <v>ok</v>
      </c>
      <c r="B594" s="45" t="str">
        <f t="shared" si="9"/>
        <v>Macaca_assamensis30</v>
      </c>
      <c r="C594" s="6" t="s">
        <v>448</v>
      </c>
      <c r="D594" s="7">
        <v>30</v>
      </c>
      <c r="E594" s="14" t="s">
        <v>211</v>
      </c>
    </row>
    <row r="595" spans="1:6">
      <c r="A595" s="45" t="str">
        <f>IF(COUNTIF($B$2:B595,B595)=1,"ok","dup")</f>
        <v>ok</v>
      </c>
      <c r="B595" s="45" t="str">
        <f t="shared" si="9"/>
        <v>Macaca_fascicularis27</v>
      </c>
      <c r="C595" s="6" t="s">
        <v>87</v>
      </c>
      <c r="D595" s="7">
        <v>27</v>
      </c>
      <c r="E595" s="14" t="s">
        <v>216</v>
      </c>
      <c r="F595" s="14" t="s">
        <v>435</v>
      </c>
    </row>
    <row r="596" spans="1:6">
      <c r="A596" s="45" t="str">
        <f>IF(COUNTIF($B$2:B596,B596)=1,"ok","dup")</f>
        <v>ok</v>
      </c>
      <c r="B596" s="45" t="str">
        <f t="shared" si="9"/>
        <v>Macaca_fascicularis18.2</v>
      </c>
      <c r="C596" s="6" t="s">
        <v>87</v>
      </c>
      <c r="D596" s="7">
        <v>18.2</v>
      </c>
      <c r="E596" s="14" t="s">
        <v>212</v>
      </c>
    </row>
    <row r="597" spans="1:6">
      <c r="A597" s="45" t="str">
        <f>IF(COUNTIF($B$2:B597,B597)=1,"ok","dup")</f>
        <v>dup</v>
      </c>
      <c r="B597" s="45" t="str">
        <f t="shared" si="9"/>
        <v>Macaca_fascicularis27</v>
      </c>
      <c r="C597" s="6" t="s">
        <v>87</v>
      </c>
      <c r="D597" s="7">
        <v>27</v>
      </c>
      <c r="E597" s="14" t="s">
        <v>212</v>
      </c>
    </row>
    <row r="598" spans="1:6">
      <c r="A598" s="45" t="str">
        <f>IF(COUNTIF($B$2:B598,B598)=1,"ok","dup")</f>
        <v>dup</v>
      </c>
      <c r="B598" s="45" t="str">
        <f t="shared" si="9"/>
        <v>Macaca_fascicularis27</v>
      </c>
      <c r="C598" s="6" t="s">
        <v>87</v>
      </c>
      <c r="D598" s="7">
        <v>27</v>
      </c>
      <c r="E598" s="14" t="s">
        <v>212</v>
      </c>
    </row>
    <row r="599" spans="1:6">
      <c r="A599" s="45" t="str">
        <f>IF(COUNTIF($B$2:B599,B599)=1,"ok","dup")</f>
        <v>ok</v>
      </c>
      <c r="B599" s="45" t="str">
        <f t="shared" si="9"/>
        <v>Macaca_fascicularis29.1</v>
      </c>
      <c r="C599" s="6" t="s">
        <v>87</v>
      </c>
      <c r="D599" s="7">
        <v>29.1</v>
      </c>
      <c r="E599" s="14" t="s">
        <v>212</v>
      </c>
    </row>
    <row r="600" spans="1:6">
      <c r="A600" s="45" t="str">
        <f>IF(COUNTIF($B$2:B600,B600)=1,"ok","dup")</f>
        <v>ok</v>
      </c>
      <c r="B600" s="45" t="str">
        <f t="shared" si="9"/>
        <v>Macaca_fascicularis29.8</v>
      </c>
      <c r="C600" s="6" t="s">
        <v>87</v>
      </c>
      <c r="D600" s="7">
        <v>29.8</v>
      </c>
      <c r="E600" s="14" t="s">
        <v>212</v>
      </c>
    </row>
    <row r="601" spans="1:6">
      <c r="A601" s="45" t="str">
        <f>IF(COUNTIF($B$2:B601,B601)=1,"ok","dup")</f>
        <v>ok</v>
      </c>
      <c r="B601" s="45" t="str">
        <f t="shared" si="9"/>
        <v>Macaca_fascicularis35.75</v>
      </c>
      <c r="C601" s="6" t="s">
        <v>87</v>
      </c>
      <c r="D601" s="7">
        <v>35.75</v>
      </c>
      <c r="E601" s="14" t="s">
        <v>212</v>
      </c>
    </row>
    <row r="602" spans="1:6">
      <c r="A602" s="45" t="str">
        <f>IF(COUNTIF($B$2:B602,B602)=1,"ok","dup")</f>
        <v>ok</v>
      </c>
      <c r="B602" s="45" t="str">
        <f t="shared" si="9"/>
        <v>Macaca_fascicularis23.8</v>
      </c>
      <c r="C602" s="6" t="s">
        <v>87</v>
      </c>
      <c r="D602" s="7">
        <v>23.8</v>
      </c>
      <c r="E602" s="14" t="s">
        <v>218</v>
      </c>
      <c r="F602" s="14" t="s">
        <v>449</v>
      </c>
    </row>
    <row r="603" spans="1:6">
      <c r="A603" s="45" t="str">
        <f>IF(COUNTIF($B$2:B603,B603)=1,"ok","dup")</f>
        <v>ok</v>
      </c>
      <c r="B603" s="45" t="str">
        <f t="shared" si="9"/>
        <v>Macaca_fascicularis29</v>
      </c>
      <c r="C603" s="6" t="s">
        <v>87</v>
      </c>
      <c r="D603" s="7">
        <v>29</v>
      </c>
      <c r="E603" s="14" t="s">
        <v>211</v>
      </c>
    </row>
    <row r="604" spans="1:6">
      <c r="A604" s="45" t="str">
        <f>IF(COUNTIF($B$2:B604,B604)=1,"ok","dup")</f>
        <v>ok</v>
      </c>
      <c r="B604" s="45" t="str">
        <f t="shared" si="9"/>
        <v>Macaca_fuscata36.6</v>
      </c>
      <c r="C604" s="6" t="s">
        <v>450</v>
      </c>
      <c r="D604" s="7">
        <v>36.6</v>
      </c>
      <c r="E604" s="14" t="s">
        <v>212</v>
      </c>
    </row>
    <row r="605" spans="1:6">
      <c r="A605" s="45" t="str">
        <f>IF(COUNTIF($B$2:B605,B605)=1,"ok","dup")</f>
        <v>ok</v>
      </c>
      <c r="B605" s="45" t="str">
        <f t="shared" si="9"/>
        <v>Macaca_fuscata81</v>
      </c>
      <c r="C605" s="6" t="s">
        <v>450</v>
      </c>
      <c r="D605" s="7">
        <v>81</v>
      </c>
      <c r="E605" s="14" t="s">
        <v>212</v>
      </c>
    </row>
    <row r="606" spans="1:6">
      <c r="A606" s="45" t="str">
        <f>IF(COUNTIF($B$2:B606,B606)=1,"ok","dup")</f>
        <v>ok</v>
      </c>
      <c r="B606" s="45" t="str">
        <f t="shared" si="9"/>
        <v>Macaca_fuscata117</v>
      </c>
      <c r="C606" s="6" t="s">
        <v>450</v>
      </c>
      <c r="D606" s="7">
        <v>117</v>
      </c>
      <c r="E606" s="14" t="s">
        <v>211</v>
      </c>
    </row>
    <row r="607" spans="1:6">
      <c r="A607" s="45" t="str">
        <f>IF(COUNTIF($B$2:B607,B607)=1,"ok","dup")</f>
        <v>ok</v>
      </c>
      <c r="B607" s="45" t="str">
        <f t="shared" si="9"/>
        <v>Macaca_fuscata24</v>
      </c>
      <c r="C607" s="6" t="s">
        <v>450</v>
      </c>
      <c r="D607" s="7">
        <v>24</v>
      </c>
      <c r="E607" s="14" t="s">
        <v>214</v>
      </c>
      <c r="F607" s="14" t="s">
        <v>451</v>
      </c>
    </row>
    <row r="608" spans="1:6">
      <c r="A608" s="45" t="str">
        <f>IF(COUNTIF($B$2:B608,B608)=1,"ok","dup")</f>
        <v>ok</v>
      </c>
      <c r="B608" s="45" t="str">
        <f t="shared" si="9"/>
        <v>Macaca_mulatta32</v>
      </c>
      <c r="C608" s="6" t="s">
        <v>89</v>
      </c>
      <c r="D608" s="7">
        <v>32</v>
      </c>
      <c r="E608" s="14" t="s">
        <v>212</v>
      </c>
    </row>
    <row r="609" spans="1:7">
      <c r="A609" s="45" t="str">
        <f>IF(COUNTIF($B$2:B609,B609)=1,"ok","dup")</f>
        <v>ok</v>
      </c>
      <c r="B609" s="45" t="str">
        <f t="shared" si="9"/>
        <v>Macaca_mulatta32.8</v>
      </c>
      <c r="C609" s="6" t="s">
        <v>89</v>
      </c>
      <c r="D609" s="7">
        <v>32.799999999999997</v>
      </c>
      <c r="E609" s="14" t="s">
        <v>212</v>
      </c>
    </row>
    <row r="610" spans="1:7">
      <c r="A610" s="45" t="str">
        <f>IF(COUNTIF($B$2:B610,B610)=1,"ok","dup")</f>
        <v>dup</v>
      </c>
      <c r="B610" s="45" t="str">
        <f t="shared" si="9"/>
        <v>Macaca_mulatta32.8</v>
      </c>
      <c r="C610" s="6" t="s">
        <v>89</v>
      </c>
      <c r="D610" s="7">
        <v>32.799999999999997</v>
      </c>
      <c r="E610" s="14" t="s">
        <v>212</v>
      </c>
    </row>
    <row r="611" spans="1:7">
      <c r="A611" s="45" t="str">
        <f>IF(COUNTIF($B$2:B611,B611)=1,"ok","dup")</f>
        <v>ok</v>
      </c>
      <c r="B611" s="45" t="str">
        <f t="shared" si="9"/>
        <v>Macaca_mulatta33.2</v>
      </c>
      <c r="C611" s="6" t="s">
        <v>89</v>
      </c>
      <c r="D611" s="7">
        <v>33.200000000000003</v>
      </c>
      <c r="E611" s="14" t="s">
        <v>212</v>
      </c>
    </row>
    <row r="612" spans="1:7">
      <c r="A612" s="45" t="str">
        <f>IF(COUNTIF($B$2:B612,B612)=1,"ok","dup")</f>
        <v>ok</v>
      </c>
      <c r="B612" s="45" t="str">
        <f t="shared" si="9"/>
        <v>Macaca_mulatta39</v>
      </c>
      <c r="C612" s="6" t="s">
        <v>89</v>
      </c>
      <c r="D612" s="7">
        <v>39</v>
      </c>
      <c r="E612" s="14" t="s">
        <v>212</v>
      </c>
    </row>
    <row r="613" spans="1:7">
      <c r="A613" s="45" t="str">
        <f>IF(COUNTIF($B$2:B613,B613)=1,"ok","dup")</f>
        <v>ok</v>
      </c>
      <c r="B613" s="45" t="str">
        <f t="shared" si="9"/>
        <v>Macaca_mulatta41</v>
      </c>
      <c r="C613" s="6" t="s">
        <v>89</v>
      </c>
      <c r="D613" s="7">
        <v>41</v>
      </c>
      <c r="E613" s="14" t="s">
        <v>212</v>
      </c>
    </row>
    <row r="614" spans="1:7">
      <c r="A614" s="45" t="str">
        <f>IF(COUNTIF($B$2:B614,B614)=1,"ok","dup")</f>
        <v>ok</v>
      </c>
      <c r="B614" s="45" t="str">
        <f t="shared" si="9"/>
        <v>Macaca_mulatta41.3</v>
      </c>
      <c r="C614" s="6" t="s">
        <v>89</v>
      </c>
      <c r="D614" s="7">
        <v>41.3</v>
      </c>
      <c r="E614" s="14" t="s">
        <v>212</v>
      </c>
    </row>
    <row r="615" spans="1:7">
      <c r="A615" s="45" t="str">
        <f>IF(COUNTIF($B$2:B615,B615)=1,"ok","dup")</f>
        <v>ok</v>
      </c>
      <c r="B615" s="45" t="str">
        <f t="shared" si="9"/>
        <v>Macaca_mulatta41.6</v>
      </c>
      <c r="C615" s="6" t="s">
        <v>89</v>
      </c>
      <c r="D615" s="7">
        <v>41.6</v>
      </c>
      <c r="E615" s="14" t="s">
        <v>212</v>
      </c>
    </row>
    <row r="616" spans="1:7">
      <c r="A616" s="45" t="str">
        <f>IF(COUNTIF($B$2:B616,B616)=1,"ok","dup")</f>
        <v>ok</v>
      </c>
      <c r="B616" s="45" t="str">
        <f t="shared" si="9"/>
        <v>Macaca_mulatta47.7</v>
      </c>
      <c r="C616" s="6" t="s">
        <v>89</v>
      </c>
      <c r="D616" s="7">
        <v>47.7</v>
      </c>
      <c r="E616" s="14" t="s">
        <v>212</v>
      </c>
    </row>
    <row r="617" spans="1:7">
      <c r="A617" s="45" t="str">
        <f>IF(COUNTIF($B$2:B617,B617)=1,"ok","dup")</f>
        <v>ok</v>
      </c>
      <c r="B617" s="45" t="str">
        <f t="shared" si="9"/>
        <v>Macaca_mulatta49.8</v>
      </c>
      <c r="C617" s="6" t="s">
        <v>89</v>
      </c>
      <c r="D617" s="7">
        <v>49.8</v>
      </c>
      <c r="E617" s="14" t="s">
        <v>212</v>
      </c>
    </row>
    <row r="618" spans="1:7">
      <c r="A618" s="45" t="str">
        <f>IF(COUNTIF($B$2:B618,B618)=1,"ok","dup")</f>
        <v>dup</v>
      </c>
      <c r="B618" s="45" t="str">
        <f t="shared" si="9"/>
        <v>Macaca_mulatta32</v>
      </c>
      <c r="C618" s="6" t="s">
        <v>89</v>
      </c>
      <c r="D618" s="7">
        <v>32</v>
      </c>
      <c r="E618" s="14" t="s">
        <v>218</v>
      </c>
      <c r="F618" s="14" t="s">
        <v>452</v>
      </c>
    </row>
    <row r="619" spans="1:7">
      <c r="A619" s="45" t="str">
        <f>IF(COUNTIF($B$2:B619,B619)=1,"ok","dup")</f>
        <v>ok</v>
      </c>
      <c r="B619" s="45" t="str">
        <f t="shared" si="9"/>
        <v>Macaca_mulatta21.5</v>
      </c>
      <c r="C619" s="6" t="s">
        <v>89</v>
      </c>
      <c r="D619" s="7">
        <v>21.5</v>
      </c>
      <c r="E619" s="14" t="s">
        <v>213</v>
      </c>
    </row>
    <row r="620" spans="1:7">
      <c r="A620" s="45" t="str">
        <f>IF(COUNTIF($B$2:B620,B620)=1,"ok","dup")</f>
        <v>ok</v>
      </c>
      <c r="B620" s="45" t="str">
        <f t="shared" si="9"/>
        <v>Macaca_mulatta30</v>
      </c>
      <c r="C620" s="6" t="s">
        <v>89</v>
      </c>
      <c r="D620" s="7">
        <v>30</v>
      </c>
      <c r="E620" s="14" t="s">
        <v>211</v>
      </c>
    </row>
    <row r="621" spans="1:7">
      <c r="A621" s="45" t="str">
        <f>IF(COUNTIF($B$2:B621,B621)=1,"ok","dup")</f>
        <v>ok</v>
      </c>
      <c r="B621" s="45" t="str">
        <f t="shared" si="9"/>
        <v>Macaca_mulatta13</v>
      </c>
      <c r="C621" s="6" t="s">
        <v>89</v>
      </c>
      <c r="D621" s="7">
        <v>13</v>
      </c>
      <c r="E621" s="14" t="s">
        <v>220</v>
      </c>
      <c r="F621" s="14" t="s">
        <v>453</v>
      </c>
      <c r="G621" s="6" t="s">
        <v>222</v>
      </c>
    </row>
    <row r="622" spans="1:7">
      <c r="A622" s="45" t="str">
        <f>IF(COUNTIF($B$2:B622,B622)=1,"ok","dup")</f>
        <v>dup</v>
      </c>
      <c r="B622" s="45" t="str">
        <f t="shared" si="9"/>
        <v>Macaca_mulatta13</v>
      </c>
      <c r="C622" s="6" t="s">
        <v>89</v>
      </c>
      <c r="D622" s="7">
        <v>13</v>
      </c>
      <c r="E622" s="14" t="s">
        <v>220</v>
      </c>
      <c r="F622" s="14" t="s">
        <v>454</v>
      </c>
    </row>
    <row r="623" spans="1:7">
      <c r="A623" s="45" t="str">
        <f>IF(COUNTIF($B$2:B623,B623)=1,"ok","dup")</f>
        <v>ok</v>
      </c>
      <c r="B623" s="45" t="str">
        <f t="shared" si="9"/>
        <v>Macaca_mulatta18</v>
      </c>
      <c r="C623" s="6" t="s">
        <v>89</v>
      </c>
      <c r="D623" s="7">
        <v>18</v>
      </c>
      <c r="E623" s="14" t="s">
        <v>220</v>
      </c>
      <c r="F623" s="14" t="s">
        <v>455</v>
      </c>
    </row>
    <row r="624" spans="1:7">
      <c r="A624" s="45" t="str">
        <f>IF(COUNTIF($B$2:B624,B624)=1,"ok","dup")</f>
        <v>ok</v>
      </c>
      <c r="B624" s="45" t="str">
        <f t="shared" si="9"/>
        <v>Macaca_mulatta19</v>
      </c>
      <c r="C624" s="6" t="s">
        <v>89</v>
      </c>
      <c r="D624" s="7">
        <v>19</v>
      </c>
      <c r="E624" s="14" t="s">
        <v>220</v>
      </c>
      <c r="F624" s="14" t="s">
        <v>454</v>
      </c>
    </row>
    <row r="625" spans="1:7">
      <c r="A625" s="45" t="str">
        <f>IF(COUNTIF($B$2:B625,B625)=1,"ok","dup")</f>
        <v>dup</v>
      </c>
      <c r="B625" s="45" t="str">
        <f t="shared" si="9"/>
        <v>Macaca_mulatta21.5</v>
      </c>
      <c r="C625" s="6" t="s">
        <v>89</v>
      </c>
      <c r="D625" s="7">
        <v>21.5</v>
      </c>
      <c r="E625" s="14" t="s">
        <v>220</v>
      </c>
      <c r="F625" s="14" t="s">
        <v>456</v>
      </c>
      <c r="G625" s="6" t="s">
        <v>235</v>
      </c>
    </row>
    <row r="626" spans="1:7">
      <c r="A626" s="45" t="str">
        <f>IF(COUNTIF($B$2:B626,B626)=1,"ok","dup")</f>
        <v>ok</v>
      </c>
      <c r="B626" s="45" t="str">
        <f t="shared" si="9"/>
        <v>Macaca_mulatta25</v>
      </c>
      <c r="C626" s="6" t="s">
        <v>89</v>
      </c>
      <c r="D626" s="7">
        <v>25</v>
      </c>
      <c r="E626" s="14" t="s">
        <v>220</v>
      </c>
      <c r="F626" s="14" t="s">
        <v>457</v>
      </c>
    </row>
    <row r="627" spans="1:7">
      <c r="A627" s="45" t="str">
        <f>IF(COUNTIF($B$2:B627,B627)=1,"ok","dup")</f>
        <v>ok</v>
      </c>
      <c r="B627" s="45" t="str">
        <f t="shared" si="9"/>
        <v>Macaca_mulatta29</v>
      </c>
      <c r="C627" s="6" t="s">
        <v>89</v>
      </c>
      <c r="D627" s="7">
        <v>29</v>
      </c>
      <c r="E627" s="14" t="s">
        <v>220</v>
      </c>
      <c r="F627" s="14" t="s">
        <v>455</v>
      </c>
    </row>
    <row r="628" spans="1:7">
      <c r="A628" s="45" t="str">
        <f>IF(COUNTIF($B$2:B628,B628)=1,"ok","dup")</f>
        <v>ok</v>
      </c>
      <c r="B628" s="45" t="str">
        <f t="shared" si="9"/>
        <v>Macaca_mulatta31</v>
      </c>
      <c r="C628" s="6" t="s">
        <v>89</v>
      </c>
      <c r="D628" s="7">
        <v>31</v>
      </c>
      <c r="E628" s="14" t="s">
        <v>220</v>
      </c>
      <c r="F628" s="14" t="s">
        <v>454</v>
      </c>
    </row>
    <row r="629" spans="1:7">
      <c r="A629" s="45" t="str">
        <f>IF(COUNTIF($B$2:B629,B629)=1,"ok","dup")</f>
        <v>ok</v>
      </c>
      <c r="B629" s="45" t="str">
        <f t="shared" si="9"/>
        <v>Macaca_mulatta38</v>
      </c>
      <c r="C629" s="6" t="s">
        <v>89</v>
      </c>
      <c r="D629" s="7">
        <v>38</v>
      </c>
      <c r="E629" s="14" t="s">
        <v>220</v>
      </c>
      <c r="F629" s="14" t="s">
        <v>454</v>
      </c>
    </row>
    <row r="630" spans="1:7">
      <c r="A630" s="45" t="str">
        <f>IF(COUNTIF($B$2:B630,B630)=1,"ok","dup")</f>
        <v>dup</v>
      </c>
      <c r="B630" s="45" t="str">
        <f t="shared" si="9"/>
        <v>Macaca_mulatta39</v>
      </c>
      <c r="C630" s="6" t="s">
        <v>89</v>
      </c>
      <c r="D630" s="7">
        <v>39</v>
      </c>
      <c r="E630" s="14" t="s">
        <v>220</v>
      </c>
      <c r="F630" s="14" t="s">
        <v>458</v>
      </c>
      <c r="G630" s="6" t="s">
        <v>330</v>
      </c>
    </row>
    <row r="631" spans="1:7">
      <c r="A631" s="45" t="str">
        <f>IF(COUNTIF($B$2:B631,B631)=1,"ok","dup")</f>
        <v>ok</v>
      </c>
      <c r="B631" s="45" t="str">
        <f t="shared" si="9"/>
        <v>Macaca_mulatta50</v>
      </c>
      <c r="C631" s="6" t="s">
        <v>89</v>
      </c>
      <c r="D631" s="7">
        <v>50</v>
      </c>
      <c r="E631" s="14" t="s">
        <v>220</v>
      </c>
      <c r="F631" s="14" t="s">
        <v>455</v>
      </c>
    </row>
    <row r="632" spans="1:7">
      <c r="A632" s="45" t="str">
        <f>IF(COUNTIF($B$2:B632,B632)=1,"ok","dup")</f>
        <v>ok</v>
      </c>
      <c r="B632" s="45" t="str">
        <f t="shared" si="9"/>
        <v>Macaca_mulatta51</v>
      </c>
      <c r="C632" s="6" t="s">
        <v>89</v>
      </c>
      <c r="D632" s="7">
        <v>51</v>
      </c>
      <c r="E632" s="14" t="s">
        <v>220</v>
      </c>
      <c r="F632" s="14" t="s">
        <v>455</v>
      </c>
    </row>
    <row r="633" spans="1:7">
      <c r="A633" s="45" t="str">
        <f>IF(COUNTIF($B$2:B633,B633)=1,"ok","dup")</f>
        <v>ok</v>
      </c>
      <c r="B633" s="45" t="str">
        <f t="shared" si="9"/>
        <v>Macaca_mulatta58.8</v>
      </c>
      <c r="C633" s="6" t="s">
        <v>89</v>
      </c>
      <c r="D633" s="7">
        <v>58.8</v>
      </c>
      <c r="E633" s="14" t="s">
        <v>220</v>
      </c>
      <c r="F633" s="14" t="s">
        <v>459</v>
      </c>
      <c r="G633" s="6" t="s">
        <v>330</v>
      </c>
    </row>
    <row r="634" spans="1:7">
      <c r="A634" s="45" t="str">
        <f>IF(COUNTIF($B$2:B634,B634)=1,"ok","dup")</f>
        <v>ok</v>
      </c>
      <c r="B634" s="45" t="str">
        <f t="shared" si="9"/>
        <v>Macaca_mulatta59</v>
      </c>
      <c r="C634" s="6" t="s">
        <v>89</v>
      </c>
      <c r="D634" s="7">
        <v>59</v>
      </c>
      <c r="E634" s="14" t="s">
        <v>220</v>
      </c>
      <c r="F634" s="14" t="s">
        <v>455</v>
      </c>
    </row>
    <row r="635" spans="1:7">
      <c r="A635" s="45" t="str">
        <f>IF(COUNTIF($B$2:B635,B635)=1,"ok","dup")</f>
        <v>ok</v>
      </c>
      <c r="B635" s="45" t="str">
        <f t="shared" si="9"/>
        <v>Macaca_mulatta6</v>
      </c>
      <c r="C635" s="6" t="s">
        <v>89</v>
      </c>
      <c r="D635" s="7">
        <v>6</v>
      </c>
      <c r="E635" s="14" t="s">
        <v>220</v>
      </c>
      <c r="F635" s="14" t="s">
        <v>453</v>
      </c>
      <c r="G635" s="6" t="s">
        <v>222</v>
      </c>
    </row>
    <row r="636" spans="1:7">
      <c r="A636" s="45" t="str">
        <f>IF(COUNTIF($B$2:B636,B636)=1,"ok","dup")</f>
        <v>dup</v>
      </c>
      <c r="B636" s="45" t="str">
        <f t="shared" si="9"/>
        <v>Macaca_mulatta6</v>
      </c>
      <c r="C636" s="6" t="s">
        <v>89</v>
      </c>
      <c r="D636" s="7">
        <v>6</v>
      </c>
      <c r="E636" s="14" t="s">
        <v>220</v>
      </c>
      <c r="F636" s="14" t="s">
        <v>454</v>
      </c>
    </row>
    <row r="637" spans="1:7">
      <c r="A637" s="45" t="str">
        <f>IF(COUNTIF($B$2:B637,B637)=1,"ok","dup")</f>
        <v>ok</v>
      </c>
      <c r="B637" s="45" t="str">
        <f t="shared" si="9"/>
        <v>Macaca_mulatta65</v>
      </c>
      <c r="C637" s="6" t="s">
        <v>89</v>
      </c>
      <c r="D637" s="7">
        <v>65</v>
      </c>
      <c r="E637" s="14" t="s">
        <v>220</v>
      </c>
      <c r="F637" s="14" t="s">
        <v>455</v>
      </c>
    </row>
    <row r="638" spans="1:7">
      <c r="A638" s="45" t="str">
        <f>IF(COUNTIF($B$2:B638,B638)=1,"ok","dup")</f>
        <v>dup</v>
      </c>
      <c r="B638" s="45" t="str">
        <f t="shared" si="9"/>
        <v>Macaca_mulatta25</v>
      </c>
      <c r="C638" s="6" t="s">
        <v>89</v>
      </c>
      <c r="D638" s="7">
        <v>25</v>
      </c>
      <c r="E638" s="14" t="s">
        <v>214</v>
      </c>
      <c r="F638" s="14" t="s">
        <v>460</v>
      </c>
    </row>
    <row r="639" spans="1:7">
      <c r="A639" s="45" t="str">
        <f>IF(COUNTIF($B$2:B639,B639)=1,"ok","dup")</f>
        <v>ok</v>
      </c>
      <c r="B639" s="45" t="str">
        <f t="shared" si="9"/>
        <v>Macaca_nemestrina35</v>
      </c>
      <c r="C639" s="6" t="s">
        <v>461</v>
      </c>
      <c r="D639" s="7">
        <v>35</v>
      </c>
      <c r="E639" s="14" t="s">
        <v>216</v>
      </c>
      <c r="F639" s="14" t="s">
        <v>435</v>
      </c>
    </row>
    <row r="640" spans="1:7">
      <c r="A640" s="45" t="str">
        <f>IF(COUNTIF($B$2:B640,B640)=1,"ok","dup")</f>
        <v>ok</v>
      </c>
      <c r="B640" s="45" t="str">
        <f t="shared" si="9"/>
        <v>Macaca_nemestrina18.3</v>
      </c>
      <c r="C640" s="6" t="s">
        <v>461</v>
      </c>
      <c r="D640" s="7">
        <v>18.3</v>
      </c>
      <c r="E640" s="14" t="s">
        <v>212</v>
      </c>
    </row>
    <row r="641" spans="1:6">
      <c r="A641" s="45" t="str">
        <f>IF(COUNTIF($B$2:B641,B641)=1,"ok","dup")</f>
        <v>ok</v>
      </c>
      <c r="B641" s="45" t="str">
        <f t="shared" si="9"/>
        <v>Macaca_nemestrina50</v>
      </c>
      <c r="C641" s="6" t="s">
        <v>461</v>
      </c>
      <c r="D641" s="7">
        <v>50</v>
      </c>
      <c r="E641" s="14" t="s">
        <v>212</v>
      </c>
    </row>
    <row r="642" spans="1:6">
      <c r="A642" s="45" t="str">
        <f>IF(COUNTIF($B$2:B642,B642)=1,"ok","dup")</f>
        <v>ok</v>
      </c>
      <c r="B642" s="45" t="str">
        <f t="shared" ref="B642:B705" si="10">C642&amp;D642</f>
        <v>Macaca_nemestrina27</v>
      </c>
      <c r="C642" s="6" t="s">
        <v>461</v>
      </c>
      <c r="D642" s="7">
        <v>27</v>
      </c>
      <c r="E642" s="14" t="s">
        <v>213</v>
      </c>
    </row>
    <row r="643" spans="1:6">
      <c r="A643" s="45" t="str">
        <f>IF(COUNTIF($B$2:B643,B643)=1,"ok","dup")</f>
        <v>ok</v>
      </c>
      <c r="B643" s="45" t="str">
        <f t="shared" si="10"/>
        <v>Macaca_nemestrina27.5</v>
      </c>
      <c r="C643" s="6" t="s">
        <v>461</v>
      </c>
      <c r="D643" s="7">
        <v>27.5</v>
      </c>
      <c r="E643" s="14" t="s">
        <v>211</v>
      </c>
    </row>
    <row r="644" spans="1:6">
      <c r="A644" s="45" t="str">
        <f>IF(COUNTIF($B$2:B644,B644)=1,"ok","dup")</f>
        <v>ok</v>
      </c>
      <c r="B644" s="45" t="str">
        <f t="shared" si="10"/>
        <v>Macaca_nigra47</v>
      </c>
      <c r="C644" s="6" t="s">
        <v>462</v>
      </c>
      <c r="D644" s="7">
        <v>47</v>
      </c>
      <c r="E644" s="14" t="s">
        <v>211</v>
      </c>
    </row>
    <row r="645" spans="1:6">
      <c r="A645" s="45" t="str">
        <f>IF(COUNTIF($B$2:B645,B645)=1,"ok","dup")</f>
        <v>ok</v>
      </c>
      <c r="B645" s="45" t="str">
        <f t="shared" si="10"/>
        <v>Macaca_radiata27.8</v>
      </c>
      <c r="C645" s="6" t="s">
        <v>463</v>
      </c>
      <c r="D645" s="7">
        <v>27.8</v>
      </c>
      <c r="E645" s="14" t="s">
        <v>212</v>
      </c>
    </row>
    <row r="646" spans="1:6">
      <c r="A646" s="45" t="str">
        <f>IF(COUNTIF($B$2:B646,B646)=1,"ok","dup")</f>
        <v>ok</v>
      </c>
      <c r="B646" s="45" t="str">
        <f t="shared" si="10"/>
        <v>Macaca_radiata30</v>
      </c>
      <c r="C646" s="6" t="s">
        <v>463</v>
      </c>
      <c r="D646" s="7">
        <v>30</v>
      </c>
      <c r="E646" s="14" t="s">
        <v>212</v>
      </c>
    </row>
    <row r="647" spans="1:6">
      <c r="A647" s="45" t="str">
        <f>IF(COUNTIF($B$2:B647,B647)=1,"ok","dup")</f>
        <v>ok</v>
      </c>
      <c r="B647" s="45" t="str">
        <f t="shared" si="10"/>
        <v>Macaca_radiata34.5</v>
      </c>
      <c r="C647" s="6" t="s">
        <v>463</v>
      </c>
      <c r="D647" s="7">
        <v>34.5</v>
      </c>
      <c r="E647" s="14" t="s">
        <v>212</v>
      </c>
    </row>
    <row r="648" spans="1:6">
      <c r="A648" s="45" t="str">
        <f>IF(COUNTIF($B$2:B648,B648)=1,"ok","dup")</f>
        <v>dup</v>
      </c>
      <c r="B648" s="45" t="str">
        <f t="shared" si="10"/>
        <v>Macaca_radiata30</v>
      </c>
      <c r="C648" s="6" t="s">
        <v>463</v>
      </c>
      <c r="D648" s="7">
        <v>30</v>
      </c>
      <c r="E648" s="14" t="s">
        <v>213</v>
      </c>
    </row>
    <row r="649" spans="1:6">
      <c r="A649" s="45" t="str">
        <f>IF(COUNTIF($B$2:B649,B649)=1,"ok","dup")</f>
        <v>ok</v>
      </c>
      <c r="B649" s="45" t="str">
        <f t="shared" si="10"/>
        <v>Macaca_radiata27.5</v>
      </c>
      <c r="C649" s="6" t="s">
        <v>463</v>
      </c>
      <c r="D649" s="7">
        <v>27.5</v>
      </c>
      <c r="E649" s="14" t="s">
        <v>211</v>
      </c>
    </row>
    <row r="650" spans="1:6">
      <c r="A650" s="45" t="str">
        <f>IF(COUNTIF($B$2:B650,B650)=1,"ok","dup")</f>
        <v>ok</v>
      </c>
      <c r="B650" s="45" t="str">
        <f t="shared" si="10"/>
        <v>Macaca_radiata24.5</v>
      </c>
      <c r="C650" s="6" t="s">
        <v>463</v>
      </c>
      <c r="D650" s="7">
        <v>24.5</v>
      </c>
      <c r="E650" s="14" t="s">
        <v>214</v>
      </c>
      <c r="F650" s="14" t="s">
        <v>464</v>
      </c>
    </row>
    <row r="651" spans="1:6">
      <c r="A651" s="45" t="str">
        <f>IF(COUNTIF($B$2:B651,B651)=1,"ok","dup")</f>
        <v>ok</v>
      </c>
      <c r="B651" s="45" t="str">
        <f t="shared" si="10"/>
        <v>Macaca_silenus21</v>
      </c>
      <c r="C651" s="6" t="s">
        <v>465</v>
      </c>
      <c r="D651" s="7">
        <v>21</v>
      </c>
      <c r="E651" s="14" t="s">
        <v>212</v>
      </c>
    </row>
    <row r="652" spans="1:6">
      <c r="A652" s="45" t="str">
        <f>IF(COUNTIF($B$2:B652,B652)=1,"ok","dup")</f>
        <v>ok</v>
      </c>
      <c r="B652" s="45" t="str">
        <f t="shared" si="10"/>
        <v>Macaca_silenus17</v>
      </c>
      <c r="C652" s="6" t="s">
        <v>465</v>
      </c>
      <c r="D652" s="7">
        <v>17</v>
      </c>
      <c r="E652" s="14" t="s">
        <v>211</v>
      </c>
    </row>
    <row r="653" spans="1:6">
      <c r="A653" s="45" t="str">
        <f>IF(COUNTIF($B$2:B653,B653)=1,"ok","dup")</f>
        <v>ok</v>
      </c>
      <c r="B653" s="45" t="str">
        <f t="shared" si="10"/>
        <v>Macaca_sinica24.8</v>
      </c>
      <c r="C653" s="6" t="s">
        <v>466</v>
      </c>
      <c r="D653" s="7">
        <v>24.8</v>
      </c>
      <c r="E653" s="14" t="s">
        <v>212</v>
      </c>
    </row>
    <row r="654" spans="1:6">
      <c r="A654" s="45" t="str">
        <f>IF(COUNTIF($B$2:B654,B654)=1,"ok","dup")</f>
        <v>dup</v>
      </c>
      <c r="B654" s="45" t="str">
        <f t="shared" si="10"/>
        <v>Macaca_sinica24.8</v>
      </c>
      <c r="C654" s="6" t="s">
        <v>466</v>
      </c>
      <c r="D654" s="7">
        <v>24.8</v>
      </c>
      <c r="E654" s="14" t="s">
        <v>211</v>
      </c>
    </row>
    <row r="655" spans="1:6">
      <c r="A655" s="45" t="str">
        <f>IF(COUNTIF($B$2:B655,B655)=1,"ok","dup")</f>
        <v>ok</v>
      </c>
      <c r="B655" s="45" t="str">
        <f t="shared" si="10"/>
        <v>Macaca_sylvanus18.3</v>
      </c>
      <c r="C655" s="6" t="s">
        <v>467</v>
      </c>
      <c r="D655" s="7">
        <v>18.3</v>
      </c>
      <c r="E655" s="14" t="s">
        <v>212</v>
      </c>
    </row>
    <row r="656" spans="1:6">
      <c r="A656" s="45" t="str">
        <f>IF(COUNTIF($B$2:B656,B656)=1,"ok","dup")</f>
        <v>ok</v>
      </c>
      <c r="B656" s="45" t="str">
        <f t="shared" si="10"/>
        <v>Macaca_sylvanus39</v>
      </c>
      <c r="C656" s="6" t="s">
        <v>467</v>
      </c>
      <c r="D656" s="7">
        <v>39</v>
      </c>
      <c r="E656" s="14" t="s">
        <v>212</v>
      </c>
    </row>
    <row r="657" spans="1:7">
      <c r="A657" s="45" t="str">
        <f>IF(COUNTIF($B$2:B657,B657)=1,"ok","dup")</f>
        <v>ok</v>
      </c>
      <c r="B657" s="45" t="str">
        <f t="shared" si="10"/>
        <v>Macaca_sylvanus18</v>
      </c>
      <c r="C657" s="6" t="s">
        <v>467</v>
      </c>
      <c r="D657" s="7">
        <v>18</v>
      </c>
      <c r="E657" s="14" t="s">
        <v>213</v>
      </c>
    </row>
    <row r="658" spans="1:7">
      <c r="A658" s="45" t="str">
        <f>IF(COUNTIF($B$2:B658,B658)=1,"ok","dup")</f>
        <v>ok</v>
      </c>
      <c r="B658" s="45" t="str">
        <f t="shared" si="10"/>
        <v>Macaca_sylvanus24</v>
      </c>
      <c r="C658" s="6" t="s">
        <v>467</v>
      </c>
      <c r="D658" s="7">
        <v>24</v>
      </c>
      <c r="E658" s="14" t="s">
        <v>211</v>
      </c>
    </row>
    <row r="659" spans="1:7">
      <c r="A659" s="45" t="str">
        <f>IF(COUNTIF($B$2:B659,B659)=1,"ok","dup")</f>
        <v>ok</v>
      </c>
      <c r="B659" s="45" t="str">
        <f t="shared" si="10"/>
        <v>Macaca_sylvanus10</v>
      </c>
      <c r="C659" s="6" t="s">
        <v>467</v>
      </c>
      <c r="D659" s="7">
        <v>10</v>
      </c>
      <c r="E659" s="14" t="s">
        <v>214</v>
      </c>
      <c r="F659" s="14" t="s">
        <v>468</v>
      </c>
    </row>
    <row r="660" spans="1:7">
      <c r="A660" s="45" t="str">
        <f>IF(COUNTIF($B$2:B660,B660)=1,"ok","dup")</f>
        <v>ok</v>
      </c>
      <c r="B660" s="45" t="str">
        <f t="shared" si="10"/>
        <v>Mandrillus_leucophaeus96.5</v>
      </c>
      <c r="C660" s="6" t="s">
        <v>469</v>
      </c>
      <c r="D660" s="7">
        <v>96.5</v>
      </c>
      <c r="E660" s="14" t="s">
        <v>211</v>
      </c>
    </row>
    <row r="661" spans="1:7">
      <c r="A661" s="45" t="str">
        <f>IF(COUNTIF($B$2:B661,B661)=1,"ok","dup")</f>
        <v>ok</v>
      </c>
      <c r="B661" s="45" t="str">
        <f t="shared" si="10"/>
        <v>Mandrillus_sphinx95</v>
      </c>
      <c r="C661" s="6" t="s">
        <v>90</v>
      </c>
      <c r="D661" s="7">
        <v>95</v>
      </c>
      <c r="E661" s="14" t="s">
        <v>211</v>
      </c>
    </row>
    <row r="662" spans="1:7">
      <c r="A662" s="45" t="str">
        <f>IF(COUNTIF($B$2:B662,B662)=1,"ok","dup")</f>
        <v>ok</v>
      </c>
      <c r="B662" s="45" t="str">
        <f t="shared" si="10"/>
        <v>Microcebus_murinus7.2</v>
      </c>
      <c r="C662" s="6" t="s">
        <v>91</v>
      </c>
      <c r="D662" s="7">
        <v>7.2</v>
      </c>
      <c r="E662" s="14" t="s">
        <v>276</v>
      </c>
      <c r="F662" s="14" t="s">
        <v>277</v>
      </c>
    </row>
    <row r="663" spans="1:7">
      <c r="A663" s="45" t="str">
        <f>IF(COUNTIF($B$2:B663,B663)=1,"ok","dup")</f>
        <v>ok</v>
      </c>
      <c r="B663" s="45" t="str">
        <f t="shared" si="10"/>
        <v>Microcebus_murinus3</v>
      </c>
      <c r="C663" s="6" t="s">
        <v>91</v>
      </c>
      <c r="D663" s="7">
        <v>3</v>
      </c>
      <c r="E663" s="14" t="s">
        <v>211</v>
      </c>
      <c r="G663" s="6" t="s">
        <v>352</v>
      </c>
    </row>
    <row r="664" spans="1:7">
      <c r="A664" s="45" t="str">
        <f>IF(COUNTIF($B$2:B664,B664)=1,"ok","dup")</f>
        <v>ok</v>
      </c>
      <c r="B664" s="45" t="str">
        <f t="shared" si="10"/>
        <v>Microcebus_rufus2</v>
      </c>
      <c r="C664" s="6" t="s">
        <v>470</v>
      </c>
      <c r="D664" s="7">
        <v>2</v>
      </c>
      <c r="E664" s="14" t="s">
        <v>276</v>
      </c>
      <c r="F664" s="14" t="s">
        <v>277</v>
      </c>
    </row>
    <row r="665" spans="1:7">
      <c r="A665" s="45" t="str">
        <f>IF(COUNTIF($B$2:B665,B665)=1,"ok","dup")</f>
        <v>ok</v>
      </c>
      <c r="B665" s="45" t="str">
        <f t="shared" si="10"/>
        <v>Microcebus_rufus2.5</v>
      </c>
      <c r="C665" s="6" t="s">
        <v>470</v>
      </c>
      <c r="D665" s="7">
        <v>2.5</v>
      </c>
      <c r="E665" s="14" t="s">
        <v>211</v>
      </c>
      <c r="G665" s="6" t="s">
        <v>352</v>
      </c>
    </row>
    <row r="666" spans="1:7">
      <c r="A666" s="45" t="str">
        <f>IF(COUNTIF($B$2:B666,B666)=1,"ok","dup")</f>
        <v>ok</v>
      </c>
      <c r="B666" s="45" t="str">
        <f t="shared" si="10"/>
        <v>Miopithecus_talapoin112</v>
      </c>
      <c r="C666" s="6" t="s">
        <v>92</v>
      </c>
      <c r="D666" s="7">
        <v>112</v>
      </c>
      <c r="E666" s="14" t="s">
        <v>216</v>
      </c>
      <c r="F666" s="14" t="s">
        <v>323</v>
      </c>
    </row>
    <row r="667" spans="1:7">
      <c r="A667" s="45" t="str">
        <f>IF(COUNTIF($B$2:B667,B667)=1,"ok","dup")</f>
        <v>dup</v>
      </c>
      <c r="B667" s="45" t="str">
        <f t="shared" si="10"/>
        <v>Miopithecus_talapoin112</v>
      </c>
      <c r="C667" s="6" t="s">
        <v>92</v>
      </c>
      <c r="D667" s="7">
        <v>112</v>
      </c>
      <c r="E667" s="14" t="s">
        <v>212</v>
      </c>
    </row>
    <row r="668" spans="1:7">
      <c r="A668" s="45" t="str">
        <f>IF(COUNTIF($B$2:B668,B668)=1,"ok","dup")</f>
        <v>ok</v>
      </c>
      <c r="B668" s="45" t="str">
        <f t="shared" si="10"/>
        <v>Miopithecus_talapoin13</v>
      </c>
      <c r="C668" s="6" t="s">
        <v>92</v>
      </c>
      <c r="D668" s="7">
        <v>13</v>
      </c>
      <c r="E668" s="14" t="s">
        <v>212</v>
      </c>
    </row>
    <row r="669" spans="1:7">
      <c r="A669" s="45" t="str">
        <f>IF(COUNTIF($B$2:B669,B669)=1,"ok","dup")</f>
        <v>ok</v>
      </c>
      <c r="B669" s="45" t="str">
        <f t="shared" si="10"/>
        <v>Miopithecus_talapoin70</v>
      </c>
      <c r="C669" s="6" t="s">
        <v>92</v>
      </c>
      <c r="D669" s="7">
        <v>70</v>
      </c>
      <c r="E669" s="14" t="s">
        <v>212</v>
      </c>
    </row>
    <row r="670" spans="1:7">
      <c r="A670" s="45" t="str">
        <f>IF(COUNTIF($B$2:B670,B670)=1,"ok","dup")</f>
        <v>dup</v>
      </c>
      <c r="B670" s="45" t="str">
        <f t="shared" si="10"/>
        <v>Miopithecus_talapoin70</v>
      </c>
      <c r="C670" s="6" t="s">
        <v>92</v>
      </c>
      <c r="D670" s="7">
        <v>70</v>
      </c>
      <c r="E670" s="14" t="s">
        <v>213</v>
      </c>
    </row>
    <row r="671" spans="1:7">
      <c r="A671" s="45" t="str">
        <f>IF(COUNTIF($B$2:B671,B671)=1,"ok","dup")</f>
        <v>ok</v>
      </c>
      <c r="B671" s="45" t="str">
        <f t="shared" si="10"/>
        <v>Miopithecus_talapoin78.5</v>
      </c>
      <c r="C671" s="6" t="s">
        <v>92</v>
      </c>
      <c r="D671" s="7">
        <v>78.5</v>
      </c>
      <c r="E671" s="14" t="s">
        <v>211</v>
      </c>
    </row>
    <row r="672" spans="1:7">
      <c r="A672" s="45" t="str">
        <f>IF(COUNTIF($B$2:B672,B672)=1,"ok","dup")</f>
        <v>ok</v>
      </c>
      <c r="B672" s="45" t="str">
        <f t="shared" si="10"/>
        <v>Mirza_coquereli2</v>
      </c>
      <c r="C672" s="6" t="s">
        <v>471</v>
      </c>
      <c r="D672" s="7">
        <v>2</v>
      </c>
      <c r="E672" s="14" t="s">
        <v>276</v>
      </c>
      <c r="F672" s="14" t="s">
        <v>277</v>
      </c>
    </row>
    <row r="673" spans="1:7">
      <c r="A673" s="45" t="str">
        <f>IF(COUNTIF($B$2:B673,B673)=1,"ok","dup")</f>
        <v>ok</v>
      </c>
      <c r="B673" s="45" t="str">
        <f t="shared" si="10"/>
        <v>Mirza_coquereli1</v>
      </c>
      <c r="C673" s="6" t="s">
        <v>471</v>
      </c>
      <c r="D673" s="7">
        <v>1</v>
      </c>
      <c r="E673" s="14" t="s">
        <v>212</v>
      </c>
    </row>
    <row r="674" spans="1:7">
      <c r="A674" s="45" t="str">
        <f>IF(COUNTIF($B$2:B674,B674)=1,"ok","dup")</f>
        <v>dup</v>
      </c>
      <c r="B674" s="45" t="str">
        <f t="shared" si="10"/>
        <v>Mirza_coquereli2</v>
      </c>
      <c r="C674" s="6" t="s">
        <v>471</v>
      </c>
      <c r="D674" s="7">
        <v>2</v>
      </c>
      <c r="E674" s="14" t="s">
        <v>211</v>
      </c>
      <c r="G674" s="6" t="s">
        <v>352</v>
      </c>
    </row>
    <row r="675" spans="1:7">
      <c r="A675" s="45" t="str">
        <f>IF(COUNTIF($B$2:B675,B675)=1,"ok","dup")</f>
        <v>ok</v>
      </c>
      <c r="B675" s="45" t="str">
        <f t="shared" si="10"/>
        <v>Nasalis_larvatus20</v>
      </c>
      <c r="C675" s="6" t="s">
        <v>93</v>
      </c>
      <c r="D675" s="7">
        <v>20</v>
      </c>
      <c r="E675" s="14" t="s">
        <v>213</v>
      </c>
    </row>
    <row r="676" spans="1:7">
      <c r="A676" s="45" t="str">
        <f>IF(COUNTIF($B$2:B676,B676)=1,"ok","dup")</f>
        <v>ok</v>
      </c>
      <c r="B676" s="45" t="str">
        <f t="shared" si="10"/>
        <v>Nasalis_larvatus9</v>
      </c>
      <c r="C676" s="6" t="s">
        <v>93</v>
      </c>
      <c r="D676" s="7">
        <v>9</v>
      </c>
      <c r="E676" s="14" t="s">
        <v>211</v>
      </c>
    </row>
    <row r="677" spans="1:7">
      <c r="A677" s="45" t="str">
        <f>IF(COUNTIF($B$2:B677,B677)=1,"ok","dup")</f>
        <v>ok</v>
      </c>
      <c r="B677" s="45" t="str">
        <f t="shared" si="10"/>
        <v>Nasalis_larvatus12.4</v>
      </c>
      <c r="C677" s="6" t="s">
        <v>93</v>
      </c>
      <c r="D677" s="7">
        <v>12.4</v>
      </c>
      <c r="E677" s="14" t="s">
        <v>220</v>
      </c>
      <c r="F677" s="14" t="s">
        <v>472</v>
      </c>
      <c r="G677" s="6" t="s">
        <v>330</v>
      </c>
    </row>
    <row r="678" spans="1:7">
      <c r="A678" s="45" t="str">
        <f>IF(COUNTIF($B$2:B678,B678)=1,"ok","dup")</f>
        <v>ok</v>
      </c>
      <c r="B678" s="45" t="str">
        <f t="shared" si="10"/>
        <v>Nasalis_larvatus13</v>
      </c>
      <c r="C678" s="6" t="s">
        <v>93</v>
      </c>
      <c r="D678" s="7">
        <v>13</v>
      </c>
      <c r="E678" s="14" t="s">
        <v>220</v>
      </c>
      <c r="F678" s="14" t="s">
        <v>473</v>
      </c>
    </row>
    <row r="679" spans="1:7">
      <c r="A679" s="45" t="str">
        <f>IF(COUNTIF($B$2:B679,B679)=1,"ok","dup")</f>
        <v>ok</v>
      </c>
      <c r="B679" s="45" t="str">
        <f t="shared" si="10"/>
        <v>Nasalis_larvatus16</v>
      </c>
      <c r="C679" s="6" t="s">
        <v>93</v>
      </c>
      <c r="D679" s="7">
        <v>16</v>
      </c>
      <c r="E679" s="14" t="s">
        <v>220</v>
      </c>
      <c r="F679" s="14" t="s">
        <v>474</v>
      </c>
    </row>
    <row r="680" spans="1:7">
      <c r="A680" s="45" t="str">
        <f>IF(COUNTIF($B$2:B680,B680)=1,"ok","dup")</f>
        <v>dup</v>
      </c>
      <c r="B680" s="45" t="str">
        <f t="shared" si="10"/>
        <v>Nasalis_larvatus16</v>
      </c>
      <c r="C680" s="6" t="s">
        <v>93</v>
      </c>
      <c r="D680" s="7">
        <v>16</v>
      </c>
      <c r="E680" s="14" t="s">
        <v>220</v>
      </c>
      <c r="F680" s="14" t="s">
        <v>473</v>
      </c>
    </row>
    <row r="681" spans="1:7">
      <c r="A681" s="45" t="str">
        <f>IF(COUNTIF($B$2:B681,B681)=1,"ok","dup")</f>
        <v>dup</v>
      </c>
      <c r="B681" s="45" t="str">
        <f t="shared" si="10"/>
        <v>Nasalis_larvatus20</v>
      </c>
      <c r="C681" s="6" t="s">
        <v>93</v>
      </c>
      <c r="D681" s="7">
        <v>20</v>
      </c>
      <c r="E681" s="14" t="s">
        <v>220</v>
      </c>
      <c r="F681" s="14" t="s">
        <v>475</v>
      </c>
      <c r="G681" s="6" t="s">
        <v>235</v>
      </c>
    </row>
    <row r="682" spans="1:7">
      <c r="A682" s="45" t="str">
        <f>IF(COUNTIF($B$2:B682,B682)=1,"ok","dup")</f>
        <v>dup</v>
      </c>
      <c r="B682" s="45" t="str">
        <f t="shared" si="10"/>
        <v>Nasalis_larvatus20</v>
      </c>
      <c r="C682" s="6" t="s">
        <v>93</v>
      </c>
      <c r="D682" s="7">
        <v>20</v>
      </c>
      <c r="E682" s="14" t="s">
        <v>220</v>
      </c>
      <c r="F682" s="14" t="s">
        <v>476</v>
      </c>
    </row>
    <row r="683" spans="1:7">
      <c r="A683" s="45" t="str">
        <f>IF(COUNTIF($B$2:B683,B683)=1,"ok","dup")</f>
        <v>ok</v>
      </c>
      <c r="B683" s="45" t="str">
        <f t="shared" si="10"/>
        <v>Nasalis_larvatus3</v>
      </c>
      <c r="C683" s="6" t="s">
        <v>93</v>
      </c>
      <c r="D683" s="7">
        <v>3</v>
      </c>
      <c r="E683" s="14" t="s">
        <v>220</v>
      </c>
      <c r="F683" s="14" t="s">
        <v>476</v>
      </c>
    </row>
    <row r="684" spans="1:7">
      <c r="A684" s="45" t="str">
        <f>IF(COUNTIF($B$2:B684,B684)=1,"ok","dup")</f>
        <v>ok</v>
      </c>
      <c r="B684" s="45" t="str">
        <f t="shared" si="10"/>
        <v>Nasalis_larvatus5</v>
      </c>
      <c r="C684" s="6" t="s">
        <v>93</v>
      </c>
      <c r="D684" s="7">
        <v>5</v>
      </c>
      <c r="E684" s="14" t="s">
        <v>220</v>
      </c>
      <c r="F684" s="14" t="s">
        <v>473</v>
      </c>
    </row>
    <row r="685" spans="1:7">
      <c r="A685" s="45" t="str">
        <f>IF(COUNTIF($B$2:B685,B685)=1,"ok","dup")</f>
        <v>ok</v>
      </c>
      <c r="B685" s="45" t="str">
        <f t="shared" si="10"/>
        <v>Nasalis_larvatus6</v>
      </c>
      <c r="C685" s="6" t="s">
        <v>93</v>
      </c>
      <c r="D685" s="7">
        <v>6</v>
      </c>
      <c r="E685" s="14" t="s">
        <v>220</v>
      </c>
      <c r="F685" s="14" t="s">
        <v>476</v>
      </c>
    </row>
    <row r="686" spans="1:7">
      <c r="A686" s="45" t="str">
        <f>IF(COUNTIF($B$2:B686,B686)=1,"ok","dup")</f>
        <v>dup</v>
      </c>
      <c r="B686" s="45" t="str">
        <f t="shared" si="10"/>
        <v>Nasalis_larvatus6</v>
      </c>
      <c r="C686" s="6" t="s">
        <v>93</v>
      </c>
      <c r="D686" s="7">
        <v>6</v>
      </c>
      <c r="E686" s="14" t="s">
        <v>220</v>
      </c>
      <c r="F686" s="14" t="s">
        <v>473</v>
      </c>
    </row>
    <row r="687" spans="1:7">
      <c r="A687" s="45" t="str">
        <f>IF(COUNTIF($B$2:B687,B687)=1,"ok","dup")</f>
        <v>dup</v>
      </c>
      <c r="B687" s="45" t="str">
        <f t="shared" si="10"/>
        <v>Nasalis_larvatus6</v>
      </c>
      <c r="C687" s="6" t="s">
        <v>93</v>
      </c>
      <c r="D687" s="7">
        <v>6</v>
      </c>
      <c r="E687" s="14" t="s">
        <v>220</v>
      </c>
      <c r="F687" s="14" t="s">
        <v>473</v>
      </c>
    </row>
    <row r="688" spans="1:7">
      <c r="A688" s="45" t="str">
        <f>IF(COUNTIF($B$2:B688,B688)=1,"ok","dup")</f>
        <v>ok</v>
      </c>
      <c r="B688" s="45" t="str">
        <f t="shared" si="10"/>
        <v>Nasalis_larvatus7</v>
      </c>
      <c r="C688" s="6" t="s">
        <v>93</v>
      </c>
      <c r="D688" s="7">
        <v>7</v>
      </c>
      <c r="E688" s="14" t="s">
        <v>220</v>
      </c>
      <c r="F688" s="14" t="s">
        <v>476</v>
      </c>
    </row>
    <row r="689" spans="1:7">
      <c r="A689" s="45" t="str">
        <f>IF(COUNTIF($B$2:B689,B689)=1,"ok","dup")</f>
        <v>ok</v>
      </c>
      <c r="B689" s="45" t="str">
        <f t="shared" si="10"/>
        <v>Nasalis_larvatus8</v>
      </c>
      <c r="C689" s="6" t="s">
        <v>93</v>
      </c>
      <c r="D689" s="7">
        <v>8</v>
      </c>
      <c r="E689" s="14" t="s">
        <v>220</v>
      </c>
      <c r="F689" s="14" t="s">
        <v>473</v>
      </c>
    </row>
    <row r="690" spans="1:7">
      <c r="A690" s="45" t="str">
        <f>IF(COUNTIF($B$2:B690,B690)=1,"ok","dup")</f>
        <v>ok</v>
      </c>
      <c r="B690" s="45" t="str">
        <f t="shared" si="10"/>
        <v>Nomascus_concolor3.5</v>
      </c>
      <c r="C690" s="6" t="s">
        <v>94</v>
      </c>
      <c r="D690" s="7">
        <v>3.5</v>
      </c>
      <c r="E690" s="14" t="s">
        <v>213</v>
      </c>
    </row>
    <row r="691" spans="1:7">
      <c r="A691" s="45" t="str">
        <f>IF(COUNTIF($B$2:B691,B691)=1,"ok","dup")</f>
        <v>dup</v>
      </c>
      <c r="B691" s="45" t="str">
        <f t="shared" si="10"/>
        <v>Nomascus_concolor3.5</v>
      </c>
      <c r="C691" s="6" t="s">
        <v>94</v>
      </c>
      <c r="D691" s="7">
        <v>3.5</v>
      </c>
      <c r="E691" s="14" t="s">
        <v>211</v>
      </c>
    </row>
    <row r="692" spans="1:7">
      <c r="A692" s="45" t="str">
        <f>IF(COUNTIF($B$2:B692,B692)=1,"ok","dup")</f>
        <v>ok</v>
      </c>
      <c r="B692" s="45" t="str">
        <f t="shared" si="10"/>
        <v>Nycticebus_coucang1</v>
      </c>
      <c r="C692" s="6" t="s">
        <v>95</v>
      </c>
      <c r="D692" s="7">
        <v>1</v>
      </c>
      <c r="E692" s="14" t="s">
        <v>213</v>
      </c>
    </row>
    <row r="693" spans="1:7">
      <c r="A693" s="45" t="str">
        <f>IF(COUNTIF($B$2:B693,B693)=1,"ok","dup")</f>
        <v>ok</v>
      </c>
      <c r="B693" s="45" t="str">
        <f t="shared" si="10"/>
        <v>Otolemur_crassicaudatus1</v>
      </c>
      <c r="C693" s="6" t="s">
        <v>96</v>
      </c>
      <c r="D693" s="7">
        <v>1</v>
      </c>
      <c r="E693" s="14" t="s">
        <v>213</v>
      </c>
    </row>
    <row r="694" spans="1:7">
      <c r="A694" s="45" t="str">
        <f>IF(COUNTIF($B$2:B694,B694)=1,"ok","dup")</f>
        <v>ok</v>
      </c>
      <c r="B694" s="45" t="str">
        <f t="shared" si="10"/>
        <v>Otolemur_crassicaudatus3.5</v>
      </c>
      <c r="C694" s="6" t="s">
        <v>96</v>
      </c>
      <c r="D694" s="7">
        <v>3.5</v>
      </c>
      <c r="E694" s="14" t="s">
        <v>211</v>
      </c>
    </row>
    <row r="695" spans="1:7">
      <c r="A695" s="45" t="str">
        <f>IF(COUNTIF($B$2:B695,B695)=1,"ok","dup")</f>
        <v>ok</v>
      </c>
      <c r="B695" s="45" t="str">
        <f t="shared" si="10"/>
        <v>Pan_paniscus125</v>
      </c>
      <c r="C695" s="6" t="s">
        <v>97</v>
      </c>
      <c r="D695" s="7">
        <v>125</v>
      </c>
      <c r="E695" s="14" t="s">
        <v>211</v>
      </c>
      <c r="G695" s="6" t="s">
        <v>477</v>
      </c>
    </row>
    <row r="696" spans="1:7">
      <c r="A696" s="45" t="str">
        <f>IF(COUNTIF($B$2:B696,B696)=1,"ok","dup")</f>
        <v>ok</v>
      </c>
      <c r="B696" s="45" t="str">
        <f t="shared" si="10"/>
        <v>Pan_paniscus10</v>
      </c>
      <c r="C696" s="6" t="s">
        <v>97</v>
      </c>
      <c r="D696" s="7">
        <v>10</v>
      </c>
      <c r="E696" s="14" t="s">
        <v>214</v>
      </c>
      <c r="F696" s="14" t="s">
        <v>478</v>
      </c>
    </row>
    <row r="697" spans="1:7">
      <c r="A697" s="45" t="str">
        <f>IF(COUNTIF($B$2:B697,B697)=1,"ok","dup")</f>
        <v>ok</v>
      </c>
      <c r="B697" s="45" t="str">
        <f t="shared" si="10"/>
        <v>Pan_troglodytes_troglodytes28</v>
      </c>
      <c r="C697" s="6" t="s">
        <v>98</v>
      </c>
      <c r="D697" s="7">
        <v>28</v>
      </c>
      <c r="E697" s="14" t="s">
        <v>216</v>
      </c>
      <c r="F697" s="14" t="s">
        <v>320</v>
      </c>
    </row>
    <row r="698" spans="1:7">
      <c r="A698" s="45" t="str">
        <f>IF(COUNTIF($B$2:B698,B698)=1,"ok","dup")</f>
        <v>ok</v>
      </c>
      <c r="B698" s="45" t="str">
        <f t="shared" si="10"/>
        <v>Pan_troglodytes_troglodytes50</v>
      </c>
      <c r="C698" s="6" t="s">
        <v>98</v>
      </c>
      <c r="D698" s="7">
        <v>50</v>
      </c>
      <c r="E698" s="14" t="s">
        <v>212</v>
      </c>
    </row>
    <row r="699" spans="1:7">
      <c r="A699" s="45" t="str">
        <f>IF(COUNTIF($B$2:B699,B699)=1,"ok","dup")</f>
        <v>dup</v>
      </c>
      <c r="B699" s="45" t="str">
        <f t="shared" si="10"/>
        <v>Pan_troglodytes_troglodytes28</v>
      </c>
      <c r="C699" s="6" t="s">
        <v>98</v>
      </c>
      <c r="D699" s="7">
        <v>28</v>
      </c>
      <c r="E699" s="14" t="s">
        <v>218</v>
      </c>
      <c r="F699" s="14" t="s">
        <v>479</v>
      </c>
    </row>
    <row r="700" spans="1:7">
      <c r="A700" s="45" t="str">
        <f>IF(COUNTIF($B$2:B700,B700)=1,"ok","dup")</f>
        <v>ok</v>
      </c>
      <c r="B700" s="45" t="str">
        <f t="shared" si="10"/>
        <v>Pan_troglodytes_troglodytes27</v>
      </c>
      <c r="C700" s="6" t="s">
        <v>98</v>
      </c>
      <c r="D700" s="7">
        <v>27</v>
      </c>
      <c r="E700" s="14" t="s">
        <v>213</v>
      </c>
    </row>
    <row r="701" spans="1:7">
      <c r="A701" s="45" t="str">
        <f>IF(COUNTIF($B$2:B701,B701)=1,"ok","dup")</f>
        <v>ok</v>
      </c>
      <c r="B701" s="45" t="str">
        <f t="shared" si="10"/>
        <v>Pan_troglodytes_troglodytes187</v>
      </c>
      <c r="C701" s="6" t="s">
        <v>98</v>
      </c>
      <c r="D701" s="7">
        <v>187</v>
      </c>
      <c r="E701" s="14" t="s">
        <v>220</v>
      </c>
      <c r="F701" s="14" t="s">
        <v>480</v>
      </c>
    </row>
    <row r="702" spans="1:7">
      <c r="A702" s="45" t="str">
        <f>IF(COUNTIF($B$2:B702,B702)=1,"ok","dup")</f>
        <v>ok</v>
      </c>
      <c r="B702" s="45" t="str">
        <f t="shared" si="10"/>
        <v>Pan_troglodytes_troglodytes21</v>
      </c>
      <c r="C702" s="6" t="s">
        <v>98</v>
      </c>
      <c r="D702" s="7">
        <v>21</v>
      </c>
      <c r="E702" s="14" t="s">
        <v>220</v>
      </c>
      <c r="F702" s="14" t="s">
        <v>481</v>
      </c>
    </row>
    <row r="703" spans="1:7">
      <c r="A703" s="45" t="str">
        <f>IF(COUNTIF($B$2:B703,B703)=1,"ok","dup")</f>
        <v>dup</v>
      </c>
      <c r="B703" s="45" t="str">
        <f t="shared" si="10"/>
        <v>Pan_troglodytes_troglodytes27</v>
      </c>
      <c r="C703" s="6" t="s">
        <v>98</v>
      </c>
      <c r="D703" s="7">
        <v>27</v>
      </c>
      <c r="E703" s="14" t="s">
        <v>220</v>
      </c>
      <c r="F703" s="14" t="s">
        <v>482</v>
      </c>
      <c r="G703" s="6" t="s">
        <v>235</v>
      </c>
    </row>
    <row r="704" spans="1:7">
      <c r="A704" s="45" t="str">
        <f>IF(COUNTIF($B$2:B704,B704)=1,"ok","dup")</f>
        <v>ok</v>
      </c>
      <c r="B704" s="45" t="str">
        <f t="shared" si="10"/>
        <v>Pan_troglodytes_troglodytes27.5</v>
      </c>
      <c r="C704" s="6" t="s">
        <v>98</v>
      </c>
      <c r="D704" s="7">
        <v>27.5</v>
      </c>
      <c r="E704" s="14" t="s">
        <v>220</v>
      </c>
      <c r="F704" s="14" t="s">
        <v>483</v>
      </c>
      <c r="G704" s="6" t="s">
        <v>239</v>
      </c>
    </row>
    <row r="705" spans="1:7">
      <c r="A705" s="45" t="str">
        <f>IF(COUNTIF($B$2:B705,B705)=1,"ok","dup")</f>
        <v>dup</v>
      </c>
      <c r="B705" s="45" t="str">
        <f t="shared" si="10"/>
        <v>Pan_troglodytes_troglodytes28</v>
      </c>
      <c r="C705" s="6" t="s">
        <v>98</v>
      </c>
      <c r="D705" s="7">
        <v>28</v>
      </c>
      <c r="E705" s="14" t="s">
        <v>220</v>
      </c>
      <c r="F705" s="14" t="s">
        <v>484</v>
      </c>
      <c r="G705" s="6" t="s">
        <v>228</v>
      </c>
    </row>
    <row r="706" spans="1:7">
      <c r="A706" s="45" t="str">
        <f>IF(COUNTIF($B$2:B706,B706)=1,"ok","dup")</f>
        <v>ok</v>
      </c>
      <c r="B706" s="45" t="str">
        <f t="shared" ref="B706:B769" si="11">C706&amp;D706</f>
        <v>Pan_troglodytes_troglodytes29</v>
      </c>
      <c r="C706" s="6" t="s">
        <v>98</v>
      </c>
      <c r="D706" s="7">
        <v>29</v>
      </c>
      <c r="E706" s="14" t="s">
        <v>220</v>
      </c>
      <c r="F706" s="14" t="s">
        <v>485</v>
      </c>
      <c r="G706" s="6" t="s">
        <v>222</v>
      </c>
    </row>
    <row r="707" spans="1:7">
      <c r="A707" s="45" t="str">
        <f>IF(COUNTIF($B$2:B707,B707)=1,"ok","dup")</f>
        <v>ok</v>
      </c>
      <c r="B707" s="45" t="str">
        <f t="shared" si="11"/>
        <v>Pan_troglodytes_troglodytes35</v>
      </c>
      <c r="C707" s="6" t="s">
        <v>98</v>
      </c>
      <c r="D707" s="7">
        <v>35</v>
      </c>
      <c r="E707" s="14" t="s">
        <v>220</v>
      </c>
      <c r="F707" s="14" t="s">
        <v>485</v>
      </c>
    </row>
    <row r="708" spans="1:7">
      <c r="A708" s="45" t="str">
        <f>IF(COUNTIF($B$2:B708,B708)=1,"ok","dup")</f>
        <v>ok</v>
      </c>
      <c r="B708" s="45" t="str">
        <f t="shared" si="11"/>
        <v>Pan_troglodytes_troglodytes44</v>
      </c>
      <c r="C708" s="6" t="s">
        <v>98</v>
      </c>
      <c r="D708" s="7">
        <v>44</v>
      </c>
      <c r="E708" s="14" t="s">
        <v>220</v>
      </c>
      <c r="F708" s="14" t="s">
        <v>486</v>
      </c>
    </row>
    <row r="709" spans="1:7">
      <c r="A709" s="45" t="str">
        <f>IF(COUNTIF($B$2:B709,B709)=1,"ok","dup")</f>
        <v>ok</v>
      </c>
      <c r="B709" s="45" t="str">
        <f t="shared" si="11"/>
        <v>Pan_troglodytes_troglodytes5.2</v>
      </c>
      <c r="C709" s="6" t="s">
        <v>98</v>
      </c>
      <c r="D709" s="7">
        <v>5.2</v>
      </c>
      <c r="E709" s="14" t="s">
        <v>220</v>
      </c>
      <c r="F709" s="14" t="s">
        <v>487</v>
      </c>
      <c r="G709" s="6" t="s">
        <v>239</v>
      </c>
    </row>
    <row r="710" spans="1:7">
      <c r="A710" s="45" t="str">
        <f>IF(COUNTIF($B$2:B710,B710)=1,"ok","dup")</f>
        <v>ok</v>
      </c>
      <c r="B710" s="45" t="str">
        <f t="shared" si="11"/>
        <v>Pan_troglodytes_troglodytes51</v>
      </c>
      <c r="C710" s="6" t="s">
        <v>98</v>
      </c>
      <c r="D710" s="7">
        <v>51</v>
      </c>
      <c r="E710" s="14" t="s">
        <v>220</v>
      </c>
      <c r="F710" s="14" t="s">
        <v>488</v>
      </c>
    </row>
    <row r="711" spans="1:7">
      <c r="A711" s="45" t="str">
        <f>IF(COUNTIF($B$2:B711,B711)=1,"ok","dup")</f>
        <v>ok</v>
      </c>
      <c r="B711" s="45" t="str">
        <f t="shared" si="11"/>
        <v>Pan_troglodytes_troglodytes7</v>
      </c>
      <c r="C711" s="6" t="s">
        <v>98</v>
      </c>
      <c r="D711" s="7">
        <v>7</v>
      </c>
      <c r="E711" s="14" t="s">
        <v>220</v>
      </c>
      <c r="F711" s="14" t="s">
        <v>485</v>
      </c>
      <c r="G711" s="6" t="s">
        <v>222</v>
      </c>
    </row>
    <row r="712" spans="1:7">
      <c r="A712" s="45" t="str">
        <f>IF(COUNTIF($B$2:B712,B712)=1,"ok","dup")</f>
        <v>ok</v>
      </c>
      <c r="B712" s="45" t="str">
        <f t="shared" si="11"/>
        <v>Pan_troglodytes_troglodytes76</v>
      </c>
      <c r="C712" s="6" t="s">
        <v>98</v>
      </c>
      <c r="D712" s="7">
        <v>76</v>
      </c>
      <c r="E712" s="14" t="s">
        <v>220</v>
      </c>
      <c r="F712" s="14" t="s">
        <v>489</v>
      </c>
    </row>
    <row r="713" spans="1:7">
      <c r="A713" s="45" t="str">
        <f>IF(COUNTIF($B$2:B713,B713)=1,"ok","dup")</f>
        <v>ok</v>
      </c>
      <c r="B713" s="45" t="str">
        <f t="shared" si="11"/>
        <v>Pan_troglodytes_troglodytes10.2</v>
      </c>
      <c r="C713" s="6" t="s">
        <v>98</v>
      </c>
      <c r="D713" s="7">
        <v>10.199999999999999</v>
      </c>
      <c r="E713" s="14" t="s">
        <v>214</v>
      </c>
      <c r="F713" s="14" t="s">
        <v>490</v>
      </c>
    </row>
    <row r="714" spans="1:7">
      <c r="A714" s="45" t="str">
        <f>IF(COUNTIF($B$2:B714,B714)=1,"ok","dup")</f>
        <v>ok</v>
      </c>
      <c r="B714" s="45" t="str">
        <f t="shared" si="11"/>
        <v>Papio_anubis25.8</v>
      </c>
      <c r="C714" s="6" t="s">
        <v>99</v>
      </c>
      <c r="D714" s="7">
        <v>25.8</v>
      </c>
      <c r="E714" s="14" t="s">
        <v>212</v>
      </c>
    </row>
    <row r="715" spans="1:7">
      <c r="A715" s="45" t="str">
        <f>IF(COUNTIF($B$2:B715,B715)=1,"ok","dup")</f>
        <v>ok</v>
      </c>
      <c r="B715" s="45" t="str">
        <f t="shared" si="11"/>
        <v>Papio_anubis29.9</v>
      </c>
      <c r="C715" s="6" t="s">
        <v>99</v>
      </c>
      <c r="D715" s="7">
        <v>29.9</v>
      </c>
      <c r="E715" s="14" t="s">
        <v>212</v>
      </c>
    </row>
    <row r="716" spans="1:7">
      <c r="A716" s="45" t="str">
        <f>IF(COUNTIF($B$2:B716,B716)=1,"ok","dup")</f>
        <v>ok</v>
      </c>
      <c r="B716" s="45" t="str">
        <f t="shared" si="11"/>
        <v>Papio_anubis39</v>
      </c>
      <c r="C716" s="6" t="s">
        <v>99</v>
      </c>
      <c r="D716" s="7">
        <v>39</v>
      </c>
      <c r="E716" s="14" t="s">
        <v>212</v>
      </c>
    </row>
    <row r="717" spans="1:7">
      <c r="A717" s="45" t="str">
        <f>IF(COUNTIF($B$2:B717,B717)=1,"ok","dup")</f>
        <v>ok</v>
      </c>
      <c r="B717" s="45" t="str">
        <f t="shared" si="11"/>
        <v>Papio_anubis40.3</v>
      </c>
      <c r="C717" s="6" t="s">
        <v>99</v>
      </c>
      <c r="D717" s="7">
        <v>40.299999999999997</v>
      </c>
      <c r="E717" s="14" t="s">
        <v>212</v>
      </c>
    </row>
    <row r="718" spans="1:7">
      <c r="A718" s="45" t="str">
        <f>IF(COUNTIF($B$2:B718,B718)=1,"ok","dup")</f>
        <v>ok</v>
      </c>
      <c r="B718" s="45" t="str">
        <f t="shared" si="11"/>
        <v>Papio_anubis42.1</v>
      </c>
      <c r="C718" s="6" t="s">
        <v>99</v>
      </c>
      <c r="D718" s="7">
        <v>42.1</v>
      </c>
      <c r="E718" s="14" t="s">
        <v>212</v>
      </c>
    </row>
    <row r="719" spans="1:7">
      <c r="A719" s="45" t="str">
        <f>IF(COUNTIF($B$2:B719,B719)=1,"ok","dup")</f>
        <v>ok</v>
      </c>
      <c r="B719" s="45" t="str">
        <f t="shared" si="11"/>
        <v>Papio_anubis45</v>
      </c>
      <c r="C719" s="6" t="s">
        <v>99</v>
      </c>
      <c r="D719" s="7">
        <v>45</v>
      </c>
      <c r="E719" s="14" t="s">
        <v>212</v>
      </c>
    </row>
    <row r="720" spans="1:7">
      <c r="A720" s="45" t="str">
        <f>IF(COUNTIF($B$2:B720,B720)=1,"ok","dup")</f>
        <v>ok</v>
      </c>
      <c r="B720" s="45" t="str">
        <f t="shared" si="11"/>
        <v>Papio_anubis47.8</v>
      </c>
      <c r="C720" s="6" t="s">
        <v>99</v>
      </c>
      <c r="D720" s="7">
        <v>47.8</v>
      </c>
      <c r="E720" s="14" t="s">
        <v>212</v>
      </c>
    </row>
    <row r="721" spans="1:7">
      <c r="A721" s="45" t="str">
        <f>IF(COUNTIF($B$2:B721,B721)=1,"ok","dup")</f>
        <v>ok</v>
      </c>
      <c r="B721" s="45" t="str">
        <f t="shared" si="11"/>
        <v>Papio_anubis50</v>
      </c>
      <c r="C721" s="6" t="s">
        <v>99</v>
      </c>
      <c r="D721" s="7">
        <v>50</v>
      </c>
      <c r="E721" s="14" t="s">
        <v>212</v>
      </c>
    </row>
    <row r="722" spans="1:7">
      <c r="A722" s="45" t="str">
        <f>IF(COUNTIF($B$2:B722,B722)=1,"ok","dup")</f>
        <v>ok</v>
      </c>
      <c r="B722" s="45" t="str">
        <f t="shared" si="11"/>
        <v>Papio_anubis55.7</v>
      </c>
      <c r="C722" s="6" t="s">
        <v>99</v>
      </c>
      <c r="D722" s="7">
        <v>55.7</v>
      </c>
      <c r="E722" s="14" t="s">
        <v>212</v>
      </c>
    </row>
    <row r="723" spans="1:7">
      <c r="A723" s="45" t="str">
        <f>IF(COUNTIF($B$2:B723,B723)=1,"ok","dup")</f>
        <v>ok</v>
      </c>
      <c r="B723" s="45" t="str">
        <f t="shared" si="11"/>
        <v>Papio_anubis87</v>
      </c>
      <c r="C723" s="6" t="s">
        <v>99</v>
      </c>
      <c r="D723" s="7">
        <v>87</v>
      </c>
      <c r="E723" s="14" t="s">
        <v>212</v>
      </c>
    </row>
    <row r="724" spans="1:7">
      <c r="A724" s="45" t="str">
        <f>IF(COUNTIF($B$2:B724,B724)=1,"ok","dup")</f>
        <v>ok</v>
      </c>
      <c r="B724" s="45" t="str">
        <f t="shared" si="11"/>
        <v>Papio_anubis97</v>
      </c>
      <c r="C724" s="6" t="s">
        <v>99</v>
      </c>
      <c r="D724" s="7">
        <v>97</v>
      </c>
      <c r="E724" s="14" t="s">
        <v>212</v>
      </c>
    </row>
    <row r="725" spans="1:7">
      <c r="A725" s="45" t="str">
        <f>IF(COUNTIF($B$2:B725,B725)=1,"ok","dup")</f>
        <v>ok</v>
      </c>
      <c r="B725" s="45" t="str">
        <f t="shared" si="11"/>
        <v>Papio_anubis41.2</v>
      </c>
      <c r="C725" s="6" t="s">
        <v>99</v>
      </c>
      <c r="D725" s="7">
        <v>41.2</v>
      </c>
      <c r="E725" s="14" t="s">
        <v>218</v>
      </c>
      <c r="F725" s="14" t="s">
        <v>491</v>
      </c>
    </row>
    <row r="726" spans="1:7">
      <c r="A726" s="45" t="str">
        <f>IF(COUNTIF($B$2:B726,B726)=1,"ok","dup")</f>
        <v>ok</v>
      </c>
      <c r="B726" s="45" t="str">
        <f t="shared" si="11"/>
        <v>Papio_anubis34</v>
      </c>
      <c r="C726" s="6" t="s">
        <v>99</v>
      </c>
      <c r="D726" s="7">
        <v>34</v>
      </c>
      <c r="E726" s="14" t="s">
        <v>213</v>
      </c>
    </row>
    <row r="727" spans="1:7">
      <c r="A727" s="45" t="str">
        <f>IF(COUNTIF($B$2:B727,B727)=1,"ok","dup")</f>
        <v>dup</v>
      </c>
      <c r="B727" s="45" t="str">
        <f t="shared" si="11"/>
        <v>Papio_anubis50</v>
      </c>
      <c r="C727" s="6" t="s">
        <v>99</v>
      </c>
      <c r="D727" s="7">
        <v>50</v>
      </c>
      <c r="E727" s="14" t="s">
        <v>211</v>
      </c>
    </row>
    <row r="728" spans="1:7">
      <c r="A728" s="45" t="str">
        <f>IF(COUNTIF($B$2:B728,B728)=1,"ok","dup")</f>
        <v>ok</v>
      </c>
      <c r="B728" s="45" t="str">
        <f t="shared" si="11"/>
        <v>Papio_anubis101</v>
      </c>
      <c r="C728" s="6" t="s">
        <v>99</v>
      </c>
      <c r="D728" s="7">
        <v>101</v>
      </c>
      <c r="E728" s="14" t="s">
        <v>220</v>
      </c>
      <c r="F728" s="14" t="s">
        <v>492</v>
      </c>
      <c r="G728" s="6" t="s">
        <v>330</v>
      </c>
    </row>
    <row r="729" spans="1:7">
      <c r="A729" s="45" t="str">
        <f>IF(COUNTIF($B$2:B729,B729)=1,"ok","dup")</f>
        <v>ok</v>
      </c>
      <c r="B729" s="45" t="str">
        <f t="shared" si="11"/>
        <v>Papio_anubis13</v>
      </c>
      <c r="C729" s="6" t="s">
        <v>99</v>
      </c>
      <c r="D729" s="7">
        <v>13</v>
      </c>
      <c r="E729" s="14" t="s">
        <v>220</v>
      </c>
      <c r="F729" s="14" t="s">
        <v>493</v>
      </c>
      <c r="G729" s="6" t="s">
        <v>222</v>
      </c>
    </row>
    <row r="730" spans="1:7">
      <c r="A730" s="45" t="str">
        <f>IF(COUNTIF($B$2:B730,B730)=1,"ok","dup")</f>
        <v>ok</v>
      </c>
      <c r="B730" s="45" t="str">
        <f t="shared" si="11"/>
        <v>Papio_anubis14</v>
      </c>
      <c r="C730" s="6" t="s">
        <v>99</v>
      </c>
      <c r="D730" s="7">
        <v>14</v>
      </c>
      <c r="E730" s="14" t="s">
        <v>220</v>
      </c>
      <c r="F730" s="14" t="s">
        <v>493</v>
      </c>
    </row>
    <row r="731" spans="1:7">
      <c r="A731" s="45" t="str">
        <f>IF(COUNTIF($B$2:B731,B731)=1,"ok","dup")</f>
        <v>ok</v>
      </c>
      <c r="B731" s="45" t="str">
        <f t="shared" si="11"/>
        <v>Papio_anubis150</v>
      </c>
      <c r="C731" s="6" t="s">
        <v>99</v>
      </c>
      <c r="D731" s="7">
        <v>150</v>
      </c>
      <c r="E731" s="14" t="s">
        <v>220</v>
      </c>
      <c r="F731" s="14" t="s">
        <v>494</v>
      </c>
    </row>
    <row r="732" spans="1:7">
      <c r="A732" s="45" t="str">
        <f>IF(COUNTIF($B$2:B732,B732)=1,"ok","dup")</f>
        <v>ok</v>
      </c>
      <c r="B732" s="45" t="str">
        <f t="shared" si="11"/>
        <v>Papio_anubis19</v>
      </c>
      <c r="C732" s="6" t="s">
        <v>99</v>
      </c>
      <c r="D732" s="7">
        <v>19</v>
      </c>
      <c r="E732" s="14" t="s">
        <v>220</v>
      </c>
      <c r="F732" s="14" t="s">
        <v>495</v>
      </c>
    </row>
    <row r="733" spans="1:7">
      <c r="A733" s="45" t="str">
        <f>IF(COUNTIF($B$2:B733,B733)=1,"ok","dup")</f>
        <v>ok</v>
      </c>
      <c r="B733" s="45" t="str">
        <f t="shared" si="11"/>
        <v>Papio_anubis20</v>
      </c>
      <c r="C733" s="6" t="s">
        <v>99</v>
      </c>
      <c r="D733" s="7">
        <v>20</v>
      </c>
      <c r="E733" s="14" t="s">
        <v>220</v>
      </c>
      <c r="F733" s="14" t="s">
        <v>496</v>
      </c>
      <c r="G733" s="6" t="s">
        <v>330</v>
      </c>
    </row>
    <row r="734" spans="1:7">
      <c r="A734" s="45" t="str">
        <f>IF(COUNTIF($B$2:B734,B734)=1,"ok","dup")</f>
        <v>ok</v>
      </c>
      <c r="B734" s="45" t="str">
        <f t="shared" si="11"/>
        <v>Papio_anubis21</v>
      </c>
      <c r="C734" s="6" t="s">
        <v>99</v>
      </c>
      <c r="D734" s="7">
        <v>21</v>
      </c>
      <c r="E734" s="14" t="s">
        <v>220</v>
      </c>
      <c r="F734" s="14" t="s">
        <v>493</v>
      </c>
    </row>
    <row r="735" spans="1:7">
      <c r="A735" s="45" t="str">
        <f>IF(COUNTIF($B$2:B735,B735)=1,"ok","dup")</f>
        <v>ok</v>
      </c>
      <c r="B735" s="45" t="str">
        <f t="shared" si="11"/>
        <v>Papio_anubis28</v>
      </c>
      <c r="C735" s="6" t="s">
        <v>99</v>
      </c>
      <c r="D735" s="7">
        <v>28</v>
      </c>
      <c r="E735" s="14" t="s">
        <v>220</v>
      </c>
      <c r="F735" s="14" t="s">
        <v>495</v>
      </c>
    </row>
    <row r="736" spans="1:7">
      <c r="A736" s="45" t="str">
        <f>IF(COUNTIF($B$2:B736,B736)=1,"ok","dup")</f>
        <v>dup</v>
      </c>
      <c r="B736" s="45" t="str">
        <f t="shared" si="11"/>
        <v>Papio_anubis34</v>
      </c>
      <c r="C736" s="6" t="s">
        <v>99</v>
      </c>
      <c r="D736" s="7">
        <v>34</v>
      </c>
      <c r="E736" s="14" t="s">
        <v>220</v>
      </c>
      <c r="F736" s="14" t="s">
        <v>497</v>
      </c>
      <c r="G736" s="6" t="s">
        <v>235</v>
      </c>
    </row>
    <row r="737" spans="1:7">
      <c r="A737" s="45" t="str">
        <f>IF(COUNTIF($B$2:B737,B737)=1,"ok","dup")</f>
        <v>ok</v>
      </c>
      <c r="B737" s="45" t="str">
        <f t="shared" si="11"/>
        <v>Papio_anubis36</v>
      </c>
      <c r="C737" s="6" t="s">
        <v>99</v>
      </c>
      <c r="D737" s="7">
        <v>36</v>
      </c>
      <c r="E737" s="14" t="s">
        <v>220</v>
      </c>
      <c r="F737" s="14" t="s">
        <v>498</v>
      </c>
    </row>
    <row r="738" spans="1:7">
      <c r="A738" s="45" t="str">
        <f>IF(COUNTIF($B$2:B738,B738)=1,"ok","dup")</f>
        <v>ok</v>
      </c>
      <c r="B738" s="45" t="str">
        <f t="shared" si="11"/>
        <v>Papio_anubis38.3</v>
      </c>
      <c r="C738" s="6" t="s">
        <v>99</v>
      </c>
      <c r="D738" s="7">
        <v>38.299999999999997</v>
      </c>
      <c r="E738" s="14" t="s">
        <v>220</v>
      </c>
      <c r="F738" s="14" t="s">
        <v>499</v>
      </c>
      <c r="G738" s="6" t="s">
        <v>330</v>
      </c>
    </row>
    <row r="739" spans="1:7">
      <c r="A739" s="45" t="str">
        <f>IF(COUNTIF($B$2:B739,B739)=1,"ok","dup")</f>
        <v>ok</v>
      </c>
      <c r="B739" s="45" t="str">
        <f t="shared" si="11"/>
        <v>Papio_anubis41</v>
      </c>
      <c r="C739" s="6" t="s">
        <v>99</v>
      </c>
      <c r="D739" s="7">
        <v>41</v>
      </c>
      <c r="E739" s="14" t="s">
        <v>220</v>
      </c>
      <c r="F739" s="14" t="s">
        <v>498</v>
      </c>
    </row>
    <row r="740" spans="1:7">
      <c r="A740" s="45" t="str">
        <f>IF(COUNTIF($B$2:B740,B740)=1,"ok","dup")</f>
        <v>ok</v>
      </c>
      <c r="B740" s="45" t="str">
        <f t="shared" si="11"/>
        <v>Papio_anubis43.3</v>
      </c>
      <c r="C740" s="6" t="s">
        <v>99</v>
      </c>
      <c r="D740" s="7">
        <v>43.3</v>
      </c>
      <c r="E740" s="14" t="s">
        <v>220</v>
      </c>
      <c r="F740" s="14" t="s">
        <v>500</v>
      </c>
      <c r="G740" s="6" t="s">
        <v>330</v>
      </c>
    </row>
    <row r="741" spans="1:7">
      <c r="A741" s="45" t="str">
        <f>IF(COUNTIF($B$2:B741,B741)=1,"ok","dup")</f>
        <v>ok</v>
      </c>
      <c r="B741" s="45" t="str">
        <f t="shared" si="11"/>
        <v>Papio_anubis44</v>
      </c>
      <c r="C741" s="6" t="s">
        <v>99</v>
      </c>
      <c r="D741" s="7">
        <v>44</v>
      </c>
      <c r="E741" s="14" t="s">
        <v>220</v>
      </c>
      <c r="F741" s="14" t="s">
        <v>493</v>
      </c>
      <c r="G741" s="6" t="s">
        <v>330</v>
      </c>
    </row>
    <row r="742" spans="1:7">
      <c r="A742" s="45" t="str">
        <f>IF(COUNTIF($B$2:B742,B742)=1,"ok","dup")</f>
        <v>dup</v>
      </c>
      <c r="B742" s="45" t="str">
        <f t="shared" si="11"/>
        <v>Papio_anubis45</v>
      </c>
      <c r="C742" s="6" t="s">
        <v>99</v>
      </c>
      <c r="D742" s="7">
        <v>45</v>
      </c>
      <c r="E742" s="14" t="s">
        <v>220</v>
      </c>
      <c r="F742" s="14" t="s">
        <v>501</v>
      </c>
      <c r="G742" s="6" t="s">
        <v>330</v>
      </c>
    </row>
    <row r="743" spans="1:7">
      <c r="A743" s="45" t="str">
        <f>IF(COUNTIF($B$2:B743,B743)=1,"ok","dup")</f>
        <v>dup</v>
      </c>
      <c r="B743" s="45" t="str">
        <f t="shared" si="11"/>
        <v>Papio_anubis47.8</v>
      </c>
      <c r="C743" s="6" t="s">
        <v>99</v>
      </c>
      <c r="D743" s="7">
        <v>47.8</v>
      </c>
      <c r="E743" s="14" t="s">
        <v>220</v>
      </c>
      <c r="F743" s="14" t="s">
        <v>493</v>
      </c>
      <c r="G743" s="6" t="s">
        <v>239</v>
      </c>
    </row>
    <row r="744" spans="1:7">
      <c r="A744" s="45" t="str">
        <f>IF(COUNTIF($B$2:B744,B744)=1,"ok","dup")</f>
        <v>ok</v>
      </c>
      <c r="B744" s="45" t="str">
        <f t="shared" si="11"/>
        <v>Papio_anubis48</v>
      </c>
      <c r="C744" s="6" t="s">
        <v>99</v>
      </c>
      <c r="D744" s="7">
        <v>48</v>
      </c>
      <c r="E744" s="14" t="s">
        <v>220</v>
      </c>
      <c r="F744" s="14" t="s">
        <v>502</v>
      </c>
    </row>
    <row r="745" spans="1:7">
      <c r="A745" s="45" t="str">
        <f>IF(COUNTIF($B$2:B745,B745)=1,"ok","dup")</f>
        <v>ok</v>
      </c>
      <c r="B745" s="45" t="str">
        <f t="shared" si="11"/>
        <v>Papio_anubis55</v>
      </c>
      <c r="C745" s="6" t="s">
        <v>99</v>
      </c>
      <c r="D745" s="7">
        <v>55</v>
      </c>
      <c r="E745" s="14" t="s">
        <v>220</v>
      </c>
      <c r="F745" s="14" t="s">
        <v>503</v>
      </c>
      <c r="G745" s="6" t="s">
        <v>330</v>
      </c>
    </row>
    <row r="746" spans="1:7">
      <c r="A746" s="45" t="str">
        <f>IF(COUNTIF($B$2:B746,B746)=1,"ok","dup")</f>
        <v>ok</v>
      </c>
      <c r="B746" s="45" t="str">
        <f t="shared" si="11"/>
        <v>Papio_anubis65</v>
      </c>
      <c r="C746" s="6" t="s">
        <v>99</v>
      </c>
      <c r="D746" s="7">
        <v>65</v>
      </c>
      <c r="E746" s="14" t="s">
        <v>220</v>
      </c>
      <c r="F746" s="14" t="s">
        <v>504</v>
      </c>
      <c r="G746" s="6" t="s">
        <v>330</v>
      </c>
    </row>
    <row r="747" spans="1:7">
      <c r="A747" s="45" t="str">
        <f>IF(COUNTIF($B$2:B747,B747)=1,"ok","dup")</f>
        <v>dup</v>
      </c>
      <c r="B747" s="45" t="str">
        <f t="shared" si="11"/>
        <v>Papio_anubis65</v>
      </c>
      <c r="C747" s="6" t="s">
        <v>99</v>
      </c>
      <c r="D747" s="7">
        <v>65</v>
      </c>
      <c r="E747" s="14" t="s">
        <v>220</v>
      </c>
      <c r="F747" s="14" t="s">
        <v>493</v>
      </c>
      <c r="G747" s="6" t="s">
        <v>222</v>
      </c>
    </row>
    <row r="748" spans="1:7">
      <c r="A748" s="45" t="str">
        <f>IF(COUNTIF($B$2:B748,B748)=1,"ok","dup")</f>
        <v>ok</v>
      </c>
      <c r="B748" s="45" t="str">
        <f t="shared" si="11"/>
        <v>Papio_anubis78</v>
      </c>
      <c r="C748" s="6" t="s">
        <v>99</v>
      </c>
      <c r="D748" s="7">
        <v>78</v>
      </c>
      <c r="E748" s="14" t="s">
        <v>220</v>
      </c>
      <c r="F748" s="14" t="s">
        <v>502</v>
      </c>
    </row>
    <row r="749" spans="1:7">
      <c r="A749" s="45" t="str">
        <f>IF(COUNTIF($B$2:B749,B749)=1,"ok","dup")</f>
        <v>dup</v>
      </c>
      <c r="B749" s="45" t="str">
        <f t="shared" si="11"/>
        <v>Papio_anubis87</v>
      </c>
      <c r="C749" s="6" t="s">
        <v>99</v>
      </c>
      <c r="D749" s="7">
        <v>87</v>
      </c>
      <c r="E749" s="14" t="s">
        <v>220</v>
      </c>
      <c r="F749" s="14" t="s">
        <v>493</v>
      </c>
    </row>
    <row r="750" spans="1:7">
      <c r="A750" s="45" t="str">
        <f>IF(COUNTIF($B$2:B750,B750)=1,"ok","dup")</f>
        <v>ok</v>
      </c>
      <c r="B750" s="45" t="str">
        <f t="shared" si="11"/>
        <v>Papio_anubis9</v>
      </c>
      <c r="C750" s="6" t="s">
        <v>99</v>
      </c>
      <c r="D750" s="7">
        <v>9</v>
      </c>
      <c r="E750" s="14" t="s">
        <v>214</v>
      </c>
      <c r="F750" s="14" t="s">
        <v>505</v>
      </c>
    </row>
    <row r="751" spans="1:7">
      <c r="A751" s="45" t="str">
        <f>IF(COUNTIF($B$2:B751,B751)=1,"ok","dup")</f>
        <v>ok</v>
      </c>
      <c r="B751" s="45" t="str">
        <f t="shared" si="11"/>
        <v>Papio_cynocephalus80</v>
      </c>
      <c r="C751" s="6" t="s">
        <v>100</v>
      </c>
      <c r="D751" s="7">
        <v>80</v>
      </c>
      <c r="E751" s="14" t="s">
        <v>216</v>
      </c>
      <c r="F751" s="14" t="s">
        <v>435</v>
      </c>
    </row>
    <row r="752" spans="1:7">
      <c r="A752" s="45" t="str">
        <f>IF(COUNTIF($B$2:B752,B752)=1,"ok","dup")</f>
        <v>ok</v>
      </c>
      <c r="B752" s="45" t="str">
        <f t="shared" si="11"/>
        <v>Papio_cynocephalus28.3</v>
      </c>
      <c r="C752" s="6" t="s">
        <v>100</v>
      </c>
      <c r="D752" s="7">
        <v>28.3</v>
      </c>
      <c r="E752" s="14" t="s">
        <v>212</v>
      </c>
    </row>
    <row r="753" spans="1:7">
      <c r="A753" s="45" t="str">
        <f>IF(COUNTIF($B$2:B753,B753)=1,"ok","dup")</f>
        <v>ok</v>
      </c>
      <c r="B753" s="45" t="str">
        <f t="shared" si="11"/>
        <v>Papio_cynocephalus39</v>
      </c>
      <c r="C753" s="6" t="s">
        <v>100</v>
      </c>
      <c r="D753" s="7">
        <v>39</v>
      </c>
      <c r="E753" s="14" t="s">
        <v>212</v>
      </c>
    </row>
    <row r="754" spans="1:7">
      <c r="A754" s="45" t="str">
        <f>IF(COUNTIF($B$2:B754,B754)=1,"ok","dup")</f>
        <v>ok</v>
      </c>
      <c r="B754" s="45" t="str">
        <f t="shared" si="11"/>
        <v>Papio_cynocephalus40.5</v>
      </c>
      <c r="C754" s="6" t="s">
        <v>100</v>
      </c>
      <c r="D754" s="7">
        <v>40.5</v>
      </c>
      <c r="E754" s="14" t="s">
        <v>212</v>
      </c>
    </row>
    <row r="755" spans="1:7">
      <c r="A755" s="45" t="str">
        <f>IF(COUNTIF($B$2:B755,B755)=1,"ok","dup")</f>
        <v>ok</v>
      </c>
      <c r="B755" s="45" t="str">
        <f t="shared" si="11"/>
        <v>Papio_cynocephalus56</v>
      </c>
      <c r="C755" s="6" t="s">
        <v>100</v>
      </c>
      <c r="D755" s="7">
        <v>56</v>
      </c>
      <c r="E755" s="14" t="s">
        <v>212</v>
      </c>
    </row>
    <row r="756" spans="1:7">
      <c r="A756" s="45" t="str">
        <f>IF(COUNTIF($B$2:B756,B756)=1,"ok","dup")</f>
        <v>dup</v>
      </c>
      <c r="B756" s="45" t="str">
        <f t="shared" si="11"/>
        <v>Papio_cynocephalus80</v>
      </c>
      <c r="C756" s="6" t="s">
        <v>100</v>
      </c>
      <c r="D756" s="7">
        <v>80</v>
      </c>
      <c r="E756" s="14" t="s">
        <v>212</v>
      </c>
    </row>
    <row r="757" spans="1:7">
      <c r="A757" s="45" t="str">
        <f>IF(COUNTIF($B$2:B757,B757)=1,"ok","dup")</f>
        <v>ok</v>
      </c>
      <c r="B757" s="45" t="str">
        <f t="shared" si="11"/>
        <v>Papio_cynocephalus81.75</v>
      </c>
      <c r="C757" s="6" t="s">
        <v>100</v>
      </c>
      <c r="D757" s="7">
        <v>81.75</v>
      </c>
      <c r="E757" s="14" t="s">
        <v>212</v>
      </c>
    </row>
    <row r="758" spans="1:7">
      <c r="A758" s="45" t="str">
        <f>IF(COUNTIF($B$2:B758,B758)=1,"ok","dup")</f>
        <v>ok</v>
      </c>
      <c r="B758" s="45" t="str">
        <f t="shared" si="11"/>
        <v>Papio_cynocephalus67.5</v>
      </c>
      <c r="C758" s="6" t="s">
        <v>100</v>
      </c>
      <c r="D758" s="7">
        <v>67.5</v>
      </c>
      <c r="E758" s="14" t="s">
        <v>218</v>
      </c>
      <c r="F758" s="14" t="s">
        <v>491</v>
      </c>
    </row>
    <row r="759" spans="1:7">
      <c r="A759" s="45" t="str">
        <f>IF(COUNTIF($B$2:B759,B759)=1,"ok","dup")</f>
        <v>ok</v>
      </c>
      <c r="B759" s="45" t="str">
        <f t="shared" si="11"/>
        <v>Papio_cynocephalus43</v>
      </c>
      <c r="C759" s="6" t="s">
        <v>100</v>
      </c>
      <c r="D759" s="7">
        <v>43</v>
      </c>
      <c r="E759" s="14" t="s">
        <v>213</v>
      </c>
    </row>
    <row r="760" spans="1:7">
      <c r="A760" s="45" t="str">
        <f>IF(COUNTIF($B$2:B760,B760)=1,"ok","dup")</f>
        <v>ok</v>
      </c>
      <c r="B760" s="45" t="str">
        <f t="shared" si="11"/>
        <v>Papio_cynocephalus28</v>
      </c>
      <c r="C760" s="6" t="s">
        <v>100</v>
      </c>
      <c r="D760" s="7">
        <v>28</v>
      </c>
      <c r="E760" s="14" t="s">
        <v>211</v>
      </c>
    </row>
    <row r="761" spans="1:7">
      <c r="A761" s="45" t="str">
        <f>IF(COUNTIF($B$2:B761,B761)=1,"ok","dup")</f>
        <v>ok</v>
      </c>
      <c r="B761" s="45" t="str">
        <f t="shared" si="11"/>
        <v>Papio_cynocephalus18</v>
      </c>
      <c r="C761" s="6" t="s">
        <v>100</v>
      </c>
      <c r="D761" s="7">
        <v>18</v>
      </c>
      <c r="E761" s="14" t="s">
        <v>214</v>
      </c>
      <c r="F761" s="14" t="s">
        <v>506</v>
      </c>
    </row>
    <row r="762" spans="1:7">
      <c r="A762" s="45" t="str">
        <f>IF(COUNTIF($B$2:B762,B762)=1,"ok","dup")</f>
        <v>ok</v>
      </c>
      <c r="B762" s="45" t="str">
        <f t="shared" si="11"/>
        <v>Papio_hamadryas68</v>
      </c>
      <c r="C762" s="6" t="s">
        <v>101</v>
      </c>
      <c r="D762" s="7">
        <v>68</v>
      </c>
      <c r="E762" s="14" t="s">
        <v>216</v>
      </c>
      <c r="F762" s="14" t="s">
        <v>507</v>
      </c>
    </row>
    <row r="763" spans="1:7">
      <c r="A763" s="45" t="str">
        <f>IF(COUNTIF($B$2:B763,B763)=1,"ok","dup")</f>
        <v>ok</v>
      </c>
      <c r="B763" s="45" t="str">
        <f t="shared" si="11"/>
        <v>Papio_hamadryas51</v>
      </c>
      <c r="C763" s="6" t="s">
        <v>101</v>
      </c>
      <c r="D763" s="7">
        <v>51</v>
      </c>
      <c r="E763" s="14" t="s">
        <v>218</v>
      </c>
      <c r="F763" s="14" t="s">
        <v>503</v>
      </c>
    </row>
    <row r="764" spans="1:7">
      <c r="A764" s="45" t="str">
        <f>IF(COUNTIF($B$2:B764,B764)=1,"ok","dup")</f>
        <v>ok</v>
      </c>
      <c r="B764" s="45" t="str">
        <f t="shared" si="11"/>
        <v>Papio_hamadryas31.5</v>
      </c>
      <c r="C764" s="6" t="s">
        <v>101</v>
      </c>
      <c r="D764" s="7">
        <v>31.5</v>
      </c>
      <c r="E764" s="14" t="s">
        <v>211</v>
      </c>
      <c r="G764" s="6" t="s">
        <v>508</v>
      </c>
    </row>
    <row r="765" spans="1:7">
      <c r="A765" s="45" t="str">
        <f>IF(COUNTIF($B$2:B765,B765)=1,"ok","dup")</f>
        <v>ok</v>
      </c>
      <c r="B765" s="45" t="str">
        <f t="shared" si="11"/>
        <v>Papio_hamadryas14</v>
      </c>
      <c r="C765" s="6" t="s">
        <v>101</v>
      </c>
      <c r="D765" s="7">
        <v>14</v>
      </c>
      <c r="E765" s="14" t="s">
        <v>214</v>
      </c>
      <c r="F765" s="14" t="s">
        <v>509</v>
      </c>
    </row>
    <row r="766" spans="1:7">
      <c r="A766" s="45" t="str">
        <f>IF(COUNTIF($B$2:B766,B766)=1,"ok","dup")</f>
        <v>ok</v>
      </c>
      <c r="B766" s="45" t="str">
        <f t="shared" si="11"/>
        <v>Papio_papio240</v>
      </c>
      <c r="C766" s="6" t="s">
        <v>510</v>
      </c>
      <c r="D766" s="7">
        <v>240</v>
      </c>
      <c r="E766" s="14" t="s">
        <v>218</v>
      </c>
      <c r="F766" s="14" t="s">
        <v>511</v>
      </c>
    </row>
    <row r="767" spans="1:7">
      <c r="A767" s="45" t="str">
        <f>IF(COUNTIF($B$2:B767,B767)=1,"ok","dup")</f>
        <v>ok</v>
      </c>
      <c r="B767" s="45" t="str">
        <f t="shared" si="11"/>
        <v>Papio_papio50</v>
      </c>
      <c r="C767" s="6" t="s">
        <v>510</v>
      </c>
      <c r="D767" s="7">
        <v>50</v>
      </c>
      <c r="E767" s="14" t="s">
        <v>213</v>
      </c>
    </row>
    <row r="768" spans="1:7">
      <c r="A768" s="45" t="str">
        <f>IF(COUNTIF($B$2:B768,B768)=1,"ok","dup")</f>
        <v>ok</v>
      </c>
      <c r="B768" s="45" t="str">
        <f t="shared" si="11"/>
        <v>Papio_papio120</v>
      </c>
      <c r="C768" s="6" t="s">
        <v>510</v>
      </c>
      <c r="D768" s="7">
        <v>120</v>
      </c>
      <c r="E768" s="14" t="s">
        <v>211</v>
      </c>
    </row>
    <row r="769" spans="1:6">
      <c r="A769" s="45" t="str">
        <f>IF(COUNTIF($B$2:B769,B769)=1,"ok","dup")</f>
        <v>ok</v>
      </c>
      <c r="B769" s="45" t="str">
        <f t="shared" si="11"/>
        <v>Papio_ursinus45</v>
      </c>
      <c r="C769" s="6" t="s">
        <v>512</v>
      </c>
      <c r="D769" s="7">
        <v>45</v>
      </c>
      <c r="E769" s="14" t="s">
        <v>216</v>
      </c>
      <c r="F769" s="14" t="s">
        <v>435</v>
      </c>
    </row>
    <row r="770" spans="1:6">
      <c r="A770" s="45" t="str">
        <f>IF(COUNTIF($B$2:B770,B770)=1,"ok","dup")</f>
        <v>ok</v>
      </c>
      <c r="B770" s="45" t="str">
        <f t="shared" ref="B770:B833" si="12">C770&amp;D770</f>
        <v>Papio_ursinus47.2</v>
      </c>
      <c r="C770" s="6" t="s">
        <v>512</v>
      </c>
      <c r="D770" s="7">
        <v>47.2</v>
      </c>
      <c r="E770" s="14" t="s">
        <v>216</v>
      </c>
      <c r="F770" s="14" t="s">
        <v>435</v>
      </c>
    </row>
    <row r="771" spans="1:6">
      <c r="A771" s="45" t="str">
        <f>IF(COUNTIF($B$2:B771,B771)=1,"ok","dup")</f>
        <v>ok</v>
      </c>
      <c r="B771" s="45" t="str">
        <f t="shared" si="12"/>
        <v>Papio_ursinus24</v>
      </c>
      <c r="C771" s="6" t="s">
        <v>512</v>
      </c>
      <c r="D771" s="7">
        <v>24</v>
      </c>
      <c r="E771" s="14" t="s">
        <v>212</v>
      </c>
    </row>
    <row r="772" spans="1:6">
      <c r="A772" s="45" t="str">
        <f>IF(COUNTIF($B$2:B772,B772)=1,"ok","dup")</f>
        <v>ok</v>
      </c>
      <c r="B772" s="45" t="str">
        <f t="shared" si="12"/>
        <v>Papio_ursinus42.7</v>
      </c>
      <c r="C772" s="6" t="s">
        <v>512</v>
      </c>
      <c r="D772" s="7">
        <v>42.7</v>
      </c>
      <c r="E772" s="14" t="s">
        <v>212</v>
      </c>
    </row>
    <row r="773" spans="1:6">
      <c r="A773" s="45" t="str">
        <f>IF(COUNTIF($B$2:B773,B773)=1,"ok","dup")</f>
        <v>dup</v>
      </c>
      <c r="B773" s="45" t="str">
        <f t="shared" si="12"/>
        <v>Papio_ursinus45</v>
      </c>
      <c r="C773" s="6" t="s">
        <v>512</v>
      </c>
      <c r="D773" s="7">
        <v>45</v>
      </c>
      <c r="E773" s="14" t="s">
        <v>212</v>
      </c>
    </row>
    <row r="774" spans="1:6">
      <c r="A774" s="45" t="str">
        <f>IF(COUNTIF($B$2:B774,B774)=1,"ok","dup")</f>
        <v>dup</v>
      </c>
      <c r="B774" s="45" t="str">
        <f t="shared" si="12"/>
        <v>Papio_ursinus47.2</v>
      </c>
      <c r="C774" s="6" t="s">
        <v>512</v>
      </c>
      <c r="D774" s="7">
        <v>47.2</v>
      </c>
      <c r="E774" s="14" t="s">
        <v>212</v>
      </c>
    </row>
    <row r="775" spans="1:6">
      <c r="A775" s="45" t="str">
        <f>IF(COUNTIF($B$2:B775,B775)=1,"ok","dup")</f>
        <v>ok</v>
      </c>
      <c r="B775" s="45" t="str">
        <f t="shared" si="12"/>
        <v>Papio_ursinus79</v>
      </c>
      <c r="C775" s="6" t="s">
        <v>512</v>
      </c>
      <c r="D775" s="7">
        <v>79</v>
      </c>
      <c r="E775" s="14" t="s">
        <v>212</v>
      </c>
    </row>
    <row r="776" spans="1:6">
      <c r="A776" s="45" t="str">
        <f>IF(COUNTIF($B$2:B776,B776)=1,"ok","dup")</f>
        <v>ok</v>
      </c>
      <c r="B776" s="45" t="str">
        <f t="shared" si="12"/>
        <v>Papio_ursinus48</v>
      </c>
      <c r="C776" s="6" t="s">
        <v>512</v>
      </c>
      <c r="D776" s="7">
        <v>48</v>
      </c>
      <c r="E776" s="14" t="s">
        <v>218</v>
      </c>
      <c r="F776" s="14" t="s">
        <v>491</v>
      </c>
    </row>
    <row r="777" spans="1:6">
      <c r="A777" s="45" t="str">
        <f>IF(COUNTIF($B$2:B777,B777)=1,"ok","dup")</f>
        <v>ok</v>
      </c>
      <c r="B777" s="45" t="str">
        <f t="shared" si="12"/>
        <v>Papio_ursinus41</v>
      </c>
      <c r="C777" s="6" t="s">
        <v>512</v>
      </c>
      <c r="D777" s="7">
        <v>41</v>
      </c>
      <c r="E777" s="14" t="s">
        <v>213</v>
      </c>
    </row>
    <row r="778" spans="1:6">
      <c r="A778" s="45" t="str">
        <f>IF(COUNTIF($B$2:B778,B778)=1,"ok","dup")</f>
        <v>ok</v>
      </c>
      <c r="B778" s="45" t="str">
        <f t="shared" si="12"/>
        <v>Papio_ursinus35</v>
      </c>
      <c r="C778" s="6" t="s">
        <v>512</v>
      </c>
      <c r="D778" s="7">
        <v>35</v>
      </c>
      <c r="E778" s="14" t="s">
        <v>211</v>
      </c>
    </row>
    <row r="779" spans="1:6">
      <c r="A779" s="45" t="str">
        <f>IF(COUNTIF($B$2:B779,B779)=1,"ok","dup")</f>
        <v>ok</v>
      </c>
      <c r="B779" s="45" t="str">
        <f t="shared" si="12"/>
        <v>Papio_ursinus8</v>
      </c>
      <c r="C779" s="6" t="s">
        <v>512</v>
      </c>
      <c r="D779" s="7">
        <v>8</v>
      </c>
      <c r="E779" s="14" t="s">
        <v>214</v>
      </c>
      <c r="F779" s="14" t="s">
        <v>513</v>
      </c>
    </row>
    <row r="780" spans="1:6">
      <c r="A780" s="45" t="str">
        <f>IF(COUNTIF($B$2:B780,B780)=1,"ok","dup")</f>
        <v>ok</v>
      </c>
      <c r="B780" s="45" t="str">
        <f t="shared" si="12"/>
        <v>Perodicticus_potto1</v>
      </c>
      <c r="C780" s="6" t="s">
        <v>102</v>
      </c>
      <c r="D780" s="7">
        <v>1</v>
      </c>
      <c r="E780" s="14" t="s">
        <v>213</v>
      </c>
    </row>
    <row r="781" spans="1:6">
      <c r="A781" s="45" t="str">
        <f>IF(COUNTIF($B$2:B781,B781)=1,"ok","dup")</f>
        <v>ok</v>
      </c>
      <c r="B781" s="45" t="str">
        <f t="shared" si="12"/>
        <v>Perodicticus_potto1.5</v>
      </c>
      <c r="C781" s="6" t="s">
        <v>102</v>
      </c>
      <c r="D781" s="7">
        <v>1.5</v>
      </c>
      <c r="E781" s="14" t="s">
        <v>211</v>
      </c>
    </row>
    <row r="782" spans="1:6">
      <c r="A782" s="45" t="str">
        <f>IF(COUNTIF($B$2:B782,B782)=1,"ok","dup")</f>
        <v>ok</v>
      </c>
      <c r="B782" s="45" t="str">
        <f t="shared" si="12"/>
        <v>Piliocolobus_badius20</v>
      </c>
      <c r="C782" s="6" t="s">
        <v>103</v>
      </c>
      <c r="D782" s="7">
        <v>20</v>
      </c>
      <c r="E782" s="14" t="s">
        <v>216</v>
      </c>
      <c r="F782" s="14" t="s">
        <v>359</v>
      </c>
    </row>
    <row r="783" spans="1:6">
      <c r="A783" s="45" t="str">
        <f>IF(COUNTIF($B$2:B783,B783)=1,"ok","dup")</f>
        <v>ok</v>
      </c>
      <c r="B783" s="45" t="str">
        <f t="shared" si="12"/>
        <v>Piliocolobus_badius34</v>
      </c>
      <c r="C783" s="6" t="s">
        <v>103</v>
      </c>
      <c r="D783" s="7">
        <v>34</v>
      </c>
      <c r="E783" s="14" t="s">
        <v>216</v>
      </c>
      <c r="F783" s="14" t="s">
        <v>359</v>
      </c>
    </row>
    <row r="784" spans="1:6">
      <c r="A784" s="45" t="str">
        <f>IF(COUNTIF($B$2:B784,B784)=1,"ok","dup")</f>
        <v>dup</v>
      </c>
      <c r="B784" s="45" t="str">
        <f t="shared" si="12"/>
        <v>Piliocolobus_badius20</v>
      </c>
      <c r="C784" s="6" t="s">
        <v>103</v>
      </c>
      <c r="D784" s="7">
        <v>20</v>
      </c>
      <c r="E784" s="14" t="s">
        <v>212</v>
      </c>
    </row>
    <row r="785" spans="1:7">
      <c r="A785" s="45" t="str">
        <f>IF(COUNTIF($B$2:B785,B785)=1,"ok","dup")</f>
        <v>ok</v>
      </c>
      <c r="B785" s="45" t="str">
        <f t="shared" si="12"/>
        <v>Piliocolobus_badius24.2</v>
      </c>
      <c r="C785" s="6" t="s">
        <v>103</v>
      </c>
      <c r="D785" s="7">
        <v>24.2</v>
      </c>
      <c r="E785" s="14" t="s">
        <v>218</v>
      </c>
      <c r="F785" s="14" t="s">
        <v>514</v>
      </c>
    </row>
    <row r="786" spans="1:7">
      <c r="A786" s="45" t="str">
        <f>IF(COUNTIF($B$2:B786,B786)=1,"ok","dup")</f>
        <v>ok</v>
      </c>
      <c r="B786" s="45" t="str">
        <f t="shared" si="12"/>
        <v>Piliocolobus_badius50</v>
      </c>
      <c r="C786" s="6" t="s">
        <v>103</v>
      </c>
      <c r="D786" s="7">
        <v>50</v>
      </c>
      <c r="E786" s="14" t="s">
        <v>213</v>
      </c>
    </row>
    <row r="787" spans="1:7">
      <c r="A787" s="45" t="str">
        <f>IF(COUNTIF($B$2:B787,B787)=1,"ok","dup")</f>
        <v>ok</v>
      </c>
      <c r="B787" s="45" t="str">
        <f t="shared" si="12"/>
        <v>Piliocolobus_badius49.5</v>
      </c>
      <c r="C787" s="6" t="s">
        <v>103</v>
      </c>
      <c r="D787" s="7">
        <v>49.5</v>
      </c>
      <c r="E787" s="14" t="s">
        <v>211</v>
      </c>
    </row>
    <row r="788" spans="1:7">
      <c r="A788" s="45" t="str">
        <f>IF(COUNTIF($B$2:B788,B788)=1,"ok","dup")</f>
        <v>ok</v>
      </c>
      <c r="B788" s="45" t="str">
        <f t="shared" si="12"/>
        <v>Piliocolobus_badius10</v>
      </c>
      <c r="C788" s="6" t="s">
        <v>103</v>
      </c>
      <c r="D788" s="7">
        <v>10</v>
      </c>
      <c r="E788" s="14" t="s">
        <v>220</v>
      </c>
      <c r="F788" s="14" t="s">
        <v>515</v>
      </c>
    </row>
    <row r="789" spans="1:7">
      <c r="A789" s="45" t="str">
        <f>IF(COUNTIF($B$2:B789,B789)=1,"ok","dup")</f>
        <v>ok</v>
      </c>
      <c r="B789" s="45" t="str">
        <f t="shared" si="12"/>
        <v>Piliocolobus_badius10.8</v>
      </c>
      <c r="C789" s="6" t="s">
        <v>103</v>
      </c>
      <c r="D789" s="7">
        <v>10.8</v>
      </c>
      <c r="E789" s="14" t="s">
        <v>220</v>
      </c>
      <c r="F789" s="14" t="s">
        <v>516</v>
      </c>
      <c r="G789" s="6" t="s">
        <v>330</v>
      </c>
    </row>
    <row r="790" spans="1:7">
      <c r="A790" s="45" t="str">
        <f>IF(COUNTIF($B$2:B790,B790)=1,"ok","dup")</f>
        <v>dup</v>
      </c>
      <c r="B790" s="45" t="str">
        <f t="shared" si="12"/>
        <v>Piliocolobus_badius10.8</v>
      </c>
      <c r="C790" s="6" t="s">
        <v>103</v>
      </c>
      <c r="D790" s="7">
        <v>10.8</v>
      </c>
      <c r="E790" s="14" t="s">
        <v>220</v>
      </c>
      <c r="F790" s="14" t="s">
        <v>517</v>
      </c>
      <c r="G790" s="6" t="s">
        <v>225</v>
      </c>
    </row>
    <row r="791" spans="1:7">
      <c r="A791" s="45" t="str">
        <f>IF(COUNTIF($B$2:B791,B791)=1,"ok","dup")</f>
        <v>ok</v>
      </c>
      <c r="B791" s="45" t="str">
        <f t="shared" si="12"/>
        <v>Piliocolobus_badius16</v>
      </c>
      <c r="C791" s="6" t="s">
        <v>103</v>
      </c>
      <c r="D791" s="7">
        <v>16</v>
      </c>
      <c r="E791" s="14" t="s">
        <v>220</v>
      </c>
      <c r="F791" s="14" t="s">
        <v>515</v>
      </c>
      <c r="G791" s="6" t="s">
        <v>222</v>
      </c>
    </row>
    <row r="792" spans="1:7">
      <c r="A792" s="45" t="str">
        <f>IF(COUNTIF($B$2:B792,B792)=1,"ok","dup")</f>
        <v>ok</v>
      </c>
      <c r="B792" s="45" t="str">
        <f t="shared" si="12"/>
        <v>Piliocolobus_badius16.5</v>
      </c>
      <c r="C792" s="6" t="s">
        <v>103</v>
      </c>
      <c r="D792" s="7">
        <v>16.5</v>
      </c>
      <c r="E792" s="14" t="s">
        <v>220</v>
      </c>
      <c r="F792" s="14" t="s">
        <v>518</v>
      </c>
      <c r="G792" s="6" t="s">
        <v>225</v>
      </c>
    </row>
    <row r="793" spans="1:7">
      <c r="A793" s="45" t="str">
        <f>IF(COUNTIF($B$2:B793,B793)=1,"ok","dup")</f>
        <v>ok</v>
      </c>
      <c r="B793" s="45" t="str">
        <f t="shared" si="12"/>
        <v>Piliocolobus_badius17</v>
      </c>
      <c r="C793" s="6" t="s">
        <v>103</v>
      </c>
      <c r="D793" s="7">
        <v>17</v>
      </c>
      <c r="E793" s="14" t="s">
        <v>220</v>
      </c>
      <c r="F793" s="14" t="s">
        <v>519</v>
      </c>
      <c r="G793" s="6" t="s">
        <v>222</v>
      </c>
    </row>
    <row r="794" spans="1:7">
      <c r="A794" s="45" t="str">
        <f>IF(COUNTIF($B$2:B794,B794)=1,"ok","dup")</f>
        <v>ok</v>
      </c>
      <c r="B794" s="45" t="str">
        <f t="shared" si="12"/>
        <v>Piliocolobus_badius18</v>
      </c>
      <c r="C794" s="6" t="s">
        <v>103</v>
      </c>
      <c r="D794" s="7">
        <v>18</v>
      </c>
      <c r="E794" s="14" t="s">
        <v>220</v>
      </c>
      <c r="F794" s="14" t="s">
        <v>520</v>
      </c>
      <c r="G794" s="6" t="s">
        <v>330</v>
      </c>
    </row>
    <row r="795" spans="1:7">
      <c r="A795" s="45" t="str">
        <f>IF(COUNTIF($B$2:B795,B795)=1,"ok","dup")</f>
        <v>dup</v>
      </c>
      <c r="B795" s="45" t="str">
        <f t="shared" si="12"/>
        <v>Piliocolobus_badius18</v>
      </c>
      <c r="C795" s="6" t="s">
        <v>103</v>
      </c>
      <c r="D795" s="7">
        <v>18</v>
      </c>
      <c r="E795" s="14" t="s">
        <v>220</v>
      </c>
      <c r="F795" s="14" t="s">
        <v>520</v>
      </c>
      <c r="G795" s="6" t="s">
        <v>225</v>
      </c>
    </row>
    <row r="796" spans="1:7">
      <c r="A796" s="45" t="str">
        <f>IF(COUNTIF($B$2:B796,B796)=1,"ok","dup")</f>
        <v>ok</v>
      </c>
      <c r="B796" s="45" t="str">
        <f t="shared" si="12"/>
        <v>Piliocolobus_badius19</v>
      </c>
      <c r="C796" s="6" t="s">
        <v>103</v>
      </c>
      <c r="D796" s="7">
        <v>19</v>
      </c>
      <c r="E796" s="14" t="s">
        <v>220</v>
      </c>
      <c r="F796" s="14" t="s">
        <v>515</v>
      </c>
    </row>
    <row r="797" spans="1:7">
      <c r="A797" s="45" t="str">
        <f>IF(COUNTIF($B$2:B797,B797)=1,"ok","dup")</f>
        <v>dup</v>
      </c>
      <c r="B797" s="45" t="str">
        <f t="shared" si="12"/>
        <v>Piliocolobus_badius20</v>
      </c>
      <c r="C797" s="6" t="s">
        <v>103</v>
      </c>
      <c r="D797" s="7">
        <v>20</v>
      </c>
      <c r="E797" s="14" t="s">
        <v>220</v>
      </c>
      <c r="F797" s="14" t="s">
        <v>521</v>
      </c>
      <c r="G797" s="6" t="s">
        <v>228</v>
      </c>
    </row>
    <row r="798" spans="1:7">
      <c r="A798" s="45" t="str">
        <f>IF(COUNTIF($B$2:B798,B798)=1,"ok","dup")</f>
        <v>dup</v>
      </c>
      <c r="B798" s="45" t="str">
        <f t="shared" si="12"/>
        <v>Piliocolobus_badius20</v>
      </c>
      <c r="C798" s="6" t="s">
        <v>103</v>
      </c>
      <c r="D798" s="7">
        <v>20</v>
      </c>
      <c r="E798" s="14" t="s">
        <v>220</v>
      </c>
      <c r="F798" s="14" t="s">
        <v>325</v>
      </c>
    </row>
    <row r="799" spans="1:7">
      <c r="A799" s="45" t="str">
        <f>IF(COUNTIF($B$2:B799,B799)=1,"ok","dup")</f>
        <v>ok</v>
      </c>
      <c r="B799" s="45" t="str">
        <f t="shared" si="12"/>
        <v>Piliocolobus_badius20.2</v>
      </c>
      <c r="C799" s="6" t="s">
        <v>103</v>
      </c>
      <c r="D799" s="7">
        <v>20.2</v>
      </c>
      <c r="E799" s="14" t="s">
        <v>220</v>
      </c>
      <c r="F799" s="14" t="s">
        <v>518</v>
      </c>
      <c r="G799" s="6" t="s">
        <v>239</v>
      </c>
    </row>
    <row r="800" spans="1:7">
      <c r="A800" s="45" t="str">
        <f>IF(COUNTIF($B$2:B800,B800)=1,"ok","dup")</f>
        <v>ok</v>
      </c>
      <c r="B800" s="45" t="str">
        <f t="shared" si="12"/>
        <v>Piliocolobus_badius24</v>
      </c>
      <c r="C800" s="6" t="s">
        <v>103</v>
      </c>
      <c r="D800" s="7">
        <v>24</v>
      </c>
      <c r="E800" s="14" t="s">
        <v>220</v>
      </c>
      <c r="F800" s="14" t="s">
        <v>522</v>
      </c>
      <c r="G800" s="6" t="s">
        <v>222</v>
      </c>
    </row>
    <row r="801" spans="1:7">
      <c r="A801" s="45" t="str">
        <f>IF(COUNTIF($B$2:B801,B801)=1,"ok","dup")</f>
        <v>dup</v>
      </c>
      <c r="B801" s="45" t="str">
        <f t="shared" si="12"/>
        <v>Piliocolobus_badius24</v>
      </c>
      <c r="C801" s="6" t="s">
        <v>103</v>
      </c>
      <c r="D801" s="7">
        <v>24</v>
      </c>
      <c r="E801" s="14" t="s">
        <v>220</v>
      </c>
      <c r="F801" s="14" t="s">
        <v>522</v>
      </c>
    </row>
    <row r="802" spans="1:7">
      <c r="A802" s="45" t="str">
        <f>IF(COUNTIF($B$2:B802,B802)=1,"ok","dup")</f>
        <v>ok</v>
      </c>
      <c r="B802" s="45" t="str">
        <f t="shared" si="12"/>
        <v>Piliocolobus_badius26</v>
      </c>
      <c r="C802" s="6" t="s">
        <v>103</v>
      </c>
      <c r="D802" s="7">
        <v>26</v>
      </c>
      <c r="E802" s="14" t="s">
        <v>220</v>
      </c>
      <c r="F802" s="14" t="s">
        <v>369</v>
      </c>
      <c r="G802" s="6" t="s">
        <v>330</v>
      </c>
    </row>
    <row r="803" spans="1:7">
      <c r="A803" s="45" t="str">
        <f>IF(COUNTIF($B$2:B803,B803)=1,"ok","dup")</f>
        <v>ok</v>
      </c>
      <c r="B803" s="45" t="str">
        <f t="shared" si="12"/>
        <v>Piliocolobus_badius27.7</v>
      </c>
      <c r="C803" s="6" t="s">
        <v>103</v>
      </c>
      <c r="D803" s="7">
        <v>27.7</v>
      </c>
      <c r="E803" s="14" t="s">
        <v>220</v>
      </c>
      <c r="F803" s="14" t="s">
        <v>515</v>
      </c>
      <c r="G803" s="6" t="s">
        <v>330</v>
      </c>
    </row>
    <row r="804" spans="1:7">
      <c r="A804" s="45" t="str">
        <f>IF(COUNTIF($B$2:B804,B804)=1,"ok","dup")</f>
        <v>ok</v>
      </c>
      <c r="B804" s="45" t="str">
        <f t="shared" si="12"/>
        <v>Piliocolobus_badius29</v>
      </c>
      <c r="C804" s="6" t="s">
        <v>103</v>
      </c>
      <c r="D804" s="7">
        <v>29</v>
      </c>
      <c r="E804" s="14" t="s">
        <v>220</v>
      </c>
      <c r="F804" s="14" t="s">
        <v>523</v>
      </c>
      <c r="G804" s="6" t="s">
        <v>225</v>
      </c>
    </row>
    <row r="805" spans="1:7">
      <c r="A805" s="45" t="str">
        <f>IF(COUNTIF($B$2:B805,B805)=1,"ok","dup")</f>
        <v>ok</v>
      </c>
      <c r="B805" s="45" t="str">
        <f t="shared" si="12"/>
        <v>Piliocolobus_badius31</v>
      </c>
      <c r="C805" s="6" t="s">
        <v>103</v>
      </c>
      <c r="D805" s="7">
        <v>31</v>
      </c>
      <c r="E805" s="14" t="s">
        <v>220</v>
      </c>
      <c r="F805" s="14" t="s">
        <v>325</v>
      </c>
    </row>
    <row r="806" spans="1:7">
      <c r="A806" s="45" t="str">
        <f>IF(COUNTIF($B$2:B806,B806)=1,"ok","dup")</f>
        <v>ok</v>
      </c>
      <c r="B806" s="45" t="str">
        <f t="shared" si="12"/>
        <v>Piliocolobus_badius32</v>
      </c>
      <c r="C806" s="6" t="s">
        <v>103</v>
      </c>
      <c r="D806" s="7">
        <v>32</v>
      </c>
      <c r="E806" s="14" t="s">
        <v>220</v>
      </c>
      <c r="F806" s="14" t="s">
        <v>519</v>
      </c>
      <c r="G806" s="6" t="s">
        <v>222</v>
      </c>
    </row>
    <row r="807" spans="1:7">
      <c r="A807" s="45" t="str">
        <f>IF(COUNTIF($B$2:B807,B807)=1,"ok","dup")</f>
        <v>dup</v>
      </c>
      <c r="B807" s="45" t="str">
        <f t="shared" si="12"/>
        <v>Piliocolobus_badius32</v>
      </c>
      <c r="C807" s="6" t="s">
        <v>103</v>
      </c>
      <c r="D807" s="7">
        <v>32</v>
      </c>
      <c r="E807" s="14" t="s">
        <v>220</v>
      </c>
      <c r="F807" s="14" t="s">
        <v>524</v>
      </c>
      <c r="G807" s="6" t="s">
        <v>225</v>
      </c>
    </row>
    <row r="808" spans="1:7">
      <c r="A808" s="45" t="str">
        <f>IF(COUNTIF($B$2:B808,B808)=1,"ok","dup")</f>
        <v>ok</v>
      </c>
      <c r="B808" s="45" t="str">
        <f t="shared" si="12"/>
        <v>Piliocolobus_badius33.6</v>
      </c>
      <c r="C808" s="6" t="s">
        <v>103</v>
      </c>
      <c r="D808" s="7">
        <v>33.6</v>
      </c>
      <c r="E808" s="14" t="s">
        <v>220</v>
      </c>
      <c r="F808" s="14" t="s">
        <v>525</v>
      </c>
      <c r="G808" s="6" t="s">
        <v>330</v>
      </c>
    </row>
    <row r="809" spans="1:7">
      <c r="A809" s="45" t="str">
        <f>IF(COUNTIF($B$2:B809,B809)=1,"ok","dup")</f>
        <v>dup</v>
      </c>
      <c r="B809" s="45" t="str">
        <f t="shared" si="12"/>
        <v>Piliocolobus_badius34</v>
      </c>
      <c r="C809" s="6" t="s">
        <v>103</v>
      </c>
      <c r="D809" s="7">
        <v>34</v>
      </c>
      <c r="E809" s="14" t="s">
        <v>220</v>
      </c>
      <c r="F809" s="14" t="s">
        <v>521</v>
      </c>
      <c r="G809" s="6" t="s">
        <v>228</v>
      </c>
    </row>
    <row r="810" spans="1:7">
      <c r="A810" s="45" t="str">
        <f>IF(COUNTIF($B$2:B810,B810)=1,"ok","dup")</f>
        <v>dup</v>
      </c>
      <c r="B810" s="45" t="str">
        <f t="shared" si="12"/>
        <v>Piliocolobus_badius34</v>
      </c>
      <c r="C810" s="6" t="s">
        <v>103</v>
      </c>
      <c r="D810" s="7">
        <v>34</v>
      </c>
      <c r="E810" s="14" t="s">
        <v>220</v>
      </c>
      <c r="F810" s="14" t="s">
        <v>526</v>
      </c>
      <c r="G810" s="6" t="s">
        <v>330</v>
      </c>
    </row>
    <row r="811" spans="1:7">
      <c r="A811" s="45" t="str">
        <f>IF(COUNTIF($B$2:B811,B811)=1,"ok","dup")</f>
        <v>dup</v>
      </c>
      <c r="B811" s="45" t="str">
        <f t="shared" si="12"/>
        <v>Piliocolobus_badius34</v>
      </c>
      <c r="C811" s="6" t="s">
        <v>103</v>
      </c>
      <c r="D811" s="7">
        <v>34</v>
      </c>
      <c r="E811" s="14" t="s">
        <v>220</v>
      </c>
      <c r="F811" s="14" t="s">
        <v>527</v>
      </c>
      <c r="G811" s="6" t="s">
        <v>330</v>
      </c>
    </row>
    <row r="812" spans="1:7">
      <c r="A812" s="45" t="str">
        <f>IF(COUNTIF($B$2:B812,B812)=1,"ok","dup")</f>
        <v>ok</v>
      </c>
      <c r="B812" s="45" t="str">
        <f t="shared" si="12"/>
        <v>Piliocolobus_badius34.4</v>
      </c>
      <c r="C812" s="6" t="s">
        <v>103</v>
      </c>
      <c r="D812" s="7">
        <v>34.4</v>
      </c>
      <c r="E812" s="14" t="s">
        <v>220</v>
      </c>
      <c r="F812" s="14" t="s">
        <v>528</v>
      </c>
      <c r="G812" s="6" t="s">
        <v>226</v>
      </c>
    </row>
    <row r="813" spans="1:7">
      <c r="A813" s="45" t="str">
        <f>IF(COUNTIF($B$2:B813,B813)=1,"ok","dup")</f>
        <v>ok</v>
      </c>
      <c r="B813" s="45" t="str">
        <f t="shared" si="12"/>
        <v>Piliocolobus_badius35</v>
      </c>
      <c r="C813" s="6" t="s">
        <v>103</v>
      </c>
      <c r="D813" s="7">
        <v>35</v>
      </c>
      <c r="E813" s="14" t="s">
        <v>220</v>
      </c>
      <c r="F813" s="14" t="s">
        <v>529</v>
      </c>
      <c r="G813" s="6" t="s">
        <v>330</v>
      </c>
    </row>
    <row r="814" spans="1:7">
      <c r="A814" s="45" t="str">
        <f>IF(COUNTIF($B$2:B814,B814)=1,"ok","dup")</f>
        <v>dup</v>
      </c>
      <c r="B814" s="45" t="str">
        <f t="shared" si="12"/>
        <v>Piliocolobus_badius35</v>
      </c>
      <c r="C814" s="6" t="s">
        <v>103</v>
      </c>
      <c r="D814" s="7">
        <v>35</v>
      </c>
      <c r="E814" s="14" t="s">
        <v>220</v>
      </c>
      <c r="F814" s="14" t="s">
        <v>530</v>
      </c>
      <c r="G814" s="6" t="s">
        <v>225</v>
      </c>
    </row>
    <row r="815" spans="1:7">
      <c r="A815" s="45" t="str">
        <f>IF(COUNTIF($B$2:B815,B815)=1,"ok","dup")</f>
        <v>ok</v>
      </c>
      <c r="B815" s="45" t="str">
        <f t="shared" si="12"/>
        <v>Piliocolobus_badius37</v>
      </c>
      <c r="C815" s="6" t="s">
        <v>103</v>
      </c>
      <c r="D815" s="7">
        <v>37</v>
      </c>
      <c r="E815" s="14" t="s">
        <v>220</v>
      </c>
      <c r="F815" s="14" t="s">
        <v>325</v>
      </c>
    </row>
    <row r="816" spans="1:7">
      <c r="A816" s="45" t="str">
        <f>IF(COUNTIF($B$2:B816,B816)=1,"ok","dup")</f>
        <v>ok</v>
      </c>
      <c r="B816" s="45" t="str">
        <f t="shared" si="12"/>
        <v>Piliocolobus_badius40</v>
      </c>
      <c r="C816" s="6" t="s">
        <v>103</v>
      </c>
      <c r="D816" s="7">
        <v>40</v>
      </c>
      <c r="E816" s="14" t="s">
        <v>220</v>
      </c>
      <c r="F816" s="14" t="s">
        <v>531</v>
      </c>
      <c r="G816" s="6" t="s">
        <v>330</v>
      </c>
    </row>
    <row r="817" spans="1:7">
      <c r="A817" s="45" t="str">
        <f>IF(COUNTIF($B$2:B817,B817)=1,"ok","dup")</f>
        <v>ok</v>
      </c>
      <c r="B817" s="45" t="str">
        <f t="shared" si="12"/>
        <v>Piliocolobus_badius48</v>
      </c>
      <c r="C817" s="6" t="s">
        <v>103</v>
      </c>
      <c r="D817" s="7">
        <v>48</v>
      </c>
      <c r="E817" s="14" t="s">
        <v>220</v>
      </c>
      <c r="F817" s="14" t="s">
        <v>522</v>
      </c>
      <c r="G817" s="6" t="s">
        <v>222</v>
      </c>
    </row>
    <row r="818" spans="1:7">
      <c r="A818" s="45" t="str">
        <f>IF(COUNTIF($B$2:B818,B818)=1,"ok","dup")</f>
        <v>dup</v>
      </c>
      <c r="B818" s="45" t="str">
        <f t="shared" si="12"/>
        <v>Piliocolobus_badius48</v>
      </c>
      <c r="C818" s="6" t="s">
        <v>103</v>
      </c>
      <c r="D818" s="7">
        <v>48</v>
      </c>
      <c r="E818" s="14" t="s">
        <v>220</v>
      </c>
      <c r="F818" s="14" t="s">
        <v>522</v>
      </c>
    </row>
    <row r="819" spans="1:7">
      <c r="A819" s="45" t="str">
        <f>IF(COUNTIF($B$2:B819,B819)=1,"ok","dup")</f>
        <v>dup</v>
      </c>
      <c r="B819" s="45" t="str">
        <f t="shared" si="12"/>
        <v>Piliocolobus_badius50</v>
      </c>
      <c r="C819" s="6" t="s">
        <v>103</v>
      </c>
      <c r="D819" s="7">
        <v>50</v>
      </c>
      <c r="E819" s="14" t="s">
        <v>220</v>
      </c>
      <c r="F819" s="14" t="s">
        <v>532</v>
      </c>
      <c r="G819" s="6" t="s">
        <v>235</v>
      </c>
    </row>
    <row r="820" spans="1:7">
      <c r="A820" s="45" t="str">
        <f>IF(COUNTIF($B$2:B820,B820)=1,"ok","dup")</f>
        <v>dup</v>
      </c>
      <c r="B820" s="45" t="str">
        <f t="shared" si="12"/>
        <v>Piliocolobus_badius50</v>
      </c>
      <c r="C820" s="6" t="s">
        <v>103</v>
      </c>
      <c r="D820" s="7">
        <v>50</v>
      </c>
      <c r="E820" s="14" t="s">
        <v>220</v>
      </c>
      <c r="F820" s="14" t="s">
        <v>518</v>
      </c>
      <c r="G820" s="6" t="s">
        <v>225</v>
      </c>
    </row>
    <row r="821" spans="1:7">
      <c r="A821" s="45" t="str">
        <f>IF(COUNTIF($B$2:B821,B821)=1,"ok","dup")</f>
        <v>ok</v>
      </c>
      <c r="B821" s="45" t="str">
        <f t="shared" si="12"/>
        <v>Piliocolobus_badius64</v>
      </c>
      <c r="C821" s="6" t="s">
        <v>103</v>
      </c>
      <c r="D821" s="7">
        <v>64</v>
      </c>
      <c r="E821" s="14" t="s">
        <v>220</v>
      </c>
      <c r="F821" s="14" t="s">
        <v>533</v>
      </c>
      <c r="G821" s="6" t="s">
        <v>330</v>
      </c>
    </row>
    <row r="822" spans="1:7">
      <c r="A822" s="45" t="str">
        <f>IF(COUNTIF($B$2:B822,B822)=1,"ok","dup")</f>
        <v>ok</v>
      </c>
      <c r="B822" s="45" t="str">
        <f t="shared" si="12"/>
        <v>Piliocolobus_badius8</v>
      </c>
      <c r="C822" s="6" t="s">
        <v>103</v>
      </c>
      <c r="D822" s="7">
        <v>8</v>
      </c>
      <c r="E822" s="14" t="s">
        <v>220</v>
      </c>
      <c r="F822" s="14" t="s">
        <v>515</v>
      </c>
      <c r="G822" s="6" t="s">
        <v>222</v>
      </c>
    </row>
    <row r="823" spans="1:7">
      <c r="A823" s="45" t="str">
        <f>IF(COUNTIF($B$2:B823,B823)=1,"ok","dup")</f>
        <v>dup</v>
      </c>
      <c r="B823" s="45" t="str">
        <f t="shared" si="12"/>
        <v>Piliocolobus_badius8</v>
      </c>
      <c r="C823" s="6" t="s">
        <v>103</v>
      </c>
      <c r="D823" s="7">
        <v>8</v>
      </c>
      <c r="E823" s="14" t="s">
        <v>220</v>
      </c>
      <c r="F823" s="14" t="s">
        <v>534</v>
      </c>
    </row>
    <row r="824" spans="1:7">
      <c r="A824" s="45" t="str">
        <f>IF(COUNTIF($B$2:B824,B824)=1,"ok","dup")</f>
        <v>ok</v>
      </c>
      <c r="B824" s="45" t="str">
        <f t="shared" si="12"/>
        <v>Piliocolobus_badius82</v>
      </c>
      <c r="C824" s="6" t="s">
        <v>103</v>
      </c>
      <c r="D824" s="7">
        <v>82</v>
      </c>
      <c r="E824" s="14" t="s">
        <v>220</v>
      </c>
      <c r="F824" s="14" t="s">
        <v>535</v>
      </c>
      <c r="G824" s="6" t="s">
        <v>225</v>
      </c>
    </row>
    <row r="825" spans="1:7">
      <c r="A825" s="45" t="str">
        <f>IF(COUNTIF($B$2:B825,B825)=1,"ok","dup")</f>
        <v>ok</v>
      </c>
      <c r="B825" s="45" t="str">
        <f t="shared" si="12"/>
        <v>Piliocolobus_badius9</v>
      </c>
      <c r="C825" s="6" t="s">
        <v>103</v>
      </c>
      <c r="D825" s="7">
        <v>9</v>
      </c>
      <c r="E825" s="14" t="s">
        <v>220</v>
      </c>
      <c r="F825" s="14" t="s">
        <v>325</v>
      </c>
    </row>
    <row r="826" spans="1:7">
      <c r="A826" s="45" t="str">
        <f>IF(COUNTIF($B$2:B826,B826)=1,"ok","dup")</f>
        <v>ok</v>
      </c>
      <c r="B826" s="45" t="str">
        <f t="shared" si="12"/>
        <v>Piliocolobus_badius9.5</v>
      </c>
      <c r="C826" s="6" t="s">
        <v>103</v>
      </c>
      <c r="D826" s="7">
        <v>9.5</v>
      </c>
      <c r="E826" s="14" t="s">
        <v>220</v>
      </c>
      <c r="F826" s="14" t="s">
        <v>525</v>
      </c>
      <c r="G826" s="6" t="s">
        <v>330</v>
      </c>
    </row>
    <row r="827" spans="1:7">
      <c r="A827" s="45" t="str">
        <f>IF(COUNTIF($B$2:B827,B827)=1,"ok","dup")</f>
        <v>dup</v>
      </c>
      <c r="B827" s="45" t="str">
        <f t="shared" si="12"/>
        <v>Piliocolobus_badius8</v>
      </c>
      <c r="C827" s="6" t="s">
        <v>103</v>
      </c>
      <c r="D827" s="7">
        <v>8</v>
      </c>
      <c r="E827" s="14" t="s">
        <v>214</v>
      </c>
      <c r="F827" s="14" t="s">
        <v>518</v>
      </c>
    </row>
    <row r="828" spans="1:7">
      <c r="A828" s="45" t="str">
        <f>IF(COUNTIF($B$2:B828,B828)=1,"ok","dup")</f>
        <v>ok</v>
      </c>
      <c r="B828" s="45" t="str">
        <f t="shared" si="12"/>
        <v>Pithecia_pithecia2.7</v>
      </c>
      <c r="C828" s="6" t="s">
        <v>105</v>
      </c>
      <c r="D828" s="7">
        <v>2.7</v>
      </c>
      <c r="E828" s="14" t="s">
        <v>212</v>
      </c>
    </row>
    <row r="829" spans="1:7">
      <c r="A829" s="45" t="str">
        <f>IF(COUNTIF($B$2:B829,B829)=1,"ok","dup")</f>
        <v>ok</v>
      </c>
      <c r="B829" s="45" t="str">
        <f t="shared" si="12"/>
        <v>Pithecia_pithecia2.6</v>
      </c>
      <c r="C829" s="6" t="s">
        <v>105</v>
      </c>
      <c r="D829" s="7">
        <v>2.6</v>
      </c>
      <c r="E829" s="14" t="s">
        <v>211</v>
      </c>
    </row>
    <row r="830" spans="1:7">
      <c r="A830" s="45" t="str">
        <f>IF(COUNTIF($B$2:B830,B830)=1,"ok","dup")</f>
        <v>ok</v>
      </c>
      <c r="B830" s="45" t="str">
        <f t="shared" si="12"/>
        <v>Pongo_abelii2</v>
      </c>
      <c r="C830" s="6" t="s">
        <v>106</v>
      </c>
      <c r="D830" s="7">
        <v>2</v>
      </c>
      <c r="E830" s="14" t="s">
        <v>211</v>
      </c>
    </row>
    <row r="831" spans="1:7">
      <c r="A831" s="45" t="str">
        <f>IF(COUNTIF($B$2:B831,B831)=1,"ok","dup")</f>
        <v>ok</v>
      </c>
      <c r="B831" s="45" t="str">
        <f t="shared" si="12"/>
        <v>Pongo_pygmaeus1.8</v>
      </c>
      <c r="C831" s="6" t="s">
        <v>107</v>
      </c>
      <c r="D831" s="7">
        <v>1.8</v>
      </c>
      <c r="E831" s="14" t="s">
        <v>216</v>
      </c>
      <c r="F831" s="14" t="s">
        <v>536</v>
      </c>
    </row>
    <row r="832" spans="1:7">
      <c r="A832" s="45" t="str">
        <f>IF(COUNTIF($B$2:B832,B832)=1,"ok","dup")</f>
        <v>ok</v>
      </c>
      <c r="B832" s="45" t="str">
        <f t="shared" si="12"/>
        <v>Pongo_pygmaeus1</v>
      </c>
      <c r="C832" s="6" t="s">
        <v>107</v>
      </c>
      <c r="D832" s="7">
        <v>1</v>
      </c>
      <c r="E832" s="14" t="s">
        <v>218</v>
      </c>
      <c r="F832" s="14" t="s">
        <v>537</v>
      </c>
    </row>
    <row r="833" spans="1:6">
      <c r="A833" s="45" t="str">
        <f>IF(COUNTIF($B$2:B833,B833)=1,"ok","dup")</f>
        <v>ok</v>
      </c>
      <c r="B833" s="45" t="str">
        <f t="shared" si="12"/>
        <v>Pongo_pygmaeus2</v>
      </c>
      <c r="C833" s="6" t="s">
        <v>107</v>
      </c>
      <c r="D833" s="7">
        <v>2</v>
      </c>
      <c r="E833" s="14" t="s">
        <v>211</v>
      </c>
    </row>
    <row r="834" spans="1:6">
      <c r="A834" s="45" t="str">
        <f>IF(COUNTIF($B$2:B834,B834)=1,"ok","dup")</f>
        <v>ok</v>
      </c>
      <c r="B834" s="45" t="str">
        <f t="shared" ref="B834:B897" si="13">C834&amp;D834</f>
        <v>Presbytis_comata7</v>
      </c>
      <c r="C834" s="6" t="s">
        <v>538</v>
      </c>
      <c r="D834" s="7">
        <v>7</v>
      </c>
      <c r="E834" s="14" t="s">
        <v>211</v>
      </c>
    </row>
    <row r="835" spans="1:6">
      <c r="A835" s="45" t="str">
        <f>IF(COUNTIF($B$2:B835,B835)=1,"ok","dup")</f>
        <v>ok</v>
      </c>
      <c r="B835" s="45" t="str">
        <f t="shared" si="13"/>
        <v>Presbytis_melalophos14</v>
      </c>
      <c r="C835" s="6" t="s">
        <v>539</v>
      </c>
      <c r="D835" s="7">
        <v>14</v>
      </c>
      <c r="E835" s="14" t="s">
        <v>216</v>
      </c>
      <c r="F835" s="14" t="s">
        <v>359</v>
      </c>
    </row>
    <row r="836" spans="1:6">
      <c r="A836" s="45" t="str">
        <f>IF(COUNTIF($B$2:B836,B836)=1,"ok","dup")</f>
        <v>ok</v>
      </c>
      <c r="B836" s="45" t="str">
        <f t="shared" si="13"/>
        <v>Presbytis_melalophos9.3</v>
      </c>
      <c r="C836" s="6" t="s">
        <v>539</v>
      </c>
      <c r="D836" s="7">
        <v>9.3000000000000007</v>
      </c>
      <c r="E836" s="14" t="s">
        <v>216</v>
      </c>
      <c r="F836" s="14" t="s">
        <v>359</v>
      </c>
    </row>
    <row r="837" spans="1:6">
      <c r="A837" s="45" t="str">
        <f>IF(COUNTIF($B$2:B837,B837)=1,"ok","dup")</f>
        <v>dup</v>
      </c>
      <c r="B837" s="45" t="str">
        <f t="shared" si="13"/>
        <v>Presbytis_melalophos14</v>
      </c>
      <c r="C837" s="6" t="s">
        <v>539</v>
      </c>
      <c r="D837" s="7">
        <v>14</v>
      </c>
      <c r="E837" s="14" t="s">
        <v>212</v>
      </c>
    </row>
    <row r="838" spans="1:6">
      <c r="A838" s="45" t="str">
        <f>IF(COUNTIF($B$2:B838,B838)=1,"ok","dup")</f>
        <v>ok</v>
      </c>
      <c r="B838" s="45" t="str">
        <f t="shared" si="13"/>
        <v>Presbytis_melalophos15</v>
      </c>
      <c r="C838" s="6" t="s">
        <v>539</v>
      </c>
      <c r="D838" s="7">
        <v>15</v>
      </c>
      <c r="E838" s="14" t="s">
        <v>212</v>
      </c>
    </row>
    <row r="839" spans="1:6">
      <c r="A839" s="45" t="str">
        <f>IF(COUNTIF($B$2:B839,B839)=1,"ok","dup")</f>
        <v>dup</v>
      </c>
      <c r="B839" s="45" t="str">
        <f t="shared" si="13"/>
        <v>Presbytis_melalophos9.3</v>
      </c>
      <c r="C839" s="6" t="s">
        <v>539</v>
      </c>
      <c r="D839" s="7">
        <v>9.3000000000000007</v>
      </c>
      <c r="E839" s="14" t="s">
        <v>212</v>
      </c>
    </row>
    <row r="840" spans="1:6">
      <c r="A840" s="45" t="str">
        <f>IF(COUNTIF($B$2:B840,B840)=1,"ok","dup")</f>
        <v>dup</v>
      </c>
      <c r="B840" s="45" t="str">
        <f t="shared" si="13"/>
        <v>Presbytis_melalophos15</v>
      </c>
      <c r="C840" s="6" t="s">
        <v>539</v>
      </c>
      <c r="D840" s="7">
        <v>15</v>
      </c>
      <c r="E840" s="14" t="s">
        <v>211</v>
      </c>
    </row>
    <row r="841" spans="1:6">
      <c r="A841" s="45" t="str">
        <f>IF(COUNTIF($B$2:B841,B841)=1,"ok","dup")</f>
        <v>ok</v>
      </c>
      <c r="B841" s="45" t="str">
        <f t="shared" si="13"/>
        <v>Presbytis_potenziani4</v>
      </c>
      <c r="C841" s="6" t="s">
        <v>540</v>
      </c>
      <c r="D841" s="7">
        <v>4</v>
      </c>
      <c r="E841" s="14" t="s">
        <v>211</v>
      </c>
    </row>
    <row r="842" spans="1:6">
      <c r="A842" s="45" t="str">
        <f>IF(COUNTIF($B$2:B842,B842)=1,"ok","dup")</f>
        <v>ok</v>
      </c>
      <c r="B842" s="45" t="str">
        <f t="shared" si="13"/>
        <v>Procolobus_verus8</v>
      </c>
      <c r="C842" s="6" t="s">
        <v>541</v>
      </c>
      <c r="D842" s="7">
        <v>8</v>
      </c>
      <c r="E842" s="14" t="s">
        <v>211</v>
      </c>
    </row>
    <row r="843" spans="1:6">
      <c r="A843" s="45" t="str">
        <f>IF(COUNTIF($B$2:B843,B843)=1,"ok","dup")</f>
        <v>ok</v>
      </c>
      <c r="B843" s="45" t="str">
        <f t="shared" si="13"/>
        <v>Propithecus_diadema5.1</v>
      </c>
      <c r="C843" s="6" t="s">
        <v>542</v>
      </c>
      <c r="D843" s="7">
        <v>5.0999999999999996</v>
      </c>
      <c r="E843" s="14" t="s">
        <v>276</v>
      </c>
      <c r="F843" s="14" t="s">
        <v>277</v>
      </c>
    </row>
    <row r="844" spans="1:6">
      <c r="A844" s="45" t="str">
        <f>IF(COUNTIF($B$2:B844,B844)=1,"ok","dup")</f>
        <v>ok</v>
      </c>
      <c r="B844" s="45" t="str">
        <f t="shared" si="13"/>
        <v>Propithecus_diadema6</v>
      </c>
      <c r="C844" s="6" t="s">
        <v>542</v>
      </c>
      <c r="D844" s="7">
        <v>6</v>
      </c>
      <c r="E844" s="14" t="s">
        <v>211</v>
      </c>
    </row>
    <row r="845" spans="1:6">
      <c r="A845" s="45" t="str">
        <f>IF(COUNTIF($B$2:B845,B845)=1,"ok","dup")</f>
        <v>ok</v>
      </c>
      <c r="B845" s="45" t="str">
        <f t="shared" si="13"/>
        <v>Propithecus_verreauxi6</v>
      </c>
      <c r="C845" s="6" t="s">
        <v>108</v>
      </c>
      <c r="D845" s="7">
        <v>6</v>
      </c>
      <c r="E845" s="14" t="s">
        <v>276</v>
      </c>
      <c r="F845" s="14" t="s">
        <v>277</v>
      </c>
    </row>
    <row r="846" spans="1:6">
      <c r="A846" s="45" t="str">
        <f>IF(COUNTIF($B$2:B846,B846)=1,"ok","dup")</f>
        <v>ok</v>
      </c>
      <c r="B846" s="45" t="str">
        <f t="shared" si="13"/>
        <v>Propithecus_verreauxi6.5</v>
      </c>
      <c r="C846" s="6" t="s">
        <v>108</v>
      </c>
      <c r="D846" s="7">
        <v>6.5</v>
      </c>
      <c r="E846" s="14" t="s">
        <v>216</v>
      </c>
      <c r="F846" s="14" t="s">
        <v>320</v>
      </c>
    </row>
    <row r="847" spans="1:6">
      <c r="A847" s="45" t="str">
        <f>IF(COUNTIF($B$2:B847,B847)=1,"ok","dup")</f>
        <v>ok</v>
      </c>
      <c r="B847" s="45" t="str">
        <f t="shared" si="13"/>
        <v>Propithecus_verreauxi5</v>
      </c>
      <c r="C847" s="6" t="s">
        <v>108</v>
      </c>
      <c r="D847" s="7">
        <v>5</v>
      </c>
      <c r="E847" s="14" t="s">
        <v>212</v>
      </c>
    </row>
    <row r="848" spans="1:6">
      <c r="A848" s="45" t="str">
        <f>IF(COUNTIF($B$2:B848,B848)=1,"ok","dup")</f>
        <v>ok</v>
      </c>
      <c r="B848" s="45" t="str">
        <f t="shared" si="13"/>
        <v>Propithecus_verreauxi5.1</v>
      </c>
      <c r="C848" s="6" t="s">
        <v>108</v>
      </c>
      <c r="D848" s="7">
        <v>5.0999999999999996</v>
      </c>
      <c r="E848" s="14" t="s">
        <v>218</v>
      </c>
      <c r="F848" s="14" t="s">
        <v>543</v>
      </c>
    </row>
    <row r="849" spans="1:7">
      <c r="A849" s="45" t="str">
        <f>IF(COUNTIF($B$2:B849,B849)=1,"ok","dup")</f>
        <v>dup</v>
      </c>
      <c r="B849" s="45" t="str">
        <f t="shared" si="13"/>
        <v>Propithecus_verreauxi6.5</v>
      </c>
      <c r="C849" s="6" t="s">
        <v>108</v>
      </c>
      <c r="D849" s="7">
        <v>6.5</v>
      </c>
      <c r="E849" s="14" t="s">
        <v>213</v>
      </c>
    </row>
    <row r="850" spans="1:7">
      <c r="A850" s="45" t="str">
        <f>IF(COUNTIF($B$2:B850,B850)=1,"ok","dup")</f>
        <v>ok</v>
      </c>
      <c r="B850" s="45" t="str">
        <f t="shared" si="13"/>
        <v>Propithecus_verreauxi7</v>
      </c>
      <c r="C850" s="6" t="s">
        <v>108</v>
      </c>
      <c r="D850" s="7">
        <v>7</v>
      </c>
      <c r="E850" s="14" t="s">
        <v>211</v>
      </c>
    </row>
    <row r="851" spans="1:7">
      <c r="A851" s="45" t="str">
        <f>IF(COUNTIF($B$2:B851,B851)=1,"ok","dup")</f>
        <v>ok</v>
      </c>
      <c r="B851" s="45" t="str">
        <f t="shared" si="13"/>
        <v>Pygathrix_nemaeus14.5</v>
      </c>
      <c r="C851" s="6" t="s">
        <v>109</v>
      </c>
      <c r="D851" s="7">
        <v>14.5</v>
      </c>
      <c r="E851" s="14" t="s">
        <v>211</v>
      </c>
    </row>
    <row r="852" spans="1:7">
      <c r="A852" s="45" t="str">
        <f>IF(COUNTIF($B$2:B852,B852)=1,"ok","dup")</f>
        <v>ok</v>
      </c>
      <c r="B852" s="45" t="str">
        <f t="shared" si="13"/>
        <v>Pygathrix_nemaeus19</v>
      </c>
      <c r="C852" s="6" t="s">
        <v>109</v>
      </c>
      <c r="D852" s="7">
        <v>19</v>
      </c>
      <c r="E852" s="14" t="s">
        <v>220</v>
      </c>
      <c r="F852" s="14" t="s">
        <v>544</v>
      </c>
    </row>
    <row r="853" spans="1:7">
      <c r="A853" s="45" t="str">
        <f>IF(COUNTIF($B$2:B853,B853)=1,"ok","dup")</f>
        <v>dup</v>
      </c>
      <c r="B853" s="45" t="str">
        <f t="shared" si="13"/>
        <v>Pygathrix_nemaeus19</v>
      </c>
      <c r="C853" s="6" t="s">
        <v>109</v>
      </c>
      <c r="D853" s="7">
        <v>19</v>
      </c>
      <c r="E853" s="14" t="s">
        <v>220</v>
      </c>
      <c r="F853" s="14" t="s">
        <v>544</v>
      </c>
    </row>
    <row r="854" spans="1:7">
      <c r="A854" s="45" t="str">
        <f>IF(COUNTIF($B$2:B854,B854)=1,"ok","dup")</f>
        <v>ok</v>
      </c>
      <c r="B854" s="45" t="str">
        <f t="shared" si="13"/>
        <v>Pygathrix_nemaeus43</v>
      </c>
      <c r="C854" s="6" t="s">
        <v>109</v>
      </c>
      <c r="D854" s="7">
        <v>43</v>
      </c>
      <c r="E854" s="14" t="s">
        <v>220</v>
      </c>
      <c r="F854" s="14" t="s">
        <v>544</v>
      </c>
    </row>
    <row r="855" spans="1:7">
      <c r="A855" s="45" t="str">
        <f>IF(COUNTIF($B$2:B855,B855)=1,"ok","dup")</f>
        <v>ok</v>
      </c>
      <c r="B855" s="45" t="str">
        <f t="shared" si="13"/>
        <v>Pygathrix_nemaeus9.3</v>
      </c>
      <c r="C855" s="6" t="s">
        <v>109</v>
      </c>
      <c r="D855" s="7">
        <v>9.3000000000000007</v>
      </c>
      <c r="E855" s="14" t="s">
        <v>220</v>
      </c>
      <c r="F855" s="14" t="s">
        <v>545</v>
      </c>
      <c r="G855" s="6" t="s">
        <v>330</v>
      </c>
    </row>
    <row r="856" spans="1:7">
      <c r="A856" s="45" t="str">
        <f>IF(COUNTIF($B$2:B856,B856)=1,"ok","dup")</f>
        <v>ok</v>
      </c>
      <c r="B856" s="45" t="str">
        <f t="shared" si="13"/>
        <v>Rhinopithecus_roxellana110</v>
      </c>
      <c r="C856" s="6" t="s">
        <v>546</v>
      </c>
      <c r="D856" s="7">
        <v>110</v>
      </c>
      <c r="E856" s="14" t="s">
        <v>211</v>
      </c>
    </row>
    <row r="857" spans="1:7">
      <c r="A857" s="45" t="str">
        <f>IF(COUNTIF($B$2:B857,B857)=1,"ok","dup")</f>
        <v>ok</v>
      </c>
      <c r="B857" s="45" t="str">
        <f t="shared" si="13"/>
        <v>Saguinus_fuscicollis4.7</v>
      </c>
      <c r="C857" s="6" t="s">
        <v>547</v>
      </c>
      <c r="D857" s="7">
        <v>4.7</v>
      </c>
      <c r="E857" s="14" t="s">
        <v>216</v>
      </c>
      <c r="F857" s="14" t="s">
        <v>548</v>
      </c>
    </row>
    <row r="858" spans="1:7">
      <c r="A858" s="45" t="str">
        <f>IF(COUNTIF($B$2:B858,B858)=1,"ok","dup")</f>
        <v>ok</v>
      </c>
      <c r="B858" s="45" t="str">
        <f t="shared" si="13"/>
        <v>Saguinus_fuscicollis6.5</v>
      </c>
      <c r="C858" s="6" t="s">
        <v>547</v>
      </c>
      <c r="D858" s="7">
        <v>6.5</v>
      </c>
      <c r="E858" s="14" t="s">
        <v>216</v>
      </c>
      <c r="F858" s="14" t="s">
        <v>548</v>
      </c>
    </row>
    <row r="859" spans="1:7">
      <c r="A859" s="45" t="str">
        <f>IF(COUNTIF($B$2:B859,B859)=1,"ok","dup")</f>
        <v>ok</v>
      </c>
      <c r="B859" s="45" t="str">
        <f t="shared" si="13"/>
        <v>Saguinus_fuscicollis5.9</v>
      </c>
      <c r="C859" s="6" t="s">
        <v>547</v>
      </c>
      <c r="D859" s="7">
        <v>5.9</v>
      </c>
      <c r="E859" s="14" t="s">
        <v>211</v>
      </c>
    </row>
    <row r="860" spans="1:7">
      <c r="A860" s="45" t="str">
        <f>IF(COUNTIF($B$2:B860,B860)=1,"ok","dup")</f>
        <v>ok</v>
      </c>
      <c r="B860" s="45" t="str">
        <f t="shared" si="13"/>
        <v>Saguinus_geoffroyi5.15</v>
      </c>
      <c r="C860" s="6" t="s">
        <v>110</v>
      </c>
      <c r="D860" s="7">
        <v>5.15</v>
      </c>
      <c r="E860" s="14" t="s">
        <v>211</v>
      </c>
    </row>
    <row r="861" spans="1:7">
      <c r="A861" s="45" t="str">
        <f>IF(COUNTIF($B$2:B861,B861)=1,"ok","dup")</f>
        <v>ok</v>
      </c>
      <c r="B861" s="45" t="str">
        <f t="shared" si="13"/>
        <v>Saguinus_imperator4</v>
      </c>
      <c r="C861" s="6" t="s">
        <v>549</v>
      </c>
      <c r="D861" s="7">
        <v>4</v>
      </c>
      <c r="E861" s="14" t="s">
        <v>216</v>
      </c>
      <c r="F861" s="14" t="s">
        <v>548</v>
      </c>
    </row>
    <row r="862" spans="1:7">
      <c r="A862" s="45" t="str">
        <f>IF(COUNTIF($B$2:B862,B862)=1,"ok","dup")</f>
        <v>dup</v>
      </c>
      <c r="B862" s="45" t="str">
        <f t="shared" si="13"/>
        <v>Saguinus_imperator4</v>
      </c>
      <c r="C862" s="6" t="s">
        <v>549</v>
      </c>
      <c r="D862" s="7">
        <v>4</v>
      </c>
      <c r="E862" s="14" t="s">
        <v>211</v>
      </c>
    </row>
    <row r="863" spans="1:7">
      <c r="A863" s="45" t="str">
        <f>IF(COUNTIF($B$2:B863,B863)=1,"ok","dup")</f>
        <v>ok</v>
      </c>
      <c r="B863" s="45" t="str">
        <f t="shared" si="13"/>
        <v>Saguinus_leucopus8.5</v>
      </c>
      <c r="C863" s="6" t="s">
        <v>550</v>
      </c>
      <c r="D863" s="7">
        <v>8.5</v>
      </c>
      <c r="E863" s="14" t="s">
        <v>211</v>
      </c>
    </row>
    <row r="864" spans="1:7">
      <c r="A864" s="45" t="str">
        <f>IF(COUNTIF($B$2:B864,B864)=1,"ok","dup")</f>
        <v>ok</v>
      </c>
      <c r="B864" s="45" t="str">
        <f t="shared" si="13"/>
        <v>Saguinus_midas5</v>
      </c>
      <c r="C864" s="6" t="s">
        <v>111</v>
      </c>
      <c r="D864" s="7">
        <v>5</v>
      </c>
      <c r="E864" s="14" t="s">
        <v>211</v>
      </c>
    </row>
    <row r="865" spans="1:7">
      <c r="A865" s="45" t="str">
        <f>IF(COUNTIF($B$2:B865,B865)=1,"ok","dup")</f>
        <v>ok</v>
      </c>
      <c r="B865" s="45" t="str">
        <f t="shared" si="13"/>
        <v>Saguinus_mystax5.3</v>
      </c>
      <c r="C865" s="6" t="s">
        <v>551</v>
      </c>
      <c r="D865" s="7">
        <v>5.3</v>
      </c>
      <c r="E865" s="14" t="s">
        <v>212</v>
      </c>
    </row>
    <row r="866" spans="1:7">
      <c r="A866" s="45" t="str">
        <f>IF(COUNTIF($B$2:B866,B866)=1,"ok","dup")</f>
        <v>dup</v>
      </c>
      <c r="B866" s="45" t="str">
        <f t="shared" si="13"/>
        <v>Saguinus_mystax5.3</v>
      </c>
      <c r="C866" s="6" t="s">
        <v>551</v>
      </c>
      <c r="D866" s="7">
        <v>5.3</v>
      </c>
      <c r="E866" s="14" t="s">
        <v>211</v>
      </c>
    </row>
    <row r="867" spans="1:7">
      <c r="A867" s="45" t="str">
        <f>IF(COUNTIF($B$2:B867,B867)=1,"ok","dup")</f>
        <v>ok</v>
      </c>
      <c r="B867" s="45" t="str">
        <f t="shared" si="13"/>
        <v>Saguinus_oedipus7.4</v>
      </c>
      <c r="C867" s="6" t="s">
        <v>112</v>
      </c>
      <c r="D867" s="7">
        <v>7.4</v>
      </c>
      <c r="E867" s="14" t="s">
        <v>216</v>
      </c>
      <c r="F867" s="14" t="s">
        <v>548</v>
      </c>
    </row>
    <row r="868" spans="1:7">
      <c r="A868" s="45" t="str">
        <f>IF(COUNTIF($B$2:B868,B868)=1,"ok","dup")</f>
        <v>ok</v>
      </c>
      <c r="B868" s="45" t="str">
        <f t="shared" si="13"/>
        <v>Saguinus_oedipus6.39</v>
      </c>
      <c r="C868" s="6" t="s">
        <v>112</v>
      </c>
      <c r="D868" s="7">
        <v>6.39</v>
      </c>
      <c r="E868" s="14" t="s">
        <v>212</v>
      </c>
    </row>
    <row r="869" spans="1:7">
      <c r="A869" s="45" t="str">
        <f>IF(COUNTIF($B$2:B869,B869)=1,"ok","dup")</f>
        <v>dup</v>
      </c>
      <c r="B869" s="45" t="str">
        <f t="shared" si="13"/>
        <v>Saguinus_oedipus7.4</v>
      </c>
      <c r="C869" s="6" t="s">
        <v>112</v>
      </c>
      <c r="D869" s="7">
        <v>7.4</v>
      </c>
      <c r="E869" s="14" t="s">
        <v>211</v>
      </c>
    </row>
    <row r="870" spans="1:7">
      <c r="A870" s="45" t="str">
        <f>IF(COUNTIF($B$2:B870,B870)=1,"ok","dup")</f>
        <v>ok</v>
      </c>
      <c r="B870" s="45" t="str">
        <f t="shared" si="13"/>
        <v>Saguinus_oedipus3</v>
      </c>
      <c r="C870" s="6" t="s">
        <v>112</v>
      </c>
      <c r="D870" s="7">
        <v>3</v>
      </c>
      <c r="E870" s="14" t="s">
        <v>220</v>
      </c>
      <c r="F870" s="14" t="s">
        <v>552</v>
      </c>
    </row>
    <row r="871" spans="1:7">
      <c r="A871" s="45" t="str">
        <f>IF(COUNTIF($B$2:B871,B871)=1,"ok","dup")</f>
        <v>dup</v>
      </c>
      <c r="B871" s="45" t="str">
        <f t="shared" si="13"/>
        <v>Saguinus_oedipus3</v>
      </c>
      <c r="C871" s="6" t="s">
        <v>112</v>
      </c>
      <c r="D871" s="7">
        <v>3</v>
      </c>
      <c r="E871" s="14" t="s">
        <v>220</v>
      </c>
      <c r="F871" s="14" t="s">
        <v>552</v>
      </c>
    </row>
    <row r="872" spans="1:7">
      <c r="A872" s="45" t="str">
        <f>IF(COUNTIF($B$2:B872,B872)=1,"ok","dup")</f>
        <v>dup</v>
      </c>
      <c r="B872" s="45" t="str">
        <f t="shared" si="13"/>
        <v>Saguinus_oedipus3</v>
      </c>
      <c r="C872" s="6" t="s">
        <v>112</v>
      </c>
      <c r="D872" s="7">
        <v>3</v>
      </c>
      <c r="E872" s="14" t="s">
        <v>220</v>
      </c>
      <c r="F872" s="14" t="s">
        <v>552</v>
      </c>
    </row>
    <row r="873" spans="1:7">
      <c r="A873" s="45" t="str">
        <f>IF(COUNTIF($B$2:B873,B873)=1,"ok","dup")</f>
        <v>ok</v>
      </c>
      <c r="B873" s="45" t="str">
        <f t="shared" si="13"/>
        <v>Saguinus_oedipus6</v>
      </c>
      <c r="C873" s="6" t="s">
        <v>112</v>
      </c>
      <c r="D873" s="7">
        <v>6</v>
      </c>
      <c r="E873" s="14" t="s">
        <v>220</v>
      </c>
      <c r="F873" s="14" t="s">
        <v>552</v>
      </c>
    </row>
    <row r="874" spans="1:7">
      <c r="A874" s="45" t="str">
        <f>IF(COUNTIF($B$2:B874,B874)=1,"ok","dup")</f>
        <v>ok</v>
      </c>
      <c r="B874" s="45" t="str">
        <f t="shared" si="13"/>
        <v>Saguinus_oedipus7</v>
      </c>
      <c r="C874" s="6" t="s">
        <v>112</v>
      </c>
      <c r="D874" s="7">
        <v>7</v>
      </c>
      <c r="E874" s="14" t="s">
        <v>220</v>
      </c>
      <c r="F874" s="14" t="s">
        <v>552</v>
      </c>
    </row>
    <row r="875" spans="1:7">
      <c r="A875" s="45" t="str">
        <f>IF(COUNTIF($B$2:B875,B875)=1,"ok","dup")</f>
        <v>dup</v>
      </c>
      <c r="B875" s="45" t="str">
        <f t="shared" si="13"/>
        <v>Saguinus_oedipus7.4</v>
      </c>
      <c r="C875" s="6" t="s">
        <v>112</v>
      </c>
      <c r="D875" s="7">
        <v>7.4</v>
      </c>
      <c r="E875" s="14" t="s">
        <v>220</v>
      </c>
      <c r="F875" s="14" t="s">
        <v>553</v>
      </c>
      <c r="G875" s="6" t="s">
        <v>228</v>
      </c>
    </row>
    <row r="876" spans="1:7">
      <c r="A876" s="45" t="str">
        <f>IF(COUNTIF($B$2:B876,B876)=1,"ok","dup")</f>
        <v>ok</v>
      </c>
      <c r="B876" s="45" t="str">
        <f t="shared" si="13"/>
        <v>Saguinus_oedipus8</v>
      </c>
      <c r="C876" s="6" t="s">
        <v>112</v>
      </c>
      <c r="D876" s="7">
        <v>8</v>
      </c>
      <c r="E876" s="14" t="s">
        <v>220</v>
      </c>
      <c r="F876" s="14" t="s">
        <v>552</v>
      </c>
    </row>
    <row r="877" spans="1:7">
      <c r="A877" s="45" t="str">
        <f>IF(COUNTIF($B$2:B877,B877)=1,"ok","dup")</f>
        <v>dup</v>
      </c>
      <c r="B877" s="45" t="str">
        <f t="shared" si="13"/>
        <v>Saguinus_oedipus8</v>
      </c>
      <c r="C877" s="6" t="s">
        <v>112</v>
      </c>
      <c r="D877" s="7">
        <v>8</v>
      </c>
      <c r="E877" s="14" t="s">
        <v>220</v>
      </c>
      <c r="F877" s="14" t="s">
        <v>552</v>
      </c>
    </row>
    <row r="878" spans="1:7">
      <c r="A878" s="45" t="str">
        <f>IF(COUNTIF($B$2:B878,B878)=1,"ok","dup")</f>
        <v>ok</v>
      </c>
      <c r="B878" s="45" t="str">
        <f t="shared" si="13"/>
        <v>Saimiri_boliviensis20</v>
      </c>
      <c r="C878" s="6" t="s">
        <v>554</v>
      </c>
      <c r="D878" s="7">
        <v>20</v>
      </c>
      <c r="E878" s="14" t="s">
        <v>211</v>
      </c>
    </row>
    <row r="879" spans="1:7">
      <c r="A879" s="45" t="str">
        <f>IF(COUNTIF($B$2:B879,B879)=1,"ok","dup")</f>
        <v>ok</v>
      </c>
      <c r="B879" s="45" t="str">
        <f t="shared" si="13"/>
        <v>Saimiri_oerstedii23</v>
      </c>
      <c r="C879" s="6" t="s">
        <v>555</v>
      </c>
      <c r="D879" s="7">
        <v>23</v>
      </c>
      <c r="E879" s="14" t="s">
        <v>216</v>
      </c>
      <c r="F879" s="14" t="s">
        <v>264</v>
      </c>
    </row>
    <row r="880" spans="1:7">
      <c r="A880" s="45" t="str">
        <f>IF(COUNTIF($B$2:B880,B880)=1,"ok","dup")</f>
        <v>dup</v>
      </c>
      <c r="B880" s="45" t="str">
        <f t="shared" si="13"/>
        <v>Saimiri_oerstedii23</v>
      </c>
      <c r="C880" s="6" t="s">
        <v>555</v>
      </c>
      <c r="D880" s="7">
        <v>23</v>
      </c>
      <c r="E880" s="14" t="s">
        <v>212</v>
      </c>
    </row>
    <row r="881" spans="1:7">
      <c r="A881" s="45" t="str">
        <f>IF(COUNTIF($B$2:B881,B881)=1,"ok","dup")</f>
        <v>ok</v>
      </c>
      <c r="B881" s="45" t="str">
        <f t="shared" si="13"/>
        <v>Saimiri_oerstedii25</v>
      </c>
      <c r="C881" s="6" t="s">
        <v>555</v>
      </c>
      <c r="D881" s="7">
        <v>25</v>
      </c>
      <c r="E881" s="14" t="s">
        <v>213</v>
      </c>
    </row>
    <row r="882" spans="1:7">
      <c r="A882" s="45" t="str">
        <f>IF(COUNTIF($B$2:B882,B882)=1,"ok","dup")</f>
        <v>dup</v>
      </c>
      <c r="B882" s="45" t="str">
        <f t="shared" si="13"/>
        <v>Saimiri_oerstedii23</v>
      </c>
      <c r="C882" s="6" t="s">
        <v>555</v>
      </c>
      <c r="D882" s="7">
        <v>23</v>
      </c>
      <c r="E882" s="14" t="s">
        <v>211</v>
      </c>
    </row>
    <row r="883" spans="1:7">
      <c r="A883" s="45" t="str">
        <f>IF(COUNTIF($B$2:B883,B883)=1,"ok","dup")</f>
        <v>ok</v>
      </c>
      <c r="B883" s="45" t="str">
        <f t="shared" si="13"/>
        <v>Saimiri_sciureus42</v>
      </c>
      <c r="C883" s="6" t="s">
        <v>113</v>
      </c>
      <c r="D883" s="7">
        <v>42</v>
      </c>
      <c r="E883" s="14" t="s">
        <v>216</v>
      </c>
      <c r="F883" s="14" t="s">
        <v>264</v>
      </c>
    </row>
    <row r="884" spans="1:7">
      <c r="A884" s="45" t="str">
        <f>IF(COUNTIF($B$2:B884,B884)=1,"ok","dup")</f>
        <v>ok</v>
      </c>
      <c r="B884" s="45" t="str">
        <f t="shared" si="13"/>
        <v>Saimiri_sciureus19</v>
      </c>
      <c r="C884" s="6" t="s">
        <v>113</v>
      </c>
      <c r="D884" s="7">
        <v>19</v>
      </c>
      <c r="E884" s="14" t="s">
        <v>212</v>
      </c>
    </row>
    <row r="885" spans="1:7">
      <c r="A885" s="45" t="str">
        <f>IF(COUNTIF($B$2:B885,B885)=1,"ok","dup")</f>
        <v>ok</v>
      </c>
      <c r="B885" s="45" t="str">
        <f t="shared" si="13"/>
        <v>Saimiri_sciureus22</v>
      </c>
      <c r="C885" s="6" t="s">
        <v>113</v>
      </c>
      <c r="D885" s="7">
        <v>22</v>
      </c>
      <c r="E885" s="14" t="s">
        <v>212</v>
      </c>
    </row>
    <row r="886" spans="1:7">
      <c r="A886" s="45" t="str">
        <f>IF(COUNTIF($B$2:B886,B886)=1,"ok","dup")</f>
        <v>ok</v>
      </c>
      <c r="B886" s="45" t="str">
        <f t="shared" si="13"/>
        <v>Saimiri_sciureus25</v>
      </c>
      <c r="C886" s="6" t="s">
        <v>113</v>
      </c>
      <c r="D886" s="7">
        <v>25</v>
      </c>
      <c r="E886" s="14" t="s">
        <v>212</v>
      </c>
    </row>
    <row r="887" spans="1:7">
      <c r="A887" s="45" t="str">
        <f>IF(COUNTIF($B$2:B887,B887)=1,"ok","dup")</f>
        <v>ok</v>
      </c>
      <c r="B887" s="45" t="str">
        <f t="shared" si="13"/>
        <v>Saimiri_sciureus30</v>
      </c>
      <c r="C887" s="6" t="s">
        <v>113</v>
      </c>
      <c r="D887" s="7">
        <v>30</v>
      </c>
      <c r="E887" s="14" t="s">
        <v>212</v>
      </c>
    </row>
    <row r="888" spans="1:7">
      <c r="A888" s="45" t="str">
        <f>IF(COUNTIF($B$2:B888,B888)=1,"ok","dup")</f>
        <v>ok</v>
      </c>
      <c r="B888" s="45" t="str">
        <f t="shared" si="13"/>
        <v>Saimiri_sciureus35</v>
      </c>
      <c r="C888" s="6" t="s">
        <v>113</v>
      </c>
      <c r="D888" s="7">
        <v>35</v>
      </c>
      <c r="E888" s="14" t="s">
        <v>212</v>
      </c>
    </row>
    <row r="889" spans="1:7">
      <c r="A889" s="45" t="str">
        <f>IF(COUNTIF($B$2:B889,B889)=1,"ok","dup")</f>
        <v>ok</v>
      </c>
      <c r="B889" s="45" t="str">
        <f t="shared" si="13"/>
        <v>Saimiri_sciureus41.7</v>
      </c>
      <c r="C889" s="6" t="s">
        <v>113</v>
      </c>
      <c r="D889" s="7">
        <v>41.7</v>
      </c>
      <c r="E889" s="14" t="s">
        <v>212</v>
      </c>
    </row>
    <row r="890" spans="1:7">
      <c r="A890" s="45" t="str">
        <f>IF(COUNTIF($B$2:B890,B890)=1,"ok","dup")</f>
        <v>ok</v>
      </c>
      <c r="B890" s="45" t="str">
        <f t="shared" si="13"/>
        <v>Saimiri_sciureus48</v>
      </c>
      <c r="C890" s="6" t="s">
        <v>113</v>
      </c>
      <c r="D890" s="7">
        <v>48</v>
      </c>
      <c r="E890" s="14" t="s">
        <v>212</v>
      </c>
    </row>
    <row r="891" spans="1:7">
      <c r="A891" s="45" t="str">
        <f>IF(COUNTIF($B$2:B891,B891)=1,"ok","dup")</f>
        <v>dup</v>
      </c>
      <c r="B891" s="45" t="str">
        <f t="shared" si="13"/>
        <v>Saimiri_sciureus35</v>
      </c>
      <c r="C891" s="6" t="s">
        <v>113</v>
      </c>
      <c r="D891" s="7">
        <v>35</v>
      </c>
      <c r="E891" s="14" t="s">
        <v>218</v>
      </c>
      <c r="F891" s="14" t="s">
        <v>307</v>
      </c>
    </row>
    <row r="892" spans="1:7">
      <c r="A892" s="45" t="str">
        <f>IF(COUNTIF($B$2:B892,B892)=1,"ok","dup")</f>
        <v>ok</v>
      </c>
      <c r="B892" s="45" t="str">
        <f t="shared" si="13"/>
        <v>Saimiri_sciureus32</v>
      </c>
      <c r="C892" s="6" t="s">
        <v>113</v>
      </c>
      <c r="D892" s="7">
        <v>32</v>
      </c>
      <c r="E892" s="14" t="s">
        <v>211</v>
      </c>
    </row>
    <row r="893" spans="1:7">
      <c r="A893" s="45" t="str">
        <f>IF(COUNTIF($B$2:B893,B893)=1,"ok","dup")</f>
        <v>dup</v>
      </c>
      <c r="B893" s="45" t="str">
        <f t="shared" si="13"/>
        <v>Saimiri_sciureus42</v>
      </c>
      <c r="C893" s="6" t="s">
        <v>113</v>
      </c>
      <c r="D893" s="7">
        <v>42</v>
      </c>
      <c r="E893" s="14" t="s">
        <v>220</v>
      </c>
      <c r="F893" s="14" t="s">
        <v>314</v>
      </c>
      <c r="G893" s="6" t="s">
        <v>228</v>
      </c>
    </row>
    <row r="894" spans="1:7">
      <c r="A894" s="45" t="str">
        <f>IF(COUNTIF($B$2:B894,B894)=1,"ok","dup")</f>
        <v>ok</v>
      </c>
      <c r="B894" s="45" t="str">
        <f t="shared" si="13"/>
        <v>Saimiri_sciureus44</v>
      </c>
      <c r="C894" s="6" t="s">
        <v>113</v>
      </c>
      <c r="D894" s="7">
        <v>44</v>
      </c>
      <c r="E894" s="14" t="s">
        <v>220</v>
      </c>
      <c r="F894" s="14" t="s">
        <v>556</v>
      </c>
    </row>
    <row r="895" spans="1:7">
      <c r="A895" s="45" t="str">
        <f>IF(COUNTIF($B$2:B895,B895)=1,"ok","dup")</f>
        <v>ok</v>
      </c>
      <c r="B895" s="45" t="str">
        <f t="shared" si="13"/>
        <v>Saimiri_sciureus50</v>
      </c>
      <c r="C895" s="6" t="s">
        <v>113</v>
      </c>
      <c r="D895" s="7">
        <v>50</v>
      </c>
      <c r="E895" s="14" t="s">
        <v>220</v>
      </c>
      <c r="F895" s="14" t="s">
        <v>556</v>
      </c>
    </row>
    <row r="896" spans="1:7">
      <c r="A896" s="45" t="str">
        <f>IF(COUNTIF($B$2:B896,B896)=1,"ok","dup")</f>
        <v>ok</v>
      </c>
      <c r="B896" s="45" t="str">
        <f t="shared" si="13"/>
        <v>Saimiri_sciureus65</v>
      </c>
      <c r="C896" s="6" t="s">
        <v>113</v>
      </c>
      <c r="D896" s="7">
        <v>65</v>
      </c>
      <c r="E896" s="14" t="s">
        <v>220</v>
      </c>
      <c r="F896" s="14" t="s">
        <v>557</v>
      </c>
    </row>
    <row r="897" spans="1:6">
      <c r="A897" s="45" t="str">
        <f>IF(COUNTIF($B$2:B897,B897)=1,"ok","dup")</f>
        <v>ok</v>
      </c>
      <c r="B897" s="45" t="str">
        <f t="shared" si="13"/>
        <v>Semnopithecus_entellus19</v>
      </c>
      <c r="C897" s="6" t="s">
        <v>114</v>
      </c>
      <c r="D897" s="7">
        <v>19</v>
      </c>
      <c r="E897" s="14" t="s">
        <v>216</v>
      </c>
      <c r="F897" s="14" t="s">
        <v>359</v>
      </c>
    </row>
    <row r="898" spans="1:6">
      <c r="A898" s="45" t="str">
        <f>IF(COUNTIF($B$2:B898,B898)=1,"ok","dup")</f>
        <v>ok</v>
      </c>
      <c r="B898" s="45" t="str">
        <f t="shared" ref="B898:B937" si="14">C898&amp;D898</f>
        <v>Semnopithecus_entellus33</v>
      </c>
      <c r="C898" s="6" t="s">
        <v>114</v>
      </c>
      <c r="D898" s="7">
        <v>33</v>
      </c>
      <c r="E898" s="14" t="s">
        <v>218</v>
      </c>
      <c r="F898" s="14" t="s">
        <v>558</v>
      </c>
    </row>
    <row r="899" spans="1:6">
      <c r="A899" s="45" t="str">
        <f>IF(COUNTIF($B$2:B899,B899)=1,"ok","dup")</f>
        <v>dup</v>
      </c>
      <c r="B899" s="45" t="str">
        <f t="shared" si="14"/>
        <v>Semnopithecus_entellus19</v>
      </c>
      <c r="C899" s="6" t="s">
        <v>114</v>
      </c>
      <c r="D899" s="7">
        <v>19</v>
      </c>
      <c r="E899" s="14" t="s">
        <v>213</v>
      </c>
    </row>
    <row r="900" spans="1:6">
      <c r="A900" s="45" t="str">
        <f>IF(COUNTIF($B$2:B900,B900)=1,"ok","dup")</f>
        <v>ok</v>
      </c>
      <c r="B900" s="45" t="str">
        <f t="shared" si="14"/>
        <v>Semnopithecus_entellus37.5</v>
      </c>
      <c r="C900" s="6" t="s">
        <v>114</v>
      </c>
      <c r="D900" s="7">
        <v>37.5</v>
      </c>
      <c r="E900" s="14" t="s">
        <v>211</v>
      </c>
    </row>
    <row r="901" spans="1:6">
      <c r="A901" s="45" t="str">
        <f>IF(COUNTIF($B$2:B901,B901)=1,"ok","dup")</f>
        <v>ok</v>
      </c>
      <c r="B901" s="45" t="str">
        <f t="shared" si="14"/>
        <v>Semnopithecus_entellus9.5</v>
      </c>
      <c r="C901" s="6" t="s">
        <v>114</v>
      </c>
      <c r="D901" s="7">
        <v>9.5</v>
      </c>
      <c r="E901" s="14" t="s">
        <v>214</v>
      </c>
      <c r="F901" s="14" t="s">
        <v>559</v>
      </c>
    </row>
    <row r="902" spans="1:6">
      <c r="A902" s="45" t="str">
        <f>IF(COUNTIF($B$2:B902,B902)=1,"ok","dup")</f>
        <v>ok</v>
      </c>
      <c r="B902" s="45" t="str">
        <f t="shared" si="14"/>
        <v>Symphalangus_syndactylus3</v>
      </c>
      <c r="C902" s="6" t="s">
        <v>115</v>
      </c>
      <c r="D902" s="7">
        <v>3</v>
      </c>
      <c r="E902" s="14" t="s">
        <v>216</v>
      </c>
      <c r="F902" s="14" t="s">
        <v>406</v>
      </c>
    </row>
    <row r="903" spans="1:6">
      <c r="A903" s="45" t="str">
        <f>IF(COUNTIF($B$2:B903,B903)=1,"ok","dup")</f>
        <v>ok</v>
      </c>
      <c r="B903" s="45" t="str">
        <f t="shared" si="14"/>
        <v>Symphalangus_syndactylus3.8</v>
      </c>
      <c r="C903" s="6" t="s">
        <v>115</v>
      </c>
      <c r="D903" s="7">
        <v>3.8</v>
      </c>
      <c r="E903" s="14" t="s">
        <v>216</v>
      </c>
      <c r="F903" s="14" t="s">
        <v>406</v>
      </c>
    </row>
    <row r="904" spans="1:6">
      <c r="A904" s="45" t="str">
        <f>IF(COUNTIF($B$2:B904,B904)=1,"ok","dup")</f>
        <v>ok</v>
      </c>
      <c r="B904" s="45" t="str">
        <f t="shared" si="14"/>
        <v>Symphalangus_syndactylus4</v>
      </c>
      <c r="C904" s="6" t="s">
        <v>115</v>
      </c>
      <c r="D904" s="7">
        <v>4</v>
      </c>
      <c r="E904" s="14" t="s">
        <v>216</v>
      </c>
      <c r="F904" s="14" t="s">
        <v>406</v>
      </c>
    </row>
    <row r="905" spans="1:6">
      <c r="A905" s="45" t="str">
        <f>IF(COUNTIF($B$2:B905,B905)=1,"ok","dup")</f>
        <v>ok</v>
      </c>
      <c r="B905" s="45" t="str">
        <f t="shared" si="14"/>
        <v>Symphalangus_syndactylus5</v>
      </c>
      <c r="C905" s="6" t="s">
        <v>115</v>
      </c>
      <c r="D905" s="7">
        <v>5</v>
      </c>
      <c r="E905" s="14" t="s">
        <v>216</v>
      </c>
      <c r="F905" s="14" t="s">
        <v>406</v>
      </c>
    </row>
    <row r="906" spans="1:6">
      <c r="A906" s="45" t="str">
        <f>IF(COUNTIF($B$2:B906,B906)=1,"ok","dup")</f>
        <v>dup</v>
      </c>
      <c r="B906" s="45" t="str">
        <f t="shared" si="14"/>
        <v>Symphalangus_syndactylus3</v>
      </c>
      <c r="C906" s="6" t="s">
        <v>115</v>
      </c>
      <c r="D906" s="7">
        <v>3</v>
      </c>
      <c r="E906" s="14" t="s">
        <v>212</v>
      </c>
    </row>
    <row r="907" spans="1:6">
      <c r="A907" s="45" t="str">
        <f>IF(COUNTIF($B$2:B907,B907)=1,"ok","dup")</f>
        <v>dup</v>
      </c>
      <c r="B907" s="45" t="str">
        <f t="shared" si="14"/>
        <v>Symphalangus_syndactylus3.8</v>
      </c>
      <c r="C907" s="6" t="s">
        <v>115</v>
      </c>
      <c r="D907" s="7">
        <v>3.8</v>
      </c>
      <c r="E907" s="14" t="s">
        <v>212</v>
      </c>
    </row>
    <row r="908" spans="1:6">
      <c r="A908" s="45" t="str">
        <f>IF(COUNTIF($B$2:B908,B908)=1,"ok","dup")</f>
        <v>dup</v>
      </c>
      <c r="B908" s="45" t="str">
        <f t="shared" si="14"/>
        <v>Symphalangus_syndactylus4</v>
      </c>
      <c r="C908" s="6" t="s">
        <v>115</v>
      </c>
      <c r="D908" s="7">
        <v>4</v>
      </c>
      <c r="E908" s="14" t="s">
        <v>212</v>
      </c>
    </row>
    <row r="909" spans="1:6">
      <c r="A909" s="45" t="str">
        <f>IF(COUNTIF($B$2:B909,B909)=1,"ok","dup")</f>
        <v>dup</v>
      </c>
      <c r="B909" s="45" t="str">
        <f t="shared" si="14"/>
        <v>Symphalangus_syndactylus5</v>
      </c>
      <c r="C909" s="6" t="s">
        <v>115</v>
      </c>
      <c r="D909" s="7">
        <v>5</v>
      </c>
      <c r="E909" s="14" t="s">
        <v>212</v>
      </c>
    </row>
    <row r="910" spans="1:6">
      <c r="A910" s="45" t="str">
        <f>IF(COUNTIF($B$2:B910,B910)=1,"ok","dup")</f>
        <v>dup</v>
      </c>
      <c r="B910" s="45" t="str">
        <f t="shared" si="14"/>
        <v>Symphalangus_syndactylus3.8</v>
      </c>
      <c r="C910" s="6" t="s">
        <v>115</v>
      </c>
      <c r="D910" s="7">
        <v>3.8</v>
      </c>
      <c r="E910" s="14" t="s">
        <v>218</v>
      </c>
      <c r="F910" s="14" t="s">
        <v>560</v>
      </c>
    </row>
    <row r="911" spans="1:6">
      <c r="A911" s="45" t="str">
        <f>IF(COUNTIF($B$2:B911,B911)=1,"ok","dup")</f>
        <v>dup</v>
      </c>
      <c r="B911" s="45" t="str">
        <f t="shared" si="14"/>
        <v>Symphalangus_syndactylus3.8</v>
      </c>
      <c r="C911" s="6" t="s">
        <v>115</v>
      </c>
      <c r="D911" s="7">
        <v>3.8</v>
      </c>
      <c r="E911" s="14" t="s">
        <v>213</v>
      </c>
    </row>
    <row r="912" spans="1:6">
      <c r="A912" s="45" t="str">
        <f>IF(COUNTIF($B$2:B912,B912)=1,"ok","dup")</f>
        <v>ok</v>
      </c>
      <c r="B912" s="45" t="str">
        <f t="shared" si="14"/>
        <v>Symphalangus_syndactylus3.5</v>
      </c>
      <c r="C912" s="6" t="s">
        <v>115</v>
      </c>
      <c r="D912" s="7">
        <v>3.5</v>
      </c>
      <c r="E912" s="14" t="s">
        <v>211</v>
      </c>
    </row>
    <row r="913" spans="1:7">
      <c r="A913" s="45" t="str">
        <f>IF(COUNTIF($B$2:B913,B913)=1,"ok","dup")</f>
        <v>ok</v>
      </c>
      <c r="B913" s="45" t="str">
        <f t="shared" si="14"/>
        <v>Tarsius_bancanus2</v>
      </c>
      <c r="C913" s="6" t="s">
        <v>561</v>
      </c>
      <c r="D913" s="7">
        <v>2</v>
      </c>
      <c r="E913" s="14" t="s">
        <v>211</v>
      </c>
    </row>
    <row r="914" spans="1:7">
      <c r="A914" s="45" t="str">
        <f>IF(COUNTIF($B$2:B914,B914)=1,"ok","dup")</f>
        <v>ok</v>
      </c>
      <c r="B914" s="45" t="str">
        <f t="shared" si="14"/>
        <v>Tarsius_syrichta2</v>
      </c>
      <c r="C914" s="6" t="s">
        <v>116</v>
      </c>
      <c r="D914" s="7">
        <v>2</v>
      </c>
      <c r="E914" s="14" t="s">
        <v>211</v>
      </c>
    </row>
    <row r="915" spans="1:7">
      <c r="A915" s="45" t="str">
        <f>IF(COUNTIF($B$2:B915,B915)=1,"ok","dup")</f>
        <v>ok</v>
      </c>
      <c r="B915" s="45" t="str">
        <f t="shared" si="14"/>
        <v>Theropithecus_gelada320</v>
      </c>
      <c r="C915" s="6" t="s">
        <v>562</v>
      </c>
      <c r="D915" s="7">
        <v>320</v>
      </c>
      <c r="E915" s="14" t="s">
        <v>216</v>
      </c>
      <c r="F915" s="14" t="s">
        <v>320</v>
      </c>
    </row>
    <row r="916" spans="1:7">
      <c r="A916" s="45" t="str">
        <f>IF(COUNTIF($B$2:B916,B916)=1,"ok","dup")</f>
        <v>ok</v>
      </c>
      <c r="B916" s="45" t="str">
        <f t="shared" si="14"/>
        <v>Theropithecus_gelada113</v>
      </c>
      <c r="C916" s="6" t="s">
        <v>562</v>
      </c>
      <c r="D916" s="7">
        <v>113</v>
      </c>
      <c r="E916" s="14" t="s">
        <v>218</v>
      </c>
      <c r="F916" s="14" t="s">
        <v>563</v>
      </c>
    </row>
    <row r="917" spans="1:7">
      <c r="A917" s="45" t="str">
        <f>IF(COUNTIF($B$2:B917,B917)=1,"ok","dup")</f>
        <v>dup</v>
      </c>
      <c r="B917" s="45" t="str">
        <f t="shared" si="14"/>
        <v>Theropithecus_gelada113</v>
      </c>
      <c r="C917" s="6" t="s">
        <v>562</v>
      </c>
      <c r="D917" s="7">
        <v>113</v>
      </c>
      <c r="E917" s="14" t="s">
        <v>213</v>
      </c>
    </row>
    <row r="918" spans="1:7">
      <c r="A918" s="45" t="str">
        <f>IF(COUNTIF($B$2:B918,B918)=1,"ok","dup")</f>
        <v>ok</v>
      </c>
      <c r="B918" s="45" t="str">
        <f t="shared" si="14"/>
        <v>Theropithecus_gelada165</v>
      </c>
      <c r="C918" s="6" t="s">
        <v>562</v>
      </c>
      <c r="D918" s="7">
        <v>165</v>
      </c>
      <c r="E918" s="14" t="s">
        <v>211</v>
      </c>
      <c r="G918" s="6" t="s">
        <v>564</v>
      </c>
    </row>
    <row r="919" spans="1:7">
      <c r="A919" s="45" t="str">
        <f>IF(COUNTIF($B$2:B919,B919)=1,"ok","dup")</f>
        <v>ok</v>
      </c>
      <c r="B919" s="45" t="str">
        <f t="shared" si="14"/>
        <v>Theropithecus_gelada7.2</v>
      </c>
      <c r="C919" s="6" t="s">
        <v>562</v>
      </c>
      <c r="D919" s="7">
        <v>7.2</v>
      </c>
      <c r="E919" s="14" t="s">
        <v>214</v>
      </c>
      <c r="F919" s="14" t="s">
        <v>565</v>
      </c>
    </row>
    <row r="920" spans="1:7">
      <c r="A920" s="45" t="str">
        <f>IF(COUNTIF($B$2:B920,B920)=1,"ok","dup")</f>
        <v>ok</v>
      </c>
      <c r="B920" s="45" t="str">
        <f t="shared" si="14"/>
        <v>Trachypithecus_cristatus28</v>
      </c>
      <c r="C920" s="6" t="s">
        <v>566</v>
      </c>
      <c r="D920" s="7">
        <v>28</v>
      </c>
      <c r="E920" s="14" t="s">
        <v>213</v>
      </c>
    </row>
    <row r="921" spans="1:7">
      <c r="A921" s="45" t="str">
        <f>IF(COUNTIF($B$2:B921,B921)=1,"ok","dup")</f>
        <v>ok</v>
      </c>
      <c r="B921" s="45" t="str">
        <f t="shared" si="14"/>
        <v>Trachypithecus_cristatus21.5</v>
      </c>
      <c r="C921" s="6" t="s">
        <v>566</v>
      </c>
      <c r="D921" s="7">
        <v>21.5</v>
      </c>
      <c r="E921" s="14" t="s">
        <v>211</v>
      </c>
    </row>
    <row r="922" spans="1:7">
      <c r="A922" s="45" t="str">
        <f>IF(COUNTIF($B$2:B922,B922)=1,"ok","dup")</f>
        <v>ok</v>
      </c>
      <c r="B922" s="45" t="str">
        <f t="shared" si="14"/>
        <v>Trachypithecus_geei11.5</v>
      </c>
      <c r="C922" s="6" t="s">
        <v>567</v>
      </c>
      <c r="D922" s="7">
        <v>11.5</v>
      </c>
      <c r="E922" s="14" t="s">
        <v>213</v>
      </c>
    </row>
    <row r="923" spans="1:7">
      <c r="A923" s="45" t="str">
        <f>IF(COUNTIF($B$2:B923,B923)=1,"ok","dup")</f>
        <v>ok</v>
      </c>
      <c r="B923" s="45" t="str">
        <f t="shared" si="14"/>
        <v>Trachypithecus_geei16.7</v>
      </c>
      <c r="C923" s="6" t="s">
        <v>567</v>
      </c>
      <c r="D923" s="7">
        <v>16.7</v>
      </c>
      <c r="E923" s="14" t="s">
        <v>211</v>
      </c>
    </row>
    <row r="924" spans="1:7">
      <c r="A924" s="45" t="str">
        <f>IF(COUNTIF($B$2:B924,B924)=1,"ok","dup")</f>
        <v>ok</v>
      </c>
      <c r="B924" s="45" t="str">
        <f t="shared" si="14"/>
        <v>Trachypithecus_johnii32</v>
      </c>
      <c r="C924" s="6" t="s">
        <v>568</v>
      </c>
      <c r="D924" s="7">
        <v>32</v>
      </c>
      <c r="E924" s="14" t="s">
        <v>212</v>
      </c>
    </row>
    <row r="925" spans="1:7">
      <c r="A925" s="45" t="str">
        <f>IF(COUNTIF($B$2:B925,B925)=1,"ok","dup")</f>
        <v>ok</v>
      </c>
      <c r="B925" s="45" t="str">
        <f t="shared" si="14"/>
        <v>Trachypithecus_johnii9</v>
      </c>
      <c r="C925" s="6" t="s">
        <v>568</v>
      </c>
      <c r="D925" s="7">
        <v>9</v>
      </c>
      <c r="E925" s="14" t="s">
        <v>213</v>
      </c>
    </row>
    <row r="926" spans="1:7">
      <c r="A926" s="45" t="str">
        <f>IF(COUNTIF($B$2:B926,B926)=1,"ok","dup")</f>
        <v>ok</v>
      </c>
      <c r="B926" s="45" t="str">
        <f t="shared" si="14"/>
        <v>Trachypithecus_johnii17</v>
      </c>
      <c r="C926" s="6" t="s">
        <v>568</v>
      </c>
      <c r="D926" s="7">
        <v>17</v>
      </c>
      <c r="E926" s="14" t="s">
        <v>211</v>
      </c>
    </row>
    <row r="927" spans="1:7">
      <c r="A927" s="45" t="str">
        <f>IF(COUNTIF($B$2:B927,B927)=1,"ok","dup")</f>
        <v>ok</v>
      </c>
      <c r="B927" s="45" t="str">
        <f t="shared" si="14"/>
        <v>Trachypithecus_johnii8</v>
      </c>
      <c r="C927" s="6" t="s">
        <v>568</v>
      </c>
      <c r="D927" s="7">
        <v>8</v>
      </c>
      <c r="E927" s="14" t="s">
        <v>214</v>
      </c>
      <c r="F927" s="14" t="s">
        <v>569</v>
      </c>
    </row>
    <row r="928" spans="1:7">
      <c r="A928" s="45" t="str">
        <f>IF(COUNTIF($B$2:B928,B928)=1,"ok","dup")</f>
        <v>ok</v>
      </c>
      <c r="B928" s="45" t="str">
        <f t="shared" si="14"/>
        <v>Trachypithecus_obscurus10.3</v>
      </c>
      <c r="C928" s="6" t="s">
        <v>570</v>
      </c>
      <c r="D928" s="7">
        <v>10.3</v>
      </c>
      <c r="E928" s="14" t="s">
        <v>216</v>
      </c>
      <c r="F928" s="14" t="s">
        <v>359</v>
      </c>
    </row>
    <row r="929" spans="1:6">
      <c r="A929" s="45" t="str">
        <f>IF(COUNTIF($B$2:B929,B929)=1,"ok","dup")</f>
        <v>dup</v>
      </c>
      <c r="B929" s="45" t="str">
        <f t="shared" si="14"/>
        <v>Trachypithecus_obscurus10.3</v>
      </c>
      <c r="C929" s="6" t="s">
        <v>570</v>
      </c>
      <c r="D929" s="7">
        <v>10.3</v>
      </c>
      <c r="E929" s="14" t="s">
        <v>212</v>
      </c>
    </row>
    <row r="930" spans="1:6">
      <c r="A930" s="45" t="str">
        <f>IF(COUNTIF($B$2:B930,B930)=1,"ok","dup")</f>
        <v>dup</v>
      </c>
      <c r="B930" s="45" t="str">
        <f t="shared" si="14"/>
        <v>Trachypithecus_obscurus10.3</v>
      </c>
      <c r="C930" s="6" t="s">
        <v>570</v>
      </c>
      <c r="D930" s="7">
        <v>10.3</v>
      </c>
      <c r="E930" s="14" t="s">
        <v>211</v>
      </c>
    </row>
    <row r="931" spans="1:6">
      <c r="A931" s="45" t="str">
        <f>IF(COUNTIF($B$2:B931,B931)=1,"ok","dup")</f>
        <v>ok</v>
      </c>
      <c r="B931" s="45" t="str">
        <f t="shared" si="14"/>
        <v>Trachypithecus_phayrei8.8</v>
      </c>
      <c r="C931" s="6" t="s">
        <v>571</v>
      </c>
      <c r="D931" s="7">
        <v>8.8000000000000007</v>
      </c>
      <c r="E931" s="14" t="s">
        <v>211</v>
      </c>
    </row>
    <row r="932" spans="1:6">
      <c r="A932" s="45" t="str">
        <f>IF(COUNTIF($B$2:B932,B932)=1,"ok","dup")</f>
        <v>ok</v>
      </c>
      <c r="B932" s="45" t="str">
        <f t="shared" si="14"/>
        <v>Trachypithecus_pileatus6.4</v>
      </c>
      <c r="C932" s="6" t="s">
        <v>572</v>
      </c>
      <c r="D932" s="7">
        <v>6.4</v>
      </c>
      <c r="E932" s="14" t="s">
        <v>211</v>
      </c>
    </row>
    <row r="933" spans="1:6">
      <c r="A933" s="45" t="str">
        <f>IF(COUNTIF($B$2:B933,B933)=1,"ok","dup")</f>
        <v>ok</v>
      </c>
      <c r="B933" s="45" t="str">
        <f t="shared" si="14"/>
        <v>Trachypithecus_pileatus6</v>
      </c>
      <c r="C933" s="6" t="s">
        <v>572</v>
      </c>
      <c r="D933" s="7">
        <v>6</v>
      </c>
      <c r="E933" s="14" t="s">
        <v>214</v>
      </c>
      <c r="F933" s="14" t="s">
        <v>573</v>
      </c>
    </row>
    <row r="934" spans="1:6">
      <c r="A934" s="45" t="str">
        <f>IF(COUNTIF($B$2:B934,B934)=1,"ok","dup")</f>
        <v>ok</v>
      </c>
      <c r="B934" s="45" t="str">
        <f t="shared" si="14"/>
        <v>Trachypithecus_vetulus13</v>
      </c>
      <c r="C934" s="6" t="s">
        <v>574</v>
      </c>
      <c r="D934" s="7">
        <v>13</v>
      </c>
      <c r="E934" s="14" t="s">
        <v>211</v>
      </c>
    </row>
    <row r="935" spans="1:6">
      <c r="A935" s="45" t="str">
        <f>IF(COUNTIF($B$2:B935,B935)=1,"ok","dup")</f>
        <v>ok</v>
      </c>
      <c r="B935" s="45" t="str">
        <f t="shared" si="14"/>
        <v>Varecia_variegata_variegata5.3</v>
      </c>
      <c r="C935" s="6" t="s">
        <v>118</v>
      </c>
      <c r="D935" s="7">
        <v>5.3</v>
      </c>
      <c r="E935" s="14" t="s">
        <v>276</v>
      </c>
      <c r="F935" s="14" t="s">
        <v>277</v>
      </c>
    </row>
    <row r="936" spans="1:6">
      <c r="A936" s="45" t="str">
        <f>IF(COUNTIF($B$2:B936,B936)=1,"ok","dup")</f>
        <v>ok</v>
      </c>
      <c r="B936" s="45" t="str">
        <f t="shared" si="14"/>
        <v>Varecia_variegata_variegata2</v>
      </c>
      <c r="C936" s="6" t="s">
        <v>118</v>
      </c>
      <c r="D936" s="7">
        <v>2</v>
      </c>
      <c r="E936" s="14" t="s">
        <v>212</v>
      </c>
    </row>
    <row r="937" spans="1:6">
      <c r="A937" s="45" t="str">
        <f>IF(COUNTIF($B$2:B937,B937)=1,"ok","dup")</f>
        <v>ok</v>
      </c>
      <c r="B937" s="45" t="str">
        <f t="shared" si="14"/>
        <v>Varecia_variegata_variegata10.5</v>
      </c>
      <c r="C937" s="6" t="s">
        <v>118</v>
      </c>
      <c r="D937" s="7">
        <v>10.5</v>
      </c>
      <c r="E937" s="14" t="s">
        <v>211</v>
      </c>
    </row>
  </sheetData>
  <autoFilter ref="A1:G937" xr:uid="{00000000-0009-0000-0000-000007000000}"/>
  <conditionalFormatting sqref="B1:B1048576">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A15"/>
  <sheetViews>
    <sheetView workbookViewId="0"/>
  </sheetViews>
  <sheetFormatPr defaultColWidth="9.140625" defaultRowHeight="12.95"/>
  <cols>
    <col min="1" max="1" width="182.140625" style="47" bestFit="1" customWidth="1"/>
    <col min="2" max="16384" width="9.140625" style="47"/>
  </cols>
  <sheetData>
    <row r="1" spans="1:1">
      <c r="A1" s="48" t="s">
        <v>575</v>
      </c>
    </row>
    <row r="2" spans="1:1">
      <c r="A2" s="47" t="s">
        <v>576</v>
      </c>
    </row>
    <row r="3" spans="1:1">
      <c r="A3" s="47" t="s">
        <v>577</v>
      </c>
    </row>
    <row r="4" spans="1:1">
      <c r="A4" s="47" t="s">
        <v>578</v>
      </c>
    </row>
    <row r="5" spans="1:1">
      <c r="A5" s="47" t="s">
        <v>579</v>
      </c>
    </row>
    <row r="6" spans="1:1">
      <c r="A6" s="47" t="s">
        <v>580</v>
      </c>
    </row>
    <row r="7" spans="1:1">
      <c r="A7" s="47" t="s">
        <v>581</v>
      </c>
    </row>
    <row r="8" spans="1:1">
      <c r="A8" s="47" t="s">
        <v>582</v>
      </c>
    </row>
    <row r="9" spans="1:1">
      <c r="A9" s="47" t="s">
        <v>583</v>
      </c>
    </row>
    <row r="10" spans="1:1">
      <c r="A10" s="47" t="s">
        <v>584</v>
      </c>
    </row>
    <row r="11" spans="1:1">
      <c r="A11" s="47" t="s">
        <v>585</v>
      </c>
    </row>
    <row r="12" spans="1:1">
      <c r="A12" s="47" t="s">
        <v>586</v>
      </c>
    </row>
    <row r="13" spans="1:1">
      <c r="A13" s="47" t="s">
        <v>587</v>
      </c>
    </row>
    <row r="14" spans="1:1">
      <c r="A14" s="47" t="s">
        <v>588</v>
      </c>
    </row>
    <row r="15" spans="1:1">
      <c r="A15" s="47" t="s">
        <v>589</v>
      </c>
    </row>
  </sheetData>
  <sortState xmlns:xlrd2="http://schemas.microsoft.com/office/spreadsheetml/2017/richdata2" ref="A2:A15">
    <sortCondition ref="A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79EB969C-98EF-4829-BF7C-86661B20532E}"/>
</file>

<file path=customXml/itemProps2.xml><?xml version="1.0" encoding="utf-8"?>
<ds:datastoreItem xmlns:ds="http://schemas.openxmlformats.org/officeDocument/2006/customXml" ds:itemID="{92C3E311-336C-4E9E-A9DC-83B276C29557}"/>
</file>

<file path=customXml/itemProps3.xml><?xml version="1.0" encoding="utf-8"?>
<ds:datastoreItem xmlns:ds="http://schemas.openxmlformats.org/officeDocument/2006/customXml" ds:itemID="{86A232BD-D273-42F6-9A51-0811F3D48B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DeCasien</dc:creator>
  <cp:keywords/>
  <dc:description/>
  <cp:lastModifiedBy>Alexandra de Sousa</cp:lastModifiedBy>
  <cp:revision/>
  <dcterms:created xsi:type="dcterms:W3CDTF">2018-09-09T17:06:15Z</dcterms:created>
  <dcterms:modified xsi:type="dcterms:W3CDTF">2024-03-22T00:00:55Z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