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18"/>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____Brain_structure_volumes/"/>
    </mc:Choice>
  </mc:AlternateContent>
  <xr:revisionPtr revIDLastSave="3" documentId="11_9E7AEA465CE2A27D30FE570E661FECA6346F9334" xr6:coauthVersionLast="47" xr6:coauthVersionMax="47" xr10:uidLastSave="{AA202BD4-9AC7-44B6-AD35-0CD67B8D1431}"/>
  <bookViews>
    <workbookView xWindow="36120" yWindow="-7080" windowWidth="36840" windowHeight="21100" xr2:uid="{00000000-000D-0000-FFFF-FFFF00000000}"/>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author>
  </authors>
  <commentList>
    <comment ref="F1" authorId="0" shapeId="0" xr:uid="{00000000-0006-0000-0000-000001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G1" authorId="0" shapeId="0" xr:uid="{00000000-0006-0000-0000-000002000000}">
      <text>
        <r>
          <rPr>
            <b/>
            <sz val="9"/>
            <color indexed="81"/>
            <rFont val="Tahoma"/>
            <family val="2"/>
          </rPr>
          <t>Alex:</t>
        </r>
        <r>
          <rPr>
            <sz val="9"/>
            <color indexed="81"/>
            <rFont val="Tahoma"/>
            <family val="2"/>
          </rPr>
          <t xml:space="preserve">
grey = removed
see notes (column A and following tab)</t>
        </r>
      </text>
    </comment>
    <comment ref="H1" authorId="0" shapeId="0" xr:uid="{00000000-0006-0000-0000-000003000000}">
      <text>
        <r>
          <rPr>
            <b/>
            <sz val="9"/>
            <color indexed="81"/>
            <rFont val="Tahoma"/>
            <family val="2"/>
          </rPr>
          <t>Alex:</t>
        </r>
        <r>
          <rPr>
            <sz val="9"/>
            <color indexed="81"/>
            <rFont val="Tahoma"/>
            <family val="2"/>
          </rPr>
          <t xml:space="preserve">
grey = removed
see notes (column A and following tab)</t>
        </r>
      </text>
    </comment>
    <comment ref="I1" authorId="0" shapeId="0" xr:uid="{00000000-0006-0000-0000-000004000000}">
      <text>
        <r>
          <rPr>
            <b/>
            <sz val="9"/>
            <color indexed="81"/>
            <rFont val="Tahoma"/>
            <family val="2"/>
          </rPr>
          <t>Alex:</t>
        </r>
        <r>
          <rPr>
            <sz val="9"/>
            <color indexed="81"/>
            <rFont val="Tahoma"/>
            <family val="2"/>
          </rPr>
          <t xml:space="preserve">
grey = removed
see notes (column A and following tab)</t>
        </r>
      </text>
    </comment>
    <comment ref="J1" authorId="0" shapeId="0" xr:uid="{00000000-0006-0000-0000-000005000000}">
      <text>
        <r>
          <rPr>
            <b/>
            <sz val="9"/>
            <color indexed="81"/>
            <rFont val="Tahoma"/>
            <family val="2"/>
          </rPr>
          <t>Alex:</t>
        </r>
        <r>
          <rPr>
            <sz val="9"/>
            <color indexed="81"/>
            <rFont val="Tahoma"/>
            <family val="2"/>
          </rPr>
          <t xml:space="preserve">
grey = removed
see notes (column A and following tab)</t>
        </r>
      </text>
    </comment>
    <comment ref="K1" authorId="0" shapeId="0" xr:uid="{00000000-0006-0000-0000-000006000000}">
      <text>
        <r>
          <rPr>
            <b/>
            <sz val="9"/>
            <color indexed="81"/>
            <rFont val="Tahoma"/>
            <family val="2"/>
          </rPr>
          <t>Alex:</t>
        </r>
        <r>
          <rPr>
            <sz val="9"/>
            <color indexed="81"/>
            <rFont val="Tahoma"/>
            <family val="2"/>
          </rPr>
          <t xml:space="preserve">
grey = removed
see notes (column A and following tab)</t>
        </r>
      </text>
    </comment>
    <comment ref="L1" authorId="0" shapeId="0" xr:uid="{00000000-0006-0000-0000-000007000000}">
      <text>
        <r>
          <rPr>
            <b/>
            <sz val="9"/>
            <color indexed="81"/>
            <rFont val="Tahoma"/>
            <family val="2"/>
          </rPr>
          <t>Alex:</t>
        </r>
        <r>
          <rPr>
            <sz val="9"/>
            <color indexed="81"/>
            <rFont val="Tahoma"/>
            <family val="2"/>
          </rPr>
          <t xml:space="preserve">
grey = removed
see notes (column A and following tab)</t>
        </r>
      </text>
    </comment>
    <comment ref="M1" authorId="0" shapeId="0" xr:uid="{00000000-0006-0000-0000-000008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N1" authorId="0" shapeId="0" xr:uid="{00000000-0006-0000-0000-000009000000}">
      <text>
        <r>
          <rPr>
            <b/>
            <sz val="9"/>
            <color indexed="81"/>
            <rFont val="Tahoma"/>
            <family val="2"/>
          </rPr>
          <t>Alex:</t>
        </r>
        <r>
          <rPr>
            <sz val="9"/>
            <color indexed="81"/>
            <rFont val="Tahoma"/>
            <family val="2"/>
          </rPr>
          <t xml:space="preserve">
grey = removed
see notes (column A and following tab)</t>
        </r>
      </text>
    </comment>
    <comment ref="O1" authorId="0" shapeId="0" xr:uid="{00000000-0006-0000-0000-00000A000000}">
      <text>
        <r>
          <rPr>
            <b/>
            <sz val="9"/>
            <color indexed="81"/>
            <rFont val="Tahoma"/>
            <family val="2"/>
          </rPr>
          <t>Alex:</t>
        </r>
        <r>
          <rPr>
            <sz val="9"/>
            <color indexed="81"/>
            <rFont val="Tahoma"/>
            <family val="2"/>
          </rPr>
          <t xml:space="preserve">
grey = removed
see notes (column A and following tab)</t>
        </r>
      </text>
    </comment>
    <comment ref="P1" authorId="0" shapeId="0" xr:uid="{00000000-0006-0000-0000-00000B000000}">
      <text>
        <r>
          <rPr>
            <b/>
            <sz val="9"/>
            <color indexed="81"/>
            <rFont val="Tahoma"/>
            <family val="2"/>
          </rPr>
          <t>Alex:</t>
        </r>
        <r>
          <rPr>
            <sz val="9"/>
            <color indexed="81"/>
            <rFont val="Tahoma"/>
            <family val="2"/>
          </rPr>
          <t xml:space="preserve">
grey = removed
see notes (column A and following tab)</t>
        </r>
      </text>
    </comment>
    <comment ref="Q1" authorId="0" shapeId="0" xr:uid="{00000000-0006-0000-0000-00000C000000}">
      <text>
        <r>
          <rPr>
            <b/>
            <sz val="9"/>
            <color indexed="81"/>
            <rFont val="Tahoma"/>
            <family val="2"/>
          </rPr>
          <t>Alex:</t>
        </r>
        <r>
          <rPr>
            <sz val="9"/>
            <color indexed="81"/>
            <rFont val="Tahoma"/>
            <family val="2"/>
          </rPr>
          <t xml:space="preserve">
grey = removed
see notes (column A and following tab)</t>
        </r>
      </text>
    </comment>
    <comment ref="R1" authorId="0" shapeId="0" xr:uid="{00000000-0006-0000-0000-00000D000000}">
      <text>
        <r>
          <rPr>
            <b/>
            <sz val="9"/>
            <color indexed="81"/>
            <rFont val="Tahoma"/>
            <family val="2"/>
          </rPr>
          <t>Alex:</t>
        </r>
        <r>
          <rPr>
            <sz val="9"/>
            <color indexed="81"/>
            <rFont val="Tahoma"/>
            <family val="2"/>
          </rPr>
          <t xml:space="preserve">
grey = removed
see notes (column A and following tab)</t>
        </r>
      </text>
    </comment>
    <comment ref="S1" authorId="0" shapeId="0" xr:uid="{00000000-0006-0000-0000-00000E000000}">
      <text>
        <r>
          <rPr>
            <b/>
            <sz val="9"/>
            <color indexed="81"/>
            <rFont val="Tahoma"/>
            <family val="2"/>
          </rPr>
          <t>Alex:</t>
        </r>
        <r>
          <rPr>
            <sz val="9"/>
            <color indexed="81"/>
            <rFont val="Tahoma"/>
            <family val="2"/>
          </rPr>
          <t xml:space="preserve">
grey = removed
see notes (column A and following tab)</t>
        </r>
      </text>
    </comment>
    <comment ref="T1" authorId="0" shapeId="0" xr:uid="{00000000-0006-0000-0000-00000F000000}">
      <text>
        <r>
          <rPr>
            <b/>
            <sz val="9"/>
            <color indexed="81"/>
            <rFont val="Tahoma"/>
            <family val="2"/>
          </rPr>
          <t>Alex:</t>
        </r>
        <r>
          <rPr>
            <sz val="9"/>
            <color indexed="81"/>
            <rFont val="Tahoma"/>
            <family val="2"/>
          </rPr>
          <t xml:space="preserve">
grey = removed
see notes (column A and following tab)</t>
        </r>
      </text>
    </comment>
    <comment ref="U1" authorId="0" shapeId="0" xr:uid="{00000000-0006-0000-0000-000010000000}">
      <text>
        <r>
          <rPr>
            <b/>
            <sz val="9"/>
            <color indexed="81"/>
            <rFont val="Tahoma"/>
            <family val="2"/>
          </rPr>
          <t>Alex:</t>
        </r>
        <r>
          <rPr>
            <sz val="9"/>
            <color indexed="81"/>
            <rFont val="Tahoma"/>
            <family val="2"/>
          </rPr>
          <t xml:space="preserve">
grey = removed
see notes (column A and following tab)</t>
        </r>
      </text>
    </comment>
    <comment ref="V1" authorId="0" shapeId="0" xr:uid="{00000000-0006-0000-0000-000011000000}">
      <text>
        <r>
          <rPr>
            <b/>
            <sz val="9"/>
            <color indexed="81"/>
            <rFont val="Tahoma"/>
            <family val="2"/>
          </rPr>
          <t>Alex:</t>
        </r>
        <r>
          <rPr>
            <sz val="9"/>
            <color indexed="81"/>
            <rFont val="Tahoma"/>
            <family val="2"/>
          </rPr>
          <t xml:space="preserve">
grey = removed
see notes (column A and following tab)</t>
        </r>
      </text>
    </comment>
    <comment ref="W1" authorId="0" shapeId="0" xr:uid="{00000000-0006-0000-0000-000012000000}">
      <text>
        <r>
          <rPr>
            <b/>
            <sz val="9"/>
            <color indexed="81"/>
            <rFont val="Tahoma"/>
            <family val="2"/>
          </rPr>
          <t>Alex:</t>
        </r>
        <r>
          <rPr>
            <sz val="9"/>
            <color indexed="81"/>
            <rFont val="Tahoma"/>
            <family val="2"/>
          </rPr>
          <t xml:space="preserve">
grey = removed
see notes (column A and following tab)</t>
        </r>
      </text>
    </comment>
    <comment ref="X1" authorId="0" shapeId="0" xr:uid="{00000000-0006-0000-0000-000013000000}">
      <text>
        <r>
          <rPr>
            <b/>
            <sz val="9"/>
            <color indexed="81"/>
            <rFont val="Tahoma"/>
            <family val="2"/>
          </rPr>
          <t>Alex:</t>
        </r>
        <r>
          <rPr>
            <sz val="9"/>
            <color indexed="81"/>
            <rFont val="Tahoma"/>
            <family val="2"/>
          </rPr>
          <t xml:space="preserve">
grey = removed
see notes (column A and following tab)</t>
        </r>
      </text>
    </comment>
    <comment ref="Y1" authorId="0" shapeId="0" xr:uid="{00000000-0006-0000-0000-000014000000}">
      <text>
        <r>
          <rPr>
            <b/>
            <sz val="9"/>
            <color indexed="81"/>
            <rFont val="Tahoma"/>
            <family val="2"/>
          </rPr>
          <t>Alex:</t>
        </r>
        <r>
          <rPr>
            <sz val="9"/>
            <color indexed="81"/>
            <rFont val="Tahoma"/>
            <family val="2"/>
          </rPr>
          <t xml:space="preserve">
grey = removed
see notes (column A and following tab)</t>
        </r>
      </text>
    </comment>
    <comment ref="Z1" authorId="0" shapeId="0" xr:uid="{00000000-0006-0000-0000-000015000000}">
      <text>
        <r>
          <rPr>
            <b/>
            <sz val="9"/>
            <color indexed="81"/>
            <rFont val="Tahoma"/>
            <family val="2"/>
          </rPr>
          <t>Alex:</t>
        </r>
        <r>
          <rPr>
            <sz val="9"/>
            <color indexed="81"/>
            <rFont val="Tahoma"/>
            <family val="2"/>
          </rPr>
          <t xml:space="preserve">
grey = removed
see notes (column A and following tab)</t>
        </r>
      </text>
    </comment>
    <comment ref="AA1" authorId="0" shapeId="0" xr:uid="{00000000-0006-0000-0000-000016000000}">
      <text>
        <r>
          <rPr>
            <b/>
            <sz val="9"/>
            <color indexed="81"/>
            <rFont val="Tahoma"/>
            <family val="2"/>
          </rPr>
          <t>Alex:</t>
        </r>
        <r>
          <rPr>
            <sz val="9"/>
            <color indexed="81"/>
            <rFont val="Tahoma"/>
            <family val="2"/>
          </rPr>
          <t xml:space="preserve">
grey = removed
see notes (column A and following tab)</t>
        </r>
      </text>
    </comment>
    <comment ref="AB1" authorId="0" shapeId="0" xr:uid="{00000000-0006-0000-0000-000017000000}">
      <text>
        <r>
          <rPr>
            <b/>
            <sz val="9"/>
            <color indexed="81"/>
            <rFont val="Tahoma"/>
            <family val="2"/>
          </rPr>
          <t>Alex:</t>
        </r>
        <r>
          <rPr>
            <sz val="9"/>
            <color indexed="81"/>
            <rFont val="Tahoma"/>
            <family val="2"/>
          </rPr>
          <t xml:space="preserve">
grey = removed
see notes (column A and following tab)</t>
        </r>
      </text>
    </comment>
    <comment ref="AC1" authorId="0" shapeId="0" xr:uid="{00000000-0006-0000-0000-000018000000}">
      <text>
        <r>
          <rPr>
            <b/>
            <sz val="9"/>
            <color indexed="81"/>
            <rFont val="Tahoma"/>
            <family val="2"/>
          </rPr>
          <t>Alex:</t>
        </r>
        <r>
          <rPr>
            <sz val="9"/>
            <color indexed="81"/>
            <rFont val="Tahoma"/>
            <family val="2"/>
          </rPr>
          <t xml:space="preserve">
grey = removed
see notes (column A and following tab)</t>
        </r>
      </text>
    </comment>
    <comment ref="AD1" authorId="0" shapeId="0" xr:uid="{00000000-0006-0000-0000-000019000000}">
      <text>
        <r>
          <rPr>
            <b/>
            <sz val="9"/>
            <color indexed="81"/>
            <rFont val="Tahoma"/>
            <family val="2"/>
          </rPr>
          <t>Alex:</t>
        </r>
        <r>
          <rPr>
            <sz val="9"/>
            <color indexed="81"/>
            <rFont val="Tahoma"/>
            <family val="2"/>
          </rPr>
          <t xml:space="preserve">
grey = removed
see notes (column A and following tab)</t>
        </r>
      </text>
    </comment>
    <comment ref="AE1" authorId="0" shapeId="0" xr:uid="{00000000-0006-0000-0000-00001A000000}">
      <text>
        <r>
          <rPr>
            <b/>
            <sz val="9"/>
            <color indexed="81"/>
            <rFont val="Tahoma"/>
            <family val="2"/>
          </rPr>
          <t>Alex:</t>
        </r>
        <r>
          <rPr>
            <sz val="9"/>
            <color indexed="81"/>
            <rFont val="Tahoma"/>
            <family val="2"/>
          </rPr>
          <t xml:space="preserve">
grey = removed
see notes (column A and following tab)</t>
        </r>
      </text>
    </comment>
    <comment ref="AF1" authorId="0" shapeId="0" xr:uid="{00000000-0006-0000-0000-00001B000000}">
      <text>
        <r>
          <rPr>
            <b/>
            <sz val="9"/>
            <color indexed="81"/>
            <rFont val="Tahoma"/>
            <family val="2"/>
          </rPr>
          <t>Alex:</t>
        </r>
        <r>
          <rPr>
            <sz val="9"/>
            <color indexed="81"/>
            <rFont val="Tahoma"/>
            <family val="2"/>
          </rPr>
          <t xml:space="preserve">
grey = removed
see notes (column A and following tab)</t>
        </r>
      </text>
    </comment>
    <comment ref="AG1" authorId="0" shapeId="0" xr:uid="{00000000-0006-0000-0000-00001C000000}">
      <text>
        <r>
          <rPr>
            <b/>
            <sz val="9"/>
            <color indexed="81"/>
            <rFont val="Tahoma"/>
            <family val="2"/>
          </rPr>
          <t>Alex:</t>
        </r>
        <r>
          <rPr>
            <sz val="9"/>
            <color indexed="81"/>
            <rFont val="Tahoma"/>
            <family val="2"/>
          </rPr>
          <t xml:space="preserve">
grey = removed
see notes (column A and following tab)</t>
        </r>
      </text>
    </comment>
    <comment ref="AH1" authorId="0" shapeId="0" xr:uid="{00000000-0006-0000-0000-00001D000000}">
      <text>
        <r>
          <rPr>
            <b/>
            <sz val="9"/>
            <color indexed="81"/>
            <rFont val="Tahoma"/>
            <family val="2"/>
          </rPr>
          <t>Alex:</t>
        </r>
        <r>
          <rPr>
            <sz val="9"/>
            <color indexed="81"/>
            <rFont val="Tahoma"/>
            <family val="2"/>
          </rPr>
          <t xml:space="preserve">
grey = removed
see notes (column A and following tab)</t>
        </r>
      </text>
    </comment>
    <comment ref="AI1" authorId="0" shapeId="0" xr:uid="{00000000-0006-0000-0000-00001E000000}">
      <text>
        <r>
          <rPr>
            <b/>
            <sz val="9"/>
            <color indexed="81"/>
            <rFont val="Tahoma"/>
            <family val="2"/>
          </rPr>
          <t>Alex:</t>
        </r>
        <r>
          <rPr>
            <sz val="9"/>
            <color indexed="81"/>
            <rFont val="Tahoma"/>
            <family val="2"/>
          </rPr>
          <t xml:space="preserve">
grey = removed
see notes (column A and following tab)</t>
        </r>
      </text>
    </comment>
    <comment ref="AJ1" authorId="0" shapeId="0" xr:uid="{00000000-0006-0000-0000-00001F000000}">
      <text>
        <r>
          <rPr>
            <b/>
            <sz val="9"/>
            <color indexed="81"/>
            <rFont val="Tahoma"/>
            <family val="2"/>
          </rPr>
          <t>Alex:</t>
        </r>
        <r>
          <rPr>
            <sz val="9"/>
            <color indexed="81"/>
            <rFont val="Tahoma"/>
            <family val="2"/>
          </rPr>
          <t xml:space="preserve">
grey = removed
see notes (column A and following tab)</t>
        </r>
      </text>
    </comment>
    <comment ref="AK1" authorId="0" shapeId="0" xr:uid="{00000000-0006-0000-0000-000020000000}">
      <text>
        <r>
          <rPr>
            <b/>
            <sz val="9"/>
            <color indexed="81"/>
            <rFont val="Tahoma"/>
            <family val="2"/>
          </rPr>
          <t>Alex:</t>
        </r>
        <r>
          <rPr>
            <sz val="9"/>
            <color indexed="81"/>
            <rFont val="Tahoma"/>
            <family val="2"/>
          </rPr>
          <t xml:space="preserve">
grey = removed
see notes (column A and following tab)</t>
        </r>
      </text>
    </comment>
    <comment ref="AL1" authorId="0" shapeId="0" xr:uid="{00000000-0006-0000-0000-00002100000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Alex</author>
    <author>Alex DeCasien</author>
  </authors>
  <commentList>
    <comment ref="B1" authorId="0" shapeId="0" xr:uid="{00000000-0006-0000-0700-000001000000}">
      <text>
        <r>
          <rPr>
            <b/>
            <sz val="9"/>
            <color indexed="81"/>
            <rFont val="Tahoma"/>
            <family val="2"/>
          </rPr>
          <t>Alex:</t>
        </r>
        <r>
          <rPr>
            <sz val="9"/>
            <color indexed="81"/>
            <rFont val="Tahoma"/>
            <family val="2"/>
          </rPr>
          <t xml:space="preserve">
duplicates highlighted in red</t>
        </r>
      </text>
    </comment>
    <comment ref="F1" authorId="1" shapeId="0" xr:uid="{00000000-0006-0000-0700-000002000000}">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shapeId="0" xr:uid="{00000000-0006-0000-0700-000003000000}">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<sst xmlns="http://schemas.openxmlformats.org/spreadsheetml/2006/main" count="4115" uniqueCount="590">
  <si>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Notes (re: gray cells; see next tab)</t>
  </si>
  <si>
    <t>Taxon</t>
  </si>
  <si>
    <t>References</t>
  </si>
  <si>
    <t>N</t>
  </si>
  <si>
    <t>BV</t>
  </si>
  <si>
    <t>Medulla</t>
  </si>
  <si>
    <t>Cerebellum</t>
  </si>
  <si>
    <t>Mesencephalon</t>
  </si>
  <si>
    <t>Diencephalon</t>
  </si>
  <si>
    <t>Telencephalon</t>
  </si>
  <si>
    <t>MOB</t>
  </si>
  <si>
    <t>AOB</t>
  </si>
  <si>
    <t>Piriform Lobe</t>
  </si>
  <si>
    <t>Septum</t>
  </si>
  <si>
    <t>Striatum</t>
  </si>
  <si>
    <t>Striatum (incl. NAcc)</t>
  </si>
  <si>
    <t>Schizocortex</t>
  </si>
  <si>
    <t>Hippocampus</t>
  </si>
  <si>
    <t>Neocortex (GM+WM)</t>
  </si>
  <si>
    <t>Neocortex (GM)</t>
  </si>
  <si>
    <t>Epithalamus</t>
  </si>
  <si>
    <t>Thalamus</t>
  </si>
  <si>
    <t>Hypothalamus</t>
  </si>
  <si>
    <t>Subthalamus</t>
  </si>
  <si>
    <t>Pallidum</t>
  </si>
  <si>
    <t>Subthalamic Nucleus</t>
  </si>
  <si>
    <t>Optic Tract</t>
  </si>
  <si>
    <t>V1 (GM)</t>
  </si>
  <si>
    <t>LGN</t>
  </si>
  <si>
    <t>Paleocortex</t>
  </si>
  <si>
    <t>Amygdala</t>
  </si>
  <si>
    <t>Vmo</t>
  </si>
  <si>
    <t>VII</t>
  </si>
  <si>
    <t>XII</t>
  </si>
  <si>
    <t>Granular Insula</t>
  </si>
  <si>
    <t>Dysgranular Insula</t>
  </si>
  <si>
    <t>Agranular Insula</t>
  </si>
  <si>
    <t>Insula (GM)</t>
  </si>
  <si>
    <t>Alouatta_caraya</t>
  </si>
  <si>
    <t>Alouatta_palliata</t>
  </si>
  <si>
    <t>54-55</t>
  </si>
  <si>
    <t>Alouatta_seniculus</t>
  </si>
  <si>
    <t>B</t>
  </si>
  <si>
    <t>24,51-52</t>
  </si>
  <si>
    <t>Aotus_trivirgatus</t>
  </si>
  <si>
    <t>Ateles_geoffroyi</t>
  </si>
  <si>
    <t>Ateles_paniscus</t>
  </si>
  <si>
    <t>Avahi_laniger</t>
  </si>
  <si>
    <t>Avahi_occidentalis</t>
  </si>
  <si>
    <t>Callicebus_moloch</t>
  </si>
  <si>
    <t>Callimico_goeldii</t>
  </si>
  <si>
    <t>Callithrix_jacchus</t>
  </si>
  <si>
    <t>Callithrix_pygmaea</t>
  </si>
  <si>
    <t>Cebus_albifrons</t>
  </si>
  <si>
    <t>Cebus_apella</t>
  </si>
  <si>
    <t>62-63</t>
  </si>
  <si>
    <t>Cercocebus_agilis</t>
  </si>
  <si>
    <t>Cercocebus_torquatus_atys</t>
  </si>
  <si>
    <t>Cercopithecus_ascanius</t>
  </si>
  <si>
    <t>Cercopithecus_mitis</t>
  </si>
  <si>
    <t>Cercopithecus_nictitans</t>
  </si>
  <si>
    <t>Cheirogaleus_major</t>
  </si>
  <si>
    <t>Cheirogaleus_medius</t>
  </si>
  <si>
    <t>Colobus_angolensis</t>
  </si>
  <si>
    <t>Daubentonia_madagascariensis</t>
  </si>
  <si>
    <t>Erythrocebus_patas</t>
  </si>
  <si>
    <t>Eulemur_fulvus_fulvus</t>
  </si>
  <si>
    <t>Eulemur_mongoz</t>
  </si>
  <si>
    <t>Galago_senegalensis</t>
  </si>
  <si>
    <t>Galagoides_demidoff</t>
  </si>
  <si>
    <t>F</t>
  </si>
  <si>
    <t>Gorilla_beringei</t>
  </si>
  <si>
    <t>E</t>
  </si>
  <si>
    <t>Gorilla_gorilla_gorilla</t>
  </si>
  <si>
    <t>A,B,C,D</t>
  </si>
  <si>
    <t>56-57</t>
  </si>
  <si>
    <t>Gorilla_gorilla_graueri</t>
  </si>
  <si>
    <t>Hylobates_lar</t>
  </si>
  <si>
    <t xml:space="preserve">A,B </t>
  </si>
  <si>
    <t>Hylobates_muelleri</t>
  </si>
  <si>
    <t>Indri_indri</t>
  </si>
  <si>
    <t>Lagothrix_lagotricha</t>
  </si>
  <si>
    <t>Lemur_catta</t>
  </si>
  <si>
    <t>Leontopithecus_rosalia</t>
  </si>
  <si>
    <t>Lepilemur_ruficaudatus</t>
  </si>
  <si>
    <t>Lophocebus_albigena</t>
  </si>
  <si>
    <t>Loris_tardigradus</t>
  </si>
  <si>
    <t>Macaca_fascicularis</t>
  </si>
  <si>
    <t>Macaca_maura</t>
  </si>
  <si>
    <t>Macaca_mulatta</t>
  </si>
  <si>
    <t>Mandrillus_sphinx</t>
  </si>
  <si>
    <t>Microcebus_murinus</t>
  </si>
  <si>
    <t>Miopithecus_talapoin</t>
  </si>
  <si>
    <t>Nasalis_larvatus</t>
  </si>
  <si>
    <t>Nomascus_concolor</t>
  </si>
  <si>
    <t>Nycticebus_coucang</t>
  </si>
  <si>
    <t>Otolemur_crassicaudatus</t>
  </si>
  <si>
    <t>Pan_paniscus</t>
  </si>
  <si>
    <t>Pan_troglodytes_troglodytes</t>
  </si>
  <si>
    <t>Papio_anubis</t>
  </si>
  <si>
    <t>Papio_cynocephalus</t>
  </si>
  <si>
    <t>Papio_hamadryas</t>
  </si>
  <si>
    <t>Perodicticus_potto</t>
  </si>
  <si>
    <t>Piliocolobus_badius</t>
  </si>
  <si>
    <t>Pithecia_monachus</t>
  </si>
  <si>
    <t>Pithecia_pithecia</t>
  </si>
  <si>
    <t>Pongo_abelii</t>
  </si>
  <si>
    <t>Pongo_pygmaeus</t>
  </si>
  <si>
    <t>Propithecus_verreauxi</t>
  </si>
  <si>
    <t>Pygathrix_nemaeus</t>
  </si>
  <si>
    <t>Saguinus_geoffroyi</t>
  </si>
  <si>
    <t>Saguinus_midas</t>
  </si>
  <si>
    <t>Saguinus_oedipus</t>
  </si>
  <si>
    <t>Saimiri_sciureus</t>
  </si>
  <si>
    <t>Semnopithecus_entellus</t>
  </si>
  <si>
    <t>Symphalangus_syndactylus</t>
  </si>
  <si>
    <t>Tarsius_syrichta</t>
  </si>
  <si>
    <t>Trachypithecus_francoisi</t>
  </si>
  <si>
    <t>Varecia_variegata_variegata</t>
  </si>
  <si>
    <t>A</t>
  </si>
  <si>
    <t>Removed cerebellum, replaced with measurement from [61]</t>
  </si>
  <si>
    <t>Removed medulla, replaced with measurement from [53]</t>
  </si>
  <si>
    <t>C</t>
  </si>
  <si>
    <t>Removed neocortex, replaced with measurement from [60]</t>
  </si>
  <si>
    <t>D</t>
  </si>
  <si>
    <t>Removed LGN, replaced with measurement from [60]</t>
  </si>
  <si>
    <t>Did not use V1 measurement, replaced with measurement from [60]</t>
  </si>
  <si>
    <t>Did not use cerebellum, neocortex, striatum, or hippocampus measurements, replaced with measurements from [65]</t>
  </si>
  <si>
    <t>Activity Period</t>
  </si>
  <si>
    <t>Notes</t>
  </si>
  <si>
    <t>Diurnal</t>
  </si>
  <si>
    <t>Nocturnal/Cathemeral</t>
  </si>
  <si>
    <t>69; 72</t>
  </si>
  <si>
    <t>origin/classification of these specimens is uncertain; A. a. azarai is cathemeral [71]</t>
  </si>
  <si>
    <t>Nocturnal</t>
  </si>
  <si>
    <t>Cathemeral</t>
  </si>
  <si>
    <t>Genus-level</t>
  </si>
  <si>
    <t>Diet</t>
  </si>
  <si>
    <t>Reference from 38 (see last tab)</t>
  </si>
  <si>
    <t>Folivore</t>
  </si>
  <si>
    <t>Plavcan &amp; van Schaik 1997</t>
  </si>
  <si>
    <t>Frugivore</t>
  </si>
  <si>
    <t>Kappeler &amp; Heymann 1996</t>
  </si>
  <si>
    <t>Omnivore</t>
  </si>
  <si>
    <t>Frugivore in [38]; Updated here following [68]</t>
  </si>
  <si>
    <t>Shah 2003</t>
  </si>
  <si>
    <t>Frugivore/folivore in [38]</t>
  </si>
  <si>
    <t>Rothman et al. 2007</t>
  </si>
  <si>
    <t>Fox et al. 2004</t>
  </si>
  <si>
    <t>DQI</t>
  </si>
  <si>
    <t>% plant structural parts</t>
  </si>
  <si>
    <t>% plant reproductive parts</t>
  </si>
  <si>
    <t>% animal prey in the diet</t>
  </si>
  <si>
    <t>NA</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</si>
  <si>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</si>
  <si>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</si>
  <si>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</si>
  <si>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</si>
  <si>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</si>
  <si>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G. moholi</t>
  </si>
  <si>
    <t>90-91</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</si>
  <si>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</si>
  <si>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</si>
  <si>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</si>
  <si>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</si>
  <si>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</si>
  <si>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T. bancanus</t>
  </si>
  <si>
    <t>V. v. rubra</t>
  </si>
  <si>
    <t>Ref [94]</t>
  </si>
  <si>
    <t>Ref [38]</t>
  </si>
  <si>
    <t>Social System</t>
  </si>
  <si>
    <t>System Notes</t>
  </si>
  <si>
    <t>UM, MMMF</t>
  </si>
  <si>
    <t>Polygynandry</t>
  </si>
  <si>
    <t>Group</t>
  </si>
  <si>
    <t>PL</t>
  </si>
  <si>
    <t>Pair</t>
  </si>
  <si>
    <t>MMMF</t>
  </si>
  <si>
    <t>PL, UM, MMMF</t>
  </si>
  <si>
    <t>Polymorphic; use designation in [38]: 2/3 sources = monogamous/polyandrous</t>
  </si>
  <si>
    <t>Polymorphic; use designation in [38]: 3/3 sources = monogamous/polyandrous</t>
  </si>
  <si>
    <t>Polymorphic; use designation in [38]: 5/5 sources = monogamous/polyandrous</t>
  </si>
  <si>
    <t>Polygyny</t>
  </si>
  <si>
    <t>UM</t>
  </si>
  <si>
    <t xml:space="preserve">S </t>
  </si>
  <si>
    <t>Solitary</t>
  </si>
  <si>
    <t>S, PL</t>
  </si>
  <si>
    <t>Males and females sleep together; dispersed monogamy [96]</t>
  </si>
  <si>
    <t>Polymorphic; use designation in [38]: 3/3 sources = polygynous/polygynandrous</t>
  </si>
  <si>
    <t>S</t>
  </si>
  <si>
    <t>PL, MMMF</t>
  </si>
  <si>
    <t>Polymorphic; use designation in [38]: 2/4 sources = monogamous</t>
  </si>
  <si>
    <t>S, UM</t>
  </si>
  <si>
    <t>Females sleep together; males sometimes join groups of females; dispersed multimale [96]</t>
  </si>
  <si>
    <t>S, PL, UM</t>
  </si>
  <si>
    <t>21% of time is spent in pairs [97]</t>
  </si>
  <si>
    <t>Polymorphic; use designation in [38]: 1/1 sources = monogamous</t>
  </si>
  <si>
    <t>Sleeping associations comprised of female with offspring and 1 male [98]</t>
  </si>
  <si>
    <t>S, MMMF</t>
  </si>
  <si>
    <t>Adult pairs sleep together [96]</t>
  </si>
  <si>
    <t>Occur primarily in two-adult groups throughout their range [99]</t>
  </si>
  <si>
    <t>Solitary/Group</t>
  </si>
  <si>
    <t>Analyses repeated</t>
  </si>
  <si>
    <t>Polymorphic; use designation in [38]: 6/6 sources = polygynous/polygynandrous</t>
  </si>
  <si>
    <t>Group-living with fission-fusion dynamics [100]; follow designation in [94]</t>
  </si>
  <si>
    <t>Mean Group Size</t>
  </si>
  <si>
    <t>First or Duplicate Entry?</t>
  </si>
  <si>
    <t>KEY (species name &amp; group size) _duplicates in red</t>
  </si>
  <si>
    <t>Group Size</t>
  </si>
  <si>
    <t>Source(s) in reference from 38</t>
  </si>
  <si>
    <t>Allenopithecus_nigroviridis</t>
  </si>
  <si>
    <t>Rowe 1996</t>
  </si>
  <si>
    <t>Smuts et al. 1987</t>
  </si>
  <si>
    <t>Clutton-Brock &amp; Harvey 1997</t>
  </si>
  <si>
    <t>Kudo &amp; Dunbar 2001</t>
  </si>
  <si>
    <t>Jones 1983; Neville 1983</t>
  </si>
  <si>
    <t>Wrangham et al. 1993</t>
  </si>
  <si>
    <t>Crockett &amp; Eisenberg 1986</t>
  </si>
  <si>
    <t>Dunbar 1991</t>
  </si>
  <si>
    <t>Richard 1970</t>
  </si>
  <si>
    <t>Patterson et al. 2014</t>
  </si>
  <si>
    <t>Stoner 1996</t>
  </si>
  <si>
    <t>Patterson et al. supplementary material; from Majolo et al. 2008</t>
  </si>
  <si>
    <t>Chivers 1969</t>
  </si>
  <si>
    <t>Heltne et al. 1976</t>
  </si>
  <si>
    <t>Patterson et al. supplementary material; from van Schaik &amp; Hörstermann 1994</t>
  </si>
  <si>
    <t>Patterson et al. supplementary material; from Janson &amp; Goldsmith 1995</t>
  </si>
  <si>
    <t>Crockett &amp; Eisenberg 1987</t>
  </si>
  <si>
    <t>Patterson et al. supplementary material; from Chapman &amp; Chapman 2000</t>
  </si>
  <si>
    <t>Fedigan et al. 1985</t>
  </si>
  <si>
    <t>Smith 1977</t>
  </si>
  <si>
    <t>Ford 2010</t>
  </si>
  <si>
    <t>Clarke et al. 1986</t>
  </si>
  <si>
    <t>Lippold 1988</t>
  </si>
  <si>
    <t>Chivers 1969; Eisenberg &amp; Thorington 1973; Jolly 1972</t>
  </si>
  <si>
    <t>Patterson et al. supplementary material; from Clutton-Brock &amp; Harvey 1977b</t>
  </si>
  <si>
    <t xml:space="preserve">Milton 1980 </t>
  </si>
  <si>
    <t>Carpenter 1934</t>
  </si>
  <si>
    <t>Carpenter 1962</t>
  </si>
  <si>
    <t>Patterson et al. supplementary material; from Beauchamp &amp; Cabana 1990</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</si>
  <si>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</si>
  <si>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</si>
  <si>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</si>
  <si>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</si>
  <si>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</si>
  <si>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</si>
  <si>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</si>
  <si>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</si>
  <si>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</si>
  <si>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</si>
  <si>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</si>
  <si>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</si>
  <si>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</si>
  <si>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</si>
  <si>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</si>
  <si>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</si>
  <si>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</si>
  <si>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</si>
  <si>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</si>
  <si>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</si>
  <si>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</si>
  <si>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</si>
  <si>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</si>
  <si>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</si>
  <si>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</si>
  <si>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</si>
  <si>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</si>
  <si>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</si>
  <si>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</si>
  <si>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</si>
  <si>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</si>
  <si>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</si>
  <si>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</si>
  <si>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</si>
  <si>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</si>
  <si>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</si>
  <si>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Maclean et al. 2009</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</si>
  <si>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</si>
  <si>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</si>
  <si>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</si>
  <si>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</si>
  <si>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</si>
  <si>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</si>
  <si>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</si>
  <si>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</si>
  <si>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</si>
  <si>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</si>
  <si>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</si>
  <si>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</si>
  <si>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</si>
  <si>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</si>
  <si>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</si>
  <si>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</si>
  <si>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</si>
  <si>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</si>
  <si>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Eisenberg &amp; Redford 1992</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</si>
  <si>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</si>
  <si>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</si>
  <si>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</si>
  <si>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</si>
  <si>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</si>
  <si>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</si>
  <si>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</si>
  <si>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</si>
  <si>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</si>
  <si>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</si>
  <si>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</si>
  <si>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</si>
  <si>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</si>
  <si>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</si>
  <si>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</si>
  <si>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</si>
  <si>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</si>
  <si>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</si>
  <si>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</si>
  <si>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</si>
  <si>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</si>
  <si>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</si>
  <si>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</si>
  <si>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</si>
  <si>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</si>
  <si>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</si>
  <si>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</si>
  <si>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</si>
  <si>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</si>
  <si>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</si>
  <si>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</si>
  <si>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</si>
  <si>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</si>
  <si>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</si>
  <si>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Patterson et al. supplementary material; from Hill &amp; Lee 1998</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</si>
  <si>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</si>
  <si>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</si>
  <si>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</si>
  <si>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</si>
  <si>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</si>
  <si>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</si>
  <si>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</si>
  <si>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</si>
  <si>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</si>
  <si>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</si>
  <si>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</si>
  <si>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</si>
  <si>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</si>
  <si>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</si>
  <si>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</si>
  <si>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</si>
  <si>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</si>
  <si>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</si>
  <si>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</si>
  <si>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</si>
  <si>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</si>
  <si>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</si>
  <si>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</si>
  <si>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</si>
  <si>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</si>
  <si>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</si>
  <si>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</si>
  <si>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</si>
  <si>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</si>
  <si>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</si>
  <si>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</si>
  <si>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</si>
  <si>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</si>
  <si>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</si>
  <si>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</si>
  <si>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</si>
  <si>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</si>
  <si>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</si>
  <si>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</si>
  <si>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</si>
  <si>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</si>
  <si>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</si>
  <si>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</si>
  <si>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</si>
  <si>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</si>
  <si>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</si>
  <si>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</si>
  <si>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</si>
  <si>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</si>
  <si>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</si>
  <si>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</si>
  <si>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</si>
  <si>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</si>
  <si>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</si>
  <si>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</si>
  <si>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</si>
  <si>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</si>
  <si>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</si>
  <si>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</si>
  <si>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</si>
  <si>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</si>
  <si>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</si>
  <si>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</si>
  <si>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Patterson et al. supplementary material; from Clutton-Brock &amp; Harvey 1977b; G. beringei (exclude)</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</si>
  <si>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</si>
  <si>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</si>
  <si>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</si>
  <si>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</si>
  <si>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</si>
  <si>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</si>
  <si>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</si>
  <si>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</si>
  <si>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</si>
  <si>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</si>
  <si>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</si>
  <si>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</si>
  <si>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</si>
  <si>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</si>
  <si>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</si>
  <si>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</si>
  <si>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</si>
  <si>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</si>
  <si>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</si>
  <si>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</si>
  <si>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</si>
  <si>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</si>
  <si>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</si>
  <si>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</si>
  <si>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</si>
  <si>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</si>
  <si>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</si>
  <si>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</si>
  <si>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</si>
  <si>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</si>
  <si>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</si>
  <si>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</si>
  <si>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</si>
  <si>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</si>
  <si>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</si>
  <si>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</si>
  <si>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</si>
  <si>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</si>
  <si>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</si>
  <si>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</si>
  <si>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</si>
  <si>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</si>
  <si>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</si>
  <si>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</si>
  <si>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</si>
  <si>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</si>
  <si>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</si>
  <si>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</si>
  <si>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</si>
  <si>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</si>
  <si>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</si>
  <si>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</si>
  <si>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</si>
  <si>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</si>
  <si>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</si>
  <si>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</si>
  <si>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</si>
  <si>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</si>
  <si>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</si>
  <si>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</si>
  <si>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</si>
  <si>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</si>
  <si>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</si>
  <si>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</si>
  <si>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</si>
  <si>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</si>
  <si>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</si>
  <si>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</si>
  <si>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</si>
  <si>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</si>
  <si>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</si>
  <si>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</si>
  <si>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</si>
  <si>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</si>
  <si>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</si>
  <si>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</si>
  <si>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</si>
  <si>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</si>
  <si>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</si>
  <si>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</si>
  <si>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</si>
  <si>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</si>
  <si>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</si>
  <si>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</si>
  <si>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</si>
  <si>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</si>
  <si>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</si>
  <si>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</si>
  <si>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</si>
  <si>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</si>
  <si>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</si>
  <si>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</si>
  <si>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</si>
  <si>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</si>
  <si>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</si>
  <si>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</si>
  <si>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</si>
  <si>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</si>
  <si>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</si>
  <si>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</si>
  <si>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</si>
  <si>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</si>
  <si>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</si>
  <si>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</si>
  <si>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</si>
  <si>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</si>
  <si>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</si>
  <si>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</si>
  <si>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</si>
  <si>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</si>
  <si>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</si>
  <si>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</si>
  <si>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</si>
  <si>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</si>
  <si>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</si>
  <si>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</si>
  <si>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</si>
  <si>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</si>
  <si>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</si>
  <si>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</si>
  <si>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</si>
  <si>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</si>
  <si>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</si>
  <si>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</si>
  <si>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</si>
  <si>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</si>
  <si>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</si>
  <si>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</si>
  <si>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</si>
  <si>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</si>
  <si>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</si>
  <si>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</si>
  <si>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</si>
  <si>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</si>
  <si>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</si>
  <si>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</si>
  <si>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</si>
  <si>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</si>
  <si>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</si>
  <si>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</si>
  <si>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</si>
  <si>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</si>
  <si>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</si>
  <si>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</si>
  <si>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</si>
  <si>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</si>
  <si>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</si>
  <si>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</si>
  <si>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</si>
  <si>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</si>
  <si>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</si>
  <si>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</si>
  <si>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</si>
  <si>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</si>
  <si>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</si>
  <si>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</si>
  <si>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</si>
  <si>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</si>
  <si>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</si>
  <si>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</si>
  <si>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</si>
  <si>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</si>
  <si>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</si>
  <si>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</si>
  <si>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</si>
  <si>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</si>
  <si>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</si>
  <si>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</si>
  <si>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</si>
  <si>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</si>
  <si>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</si>
  <si>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</si>
  <si>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</si>
  <si>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</si>
  <si>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</si>
  <si>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</si>
  <si>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</si>
  <si>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</si>
  <si>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</si>
  <si>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</si>
  <si>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References included in 38</t>
  </si>
  <si>
    <t>Clutton‐Brock, T. H., Harvey, P. H. Primate ecology and social organization. J. Zoology 183, 1-39 (1977).</t>
  </si>
  <si>
    <t>Dunbar, R. I. M. Functional significance of social grooming in primates. Folia Primatol. 57, 121-131 (1991).</t>
  </si>
  <si>
    <t>Eisenberg, J. F., Redford, K. H. Mammals of the Neotropics, Volume 2: The Southern Cone: Chile, Argentina, Uruguay, Paraguay (University of Chicago Press, 1992).</t>
  </si>
  <si>
    <t>Fox, E. A., van Schaik, C. P., Sitompul, A., Wright, D. N. Intra‐and interpopulational differences in orangutan (Pongo pygmaeus) activity and diet: implications for the invention of tool use. Am. J. Phys. Anthropol. 125, 162-174 (2004).</t>
  </si>
  <si>
    <t>Kappeler, P. M., &amp; Heymann, E. W. (1996). Nonconvergence in the evolution of primate life history and socio-ecology. Biological Journal of the Linnean Society, 59(3), 297-326.</t>
  </si>
  <si>
    <t>Kudo, H., Dunbar, R. I. M. Neocortex size and social network size in primates. Animal Behaviour 62, 711-722 (2001).</t>
  </si>
  <si>
    <t>MacLean, E. L., Barrickman, N. L., Johnson, E. M., Wall, C. E. Sociality, ecology, and relative brain size in lemurs. Journal of Human Evolution 56, 471-478 (2009).</t>
  </si>
  <si>
    <t>Patterson, S. K., Sandel, A. A., Miller, J. A., Mitani, J. C. Data quality and the comparative method: the case of primate group size. Internat. J. Primatol. 35, 990-1003 (2014).</t>
  </si>
  <si>
    <t>Plavcan, J. M., &amp; Van Schaik, C. P. (1997). Intrasexual competition and body weight dimorphism in anthropoid primates. American Journal of Physical Anthropology: The Official Publication of the American Association of Physical Anthropologists, 103(1), 37-68.</t>
  </si>
  <si>
    <t>Rothman, J. M., Plumptre, A. J., Dierenfeld, E. S., Pell, A. N. Nutritional composition of the diet of the gorilla (Gorilla beringei): a comparison between two montane habitats. J. Tropical Ecol. 23, 673-682 (2007).</t>
  </si>
  <si>
    <t>Rowe, N. The Pictoral Guide to the Living Primates (Pogonias Press, 1996).</t>
  </si>
  <si>
    <t>Shah, N. F. Foraging strategies in the two sympatric mangabey species (Cercocebus agilis and Lophocebus albigena). PhD. Thesis, Stony Brook. (2003).</t>
  </si>
  <si>
    <t>Smuts, B. B., Cheney, D. L., Seyfarth, R. M., Wrangham, R. W. Primate societies (University of Chicago Press, 1987).</t>
  </si>
  <si>
    <t>Wrangham, R. W., Gittleman, J. L., Chapman, C. A. Constraints on group size in primates and carnivores: population density and day-range as assays of exploitation competition. Behav. Ecol. Sociobiol. 32, 199-209 (1993).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</si>
</sst>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15">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
      <b/>
      <sz val="9"/>
      <color rgb="FF000000"/>
      <name val="Tahoma"/>
      <family val="2"/>
    </font>
    <font>
      <sz val="9"/>
      <color rgb="FF000000"/>
      <name val="Tahoma"/>
      <family val="2"/>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4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Alignment="1">
      <alignment horizontal="center" vertical="center"/>
    </xf>
    <xf numFmtId="2" fontId="3" fillId="3" borderId="0" xfId="0" applyNumberFormat="1" applyFont="1" applyFill="1"/>
    <xf numFmtId="0" fontId="2" fillId="0" borderId="1" xfId="0" applyFont="1" applyBorder="1"/>
    <xf numFmtId="0" fontId="3" fillId="0" borderId="0" xfId="0" applyFont="1" applyAlignment="1">
      <alignment horizontal="left"/>
    </xf>
    <xf numFmtId="0" fontId="4" fillId="0" borderId="0" xfId="0"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left"/>
    </xf>
    <xf numFmtId="0" fontId="6" fillId="0" borderId="1" xfId="0" applyFont="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xf numFmtId="1" fontId="2" fillId="0" borderId="1" xfId="1" applyNumberFormat="1" applyFont="1" applyFill="1" applyBorder="1" applyAlignment="1">
      <alignment horizontal="center"/>
    </xf>
    <xf numFmtId="1" fontId="3" fillId="0" borderId="0" xfId="0" applyNumberFormat="1" applyFont="1" applyAlignment="1">
      <alignment horizontal="center"/>
    </xf>
    <xf numFmtId="1" fontId="3" fillId="0" borderId="0" xfId="0" applyNumberFormat="1" applyFont="1" applyAlignment="1">
      <alignment horizontal="left"/>
    </xf>
    <xf numFmtId="1" fontId="4" fillId="0" borderId="0" xfId="0" applyNumberFormat="1" applyFont="1" applyAlignment="1">
      <alignment horizontal="center"/>
    </xf>
    <xf numFmtId="0" fontId="6" fillId="0" borderId="1" xfId="0" applyFont="1" applyBorder="1"/>
    <xf numFmtId="164" fontId="6" fillId="0" borderId="1" xfId="1" applyNumberFormat="1" applyFont="1" applyFill="1" applyBorder="1" applyAlignment="1"/>
    <xf numFmtId="164" fontId="4" fillId="0" borderId="0" xfId="0" applyNumberFormat="1" applyFont="1" applyAlignment="1">
      <alignment horizontal="left"/>
    </xf>
    <xf numFmtId="164" fontId="4" fillId="0" borderId="0" xfId="0" applyNumberFormat="1" applyFont="1"/>
    <xf numFmtId="164" fontId="7" fillId="0" borderId="0" xfId="0" applyNumberFormat="1" applyFo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Border="1" applyAlignment="1">
      <alignment horizontal="center"/>
    </xf>
    <xf numFmtId="164" fontId="3" fillId="0" borderId="0" xfId="1" applyNumberFormat="1" applyFont="1" applyFill="1" applyAlignment="1">
      <alignment horizontal="center"/>
    </xf>
    <xf numFmtId="164" fontId="3" fillId="0" borderId="0" xfId="0" applyNumberFormat="1" applyFont="1" applyAlignment="1">
      <alignment horizontal="center"/>
    </xf>
    <xf numFmtId="164" fontId="3" fillId="0" borderId="0" xfId="0" applyNumberFormat="1" applyFont="1"/>
    <xf numFmtId="2" fontId="2" fillId="0" borderId="1" xfId="0" applyNumberFormat="1" applyFont="1" applyBorder="1" applyAlignment="1">
      <alignment horizontal="center"/>
    </xf>
    <xf numFmtId="2" fontId="3" fillId="0" borderId="0" xfId="0" applyNumberFormat="1" applyFont="1" applyAlignment="1">
      <alignment horizontal="left"/>
    </xf>
    <xf numFmtId="164" fontId="2" fillId="0" borderId="1" xfId="1" applyNumberFormat="1" applyFont="1" applyFill="1" applyBorder="1" applyAlignment="1">
      <alignment horizontal="center"/>
    </xf>
    <xf numFmtId="164" fontId="4" fillId="0" borderId="0" xfId="0" applyNumberFormat="1" applyFont="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5" fillId="0" borderId="0" xfId="0" applyFont="1"/>
    <xf numFmtId="11" fontId="3" fillId="0" borderId="0" xfId="0" applyNumberFormat="1" applyFont="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5" tint="0.39997558519241921"/>
  </sheetPr>
  <dimension ref="A1:AL400"/>
  <sheetViews>
    <sheetView tabSelected="1" zoomScaleNormal="100" workbookViewId="0">
      <pane xSplit="3" ySplit="1" topLeftCell="R316" activePane="bottomRight" state="frozen"/>
      <selection pane="bottomRight" activeCell="C326" sqref="C326"/>
      <selection pane="bottomLeft" activeCell="A2" sqref="A2"/>
      <selection pane="topRight" activeCell="D1" sqref="D1"/>
    </sheetView>
  </sheetViews>
  <sheetFormatPr defaultColWidth="8.7109375" defaultRowHeight="11.1"/>
  <cols>
    <col min="1" max="1" width="31.42578125" style="7" bestFit="1" customWidth="1"/>
    <col min="2" max="2" width="21.42578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42578125" style="6" bestFit="1" customWidth="1"/>
    <col min="22" max="22" width="10.42578125" style="6" bestFit="1" customWidth="1"/>
    <col min="23" max="23" width="14.140625" style="6" bestFit="1" customWidth="1"/>
    <col min="24" max="24" width="13.140625" style="6" bestFit="1" customWidth="1"/>
    <col min="25" max="25" width="9.42578125" style="6" bestFit="1" customWidth="1"/>
    <col min="26" max="26" width="18.140625" style="6" bestFit="1" customWidth="1"/>
    <col min="27" max="27" width="14.42578125" style="6" bestFit="1" customWidth="1"/>
    <col min="28" max="28" width="9.42578125" style="6" bestFit="1" customWidth="1"/>
    <col min="29" max="29" width="17.140625" style="6" bestFit="1" customWidth="1"/>
    <col min="30" max="30" width="12" style="6" bestFit="1" customWidth="1"/>
    <col min="31" max="31" width="10.7109375" style="6" bestFit="1" customWidth="1"/>
    <col min="32" max="32" width="6.7109375" style="6" bestFit="1" customWidth="1"/>
    <col min="33"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c r="A1" s="1" t="s">
        <v>0</v>
      </c>
      <c r="B1" s="2" t="s">
        <v>1</v>
      </c>
      <c r="C1" s="2" t="s">
        <v>2</v>
      </c>
      <c r="D1" s="2" t="s">
        <v>3</v>
      </c>
      <c r="E1" s="3"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5" t="s">
        <v>24</v>
      </c>
      <c r="Z1" s="4" t="s">
        <v>25</v>
      </c>
      <c r="AA1" s="5" t="s">
        <v>26</v>
      </c>
      <c r="AB1" s="5" t="s">
        <v>27</v>
      </c>
      <c r="AC1" s="5" t="s">
        <v>28</v>
      </c>
      <c r="AD1" s="5" t="s">
        <v>29</v>
      </c>
      <c r="AE1" s="5" t="s">
        <v>30</v>
      </c>
      <c r="AF1" s="5" t="s">
        <v>31</v>
      </c>
      <c r="AG1" s="5" t="s">
        <v>32</v>
      </c>
      <c r="AH1" s="5" t="s">
        <v>33</v>
      </c>
      <c r="AI1" s="5" t="s">
        <v>34</v>
      </c>
      <c r="AJ1" s="5" t="s">
        <v>35</v>
      </c>
      <c r="AK1" s="5" t="s">
        <v>36</v>
      </c>
      <c r="AL1" s="5" t="s">
        <v>37</v>
      </c>
    </row>
    <row r="2" spans="1:38" ht="10.5" hidden="1" customHeight="1">
      <c r="B2" s="6" t="s">
        <v>38</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hidden="1" customHeight="1">
      <c r="B3" s="6" t="s">
        <v>39</v>
      </c>
      <c r="C3" s="7" t="s">
        <v>40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hidden="1" customHeight="1">
      <c r="B4" s="6" t="s">
        <v>41</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hidden="1" customHeight="1">
      <c r="B5" s="6" t="s">
        <v>41</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hidden="1">
      <c r="B6" s="6" t="s">
        <v>41</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idden="1">
      <c r="B7" s="6" t="s">
        <v>41</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hidden="1">
      <c r="A8" s="7" t="s">
        <v>42</v>
      </c>
      <c r="B8" s="6" t="s">
        <v>41</v>
      </c>
      <c r="C8" s="7" t="s">
        <v>43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hidden="1">
      <c r="B9" s="6" t="s">
        <v>44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hidden="1">
      <c r="B10" s="6" t="s">
        <v>44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hidden="1">
      <c r="B11" s="6" t="s">
        <v>44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hidden="1">
      <c r="B12" s="6" t="s">
        <v>44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hidden="1">
      <c r="B13" s="6" t="s">
        <v>44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hidden="1">
      <c r="B14" s="6" t="s">
        <v>44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hidden="1">
      <c r="A15" s="7" t="s">
        <v>42</v>
      </c>
      <c r="B15" s="6" t="s">
        <v>44</v>
      </c>
      <c r="C15" s="7" t="s">
        <v>43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hidden="1">
      <c r="B16" s="6" t="s">
        <v>44</v>
      </c>
      <c r="C16" s="7" t="s">
        <v>40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hidden="1">
      <c r="B17" s="6" t="s">
        <v>45</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hidden="1">
      <c r="B18" s="6" t="s">
        <v>45</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hidden="1">
      <c r="B19" s="6" t="s">
        <v>45</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c r="A20" s="7" t="s">
        <v>42</v>
      </c>
      <c r="B20" s="6" t="s">
        <v>45</v>
      </c>
      <c r="C20" s="7" t="s">
        <v>43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hidden="1">
      <c r="B21" s="6" t="s">
        <v>45</v>
      </c>
      <c r="C21" s="7" t="s">
        <v>40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hidden="1">
      <c r="B22" s="6" t="s">
        <v>46</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hidden="1">
      <c r="B23" s="6" t="s">
        <v>46</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hidden="1">
      <c r="B24" s="6" t="s">
        <v>46</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hidden="1">
      <c r="B25" s="6" t="s">
        <v>47</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hidden="1">
      <c r="B26" s="6" t="s">
        <v>47</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hidden="1">
      <c r="B27" s="6" t="s">
        <v>47</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hidden="1">
      <c r="A28" s="7" t="s">
        <v>42</v>
      </c>
      <c r="B28" s="6" t="s">
        <v>47</v>
      </c>
      <c r="C28" s="7" t="s">
        <v>43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hidden="1">
      <c r="B29" s="6" t="s">
        <v>48</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hidden="1">
      <c r="B30" s="6" t="s">
        <v>48</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c r="A31" s="7" t="s">
        <v>42</v>
      </c>
      <c r="B31" s="6" t="s">
        <v>48</v>
      </c>
      <c r="C31" s="7" t="s">
        <v>43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hidden="1">
      <c r="B32" s="6" t="s">
        <v>49</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hidden="1">
      <c r="A33" s="7" t="s">
        <v>42</v>
      </c>
      <c r="B33" s="6" t="s">
        <v>49</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hidden="1">
      <c r="B34" s="6" t="s">
        <v>49</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hidden="1">
      <c r="B35" s="6" t="s">
        <v>49</v>
      </c>
      <c r="C35" s="7" t="s">
        <v>40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hidden="1">
      <c r="B36" s="6" t="s">
        <v>50</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hidden="1">
      <c r="A37" s="7" t="s">
        <v>42</v>
      </c>
      <c r="B37" s="6" t="s">
        <v>50</v>
      </c>
      <c r="C37" s="7" t="s">
        <v>43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hidden="1">
      <c r="B38" s="6" t="s">
        <v>51</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hidden="1">
      <c r="B39" s="6" t="s">
        <v>51</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hidden="1">
      <c r="A40" s="7" t="s">
        <v>42</v>
      </c>
      <c r="B40" s="6" t="s">
        <v>51</v>
      </c>
      <c r="C40" s="7" t="s">
        <v>43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hidden="1">
      <c r="B41" s="6" t="s">
        <v>52</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hidden="1">
      <c r="B42" s="6" t="s">
        <v>52</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hidden="1">
      <c r="B43" s="6" t="s">
        <v>52</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c r="A44" s="7" t="s">
        <v>42</v>
      </c>
      <c r="B44" s="6" t="s">
        <v>52</v>
      </c>
      <c r="C44" s="7" t="s">
        <v>43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hidden="1">
      <c r="B45" s="6" t="s">
        <v>53</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hidden="1">
      <c r="B46" s="6" t="s">
        <v>53</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hidden="1">
      <c r="B47" s="6" t="s">
        <v>53</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c r="A48" s="7" t="s">
        <v>42</v>
      </c>
      <c r="B48" s="6" t="s">
        <v>53</v>
      </c>
      <c r="C48" s="7" t="s">
        <v>43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hidden="1">
      <c r="B49" s="6" t="s">
        <v>54</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hidden="1">
      <c r="B50" s="6" t="s">
        <v>54</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hidden="1">
      <c r="B51" s="6" t="s">
        <v>54</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hidden="1">
      <c r="B52" s="6" t="s">
        <v>54</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hidden="1">
      <c r="B53" s="6" t="s">
        <v>54</v>
      </c>
      <c r="C53" s="7" t="s">
        <v>55</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hidden="1">
      <c r="B54" s="6" t="s">
        <v>56</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hidden="1">
      <c r="B55" s="6" t="s">
        <v>57</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hidden="1">
      <c r="B56" s="6" t="s">
        <v>57</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hidden="1">
      <c r="B57" s="6" t="s">
        <v>57</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hidden="1">
      <c r="B58" s="6" t="s">
        <v>57</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hidden="1">
      <c r="B59" s="6" t="s">
        <v>57</v>
      </c>
      <c r="C59" s="7" t="s">
        <v>40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hidden="1">
      <c r="B60" s="6" t="s">
        <v>57</v>
      </c>
      <c r="C60" s="7" t="s">
        <v>55</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hidden="1">
      <c r="B61" s="6" t="s">
        <v>58</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hidden="1">
      <c r="B62" s="6" t="s">
        <v>58</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c r="A63" s="7" t="s">
        <v>42</v>
      </c>
      <c r="B63" s="6" t="s">
        <v>58</v>
      </c>
      <c r="C63" s="7" t="s">
        <v>43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hidden="1">
      <c r="B64" s="6" t="s">
        <v>59</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hidden="1">
      <c r="B65" s="6" t="s">
        <v>59</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hidden="1">
      <c r="B66" s="6" t="s">
        <v>59</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hidden="1">
      <c r="A67" s="7" t="s">
        <v>42</v>
      </c>
      <c r="B67" s="6" t="s">
        <v>59</v>
      </c>
      <c r="C67" s="7" t="s">
        <v>43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hidden="1">
      <c r="B68" s="6" t="s">
        <v>60</v>
      </c>
      <c r="C68" s="7" t="s">
        <v>40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hidden="1">
      <c r="B69" s="6" t="s">
        <v>61</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hidden="1">
      <c r="B70" s="6" t="s">
        <v>61</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c r="A71" s="7" t="s">
        <v>42</v>
      </c>
      <c r="B71" s="6" t="s">
        <v>61</v>
      </c>
      <c r="C71" s="7" t="s">
        <v>43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hidden="1">
      <c r="B72" s="6" t="s">
        <v>62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hidden="1">
      <c r="B73" s="6" t="s">
        <v>62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hidden="1">
      <c r="A74" s="7" t="s">
        <v>42</v>
      </c>
      <c r="B74" s="6" t="s">
        <v>62</v>
      </c>
      <c r="C74" s="7" t="s">
        <v>43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hidden="1">
      <c r="B75" s="6" t="s">
        <v>62</v>
      </c>
      <c r="C75" s="7" t="s">
        <v>40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hidden="1">
      <c r="B76" s="6" t="s">
        <v>63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hidden="1">
      <c r="B77" s="6" t="s">
        <v>64</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hidden="1">
      <c r="B78" s="6" t="s">
        <v>64</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hidden="1">
      <c r="A79" s="7" t="s">
        <v>42</v>
      </c>
      <c r="B79" s="6" t="s">
        <v>64</v>
      </c>
      <c r="C79" s="7" t="s">
        <v>43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hidden="1">
      <c r="B80" s="6" t="s">
        <v>64</v>
      </c>
      <c r="C80" s="7" t="s">
        <v>40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hidden="1">
      <c r="B81" s="6" t="s">
        <v>65</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hidden="1">
      <c r="B82" s="6" t="s">
        <v>65</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hidden="1">
      <c r="A83" s="7" t="s">
        <v>42</v>
      </c>
      <c r="B83" s="6" t="s">
        <v>65</v>
      </c>
      <c r="C83" s="7" t="s">
        <v>43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hidden="1">
      <c r="B84" s="6" t="s">
        <v>66</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hidden="1">
      <c r="B85" s="6" t="s">
        <v>66</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c r="A86" s="7" t="s">
        <v>42</v>
      </c>
      <c r="B86" s="6" t="s">
        <v>66</v>
      </c>
      <c r="C86" s="7" t="s">
        <v>43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hidden="1">
      <c r="B87" s="6" t="s">
        <v>67</v>
      </c>
      <c r="C87" s="7" t="s">
        <v>40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hidden="1">
      <c r="B88" s="6" t="s">
        <v>68</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hidden="1">
      <c r="A89" s="7" t="s">
        <v>42</v>
      </c>
      <c r="B89" s="6" t="s">
        <v>68</v>
      </c>
      <c r="C89" s="7" t="s">
        <v>43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hidden="1">
      <c r="B90" s="6" t="s">
        <v>68</v>
      </c>
      <c r="C90" s="7" t="s">
        <v>40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hidden="1">
      <c r="B91" s="6" t="s">
        <v>69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hidden="1">
      <c r="B92" s="6" t="s">
        <v>69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hidden="1">
      <c r="B93" s="6" t="s">
        <v>69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c r="A94" s="7" t="s">
        <v>42</v>
      </c>
      <c r="B94" s="6" t="s">
        <v>69</v>
      </c>
      <c r="C94" s="7" t="s">
        <v>43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c r="A95" s="7" t="s">
        <v>70</v>
      </c>
      <c r="B95" s="6" t="s">
        <v>71</v>
      </c>
      <c r="C95" s="7">
        <v>64</v>
      </c>
      <c r="D95" s="7">
        <v>1</v>
      </c>
      <c r="E95" s="8">
        <v>401600</v>
      </c>
      <c r="F95" s="9"/>
      <c r="G95" s="12"/>
      <c r="H95" s="9"/>
      <c r="I95" s="9"/>
      <c r="J95" s="9"/>
      <c r="K95" s="9"/>
      <c r="L95" s="9"/>
      <c r="M95" s="9"/>
      <c r="N95" s="9"/>
      <c r="O95" s="12"/>
      <c r="P95" s="9"/>
      <c r="Q95" s="9"/>
      <c r="R95" s="12"/>
      <c r="S95" s="9"/>
      <c r="T95" s="12"/>
      <c r="U95" s="9"/>
      <c r="V95" s="9">
        <v>8200</v>
      </c>
      <c r="W95" s="9"/>
      <c r="X95" s="9"/>
      <c r="Y95" s="9"/>
      <c r="Z95" s="9"/>
      <c r="AA95" s="9"/>
      <c r="AB95" s="9"/>
      <c r="AC95" s="9"/>
      <c r="AD95" s="9"/>
      <c r="AE95" s="9"/>
      <c r="AF95" s="9"/>
      <c r="AG95" s="9"/>
      <c r="AH95" s="9"/>
      <c r="AI95" s="9"/>
      <c r="AJ95" s="9"/>
      <c r="AK95" s="9"/>
      <c r="AL95" s="9"/>
    </row>
    <row r="96" spans="1:38">
      <c r="A96" s="7" t="s">
        <v>70</v>
      </c>
      <c r="B96" s="6" t="s">
        <v>71</v>
      </c>
      <c r="C96" s="7">
        <v>64</v>
      </c>
      <c r="D96" s="7">
        <v>1</v>
      </c>
      <c r="E96" s="8">
        <v>460600</v>
      </c>
      <c r="F96" s="9"/>
      <c r="G96" s="12"/>
      <c r="H96" s="9"/>
      <c r="I96" s="9"/>
      <c r="J96" s="9"/>
      <c r="K96" s="9"/>
      <c r="L96" s="9"/>
      <c r="M96" s="9"/>
      <c r="N96" s="9"/>
      <c r="O96" s="12"/>
      <c r="P96" s="9"/>
      <c r="Q96" s="9"/>
      <c r="R96" s="12"/>
      <c r="S96" s="9"/>
      <c r="T96" s="12"/>
      <c r="U96" s="9"/>
      <c r="V96" s="9">
        <v>8300</v>
      </c>
      <c r="W96" s="9"/>
      <c r="X96" s="9"/>
      <c r="Y96" s="9"/>
      <c r="Z96" s="9"/>
      <c r="AA96" s="9"/>
      <c r="AB96" s="9"/>
      <c r="AC96" s="9"/>
      <c r="AD96" s="9"/>
      <c r="AE96" s="9"/>
      <c r="AF96" s="9"/>
      <c r="AG96" s="9"/>
      <c r="AH96" s="9"/>
      <c r="AI96" s="9"/>
      <c r="AJ96" s="9"/>
      <c r="AK96" s="9"/>
      <c r="AL96" s="9"/>
    </row>
    <row r="97" spans="1:38">
      <c r="A97" s="7" t="s">
        <v>70</v>
      </c>
      <c r="B97" s="6" t="s">
        <v>71</v>
      </c>
      <c r="C97" s="7">
        <v>64</v>
      </c>
      <c r="D97" s="7">
        <v>1</v>
      </c>
      <c r="E97" s="8">
        <v>486700</v>
      </c>
      <c r="F97" s="9"/>
      <c r="G97" s="12"/>
      <c r="H97" s="9"/>
      <c r="I97" s="9"/>
      <c r="J97" s="9"/>
      <c r="K97" s="9"/>
      <c r="L97" s="9"/>
      <c r="M97" s="9"/>
      <c r="N97" s="9"/>
      <c r="O97" s="12"/>
      <c r="P97" s="9"/>
      <c r="Q97" s="9"/>
      <c r="R97" s="12"/>
      <c r="S97" s="9"/>
      <c r="T97" s="12"/>
      <c r="U97" s="9"/>
      <c r="V97" s="9">
        <v>10200</v>
      </c>
      <c r="W97" s="9"/>
      <c r="X97" s="9"/>
      <c r="Y97" s="9"/>
      <c r="Z97" s="9"/>
      <c r="AA97" s="9"/>
      <c r="AB97" s="9"/>
      <c r="AC97" s="9"/>
      <c r="AD97" s="9"/>
      <c r="AE97" s="9"/>
      <c r="AF97" s="9"/>
      <c r="AG97" s="9"/>
      <c r="AH97" s="9"/>
      <c r="AI97" s="9"/>
      <c r="AJ97" s="9"/>
      <c r="AK97" s="9"/>
      <c r="AL97" s="9"/>
    </row>
    <row r="98" spans="1:38" hidden="1">
      <c r="B98" s="6" t="s">
        <v>71</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hidden="1">
      <c r="B99" s="6" t="s">
        <v>71</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hidden="1">
      <c r="B100" s="6" t="s">
        <v>71</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hidden="1">
      <c r="B101" s="6" t="s">
        <v>71</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hidden="1">
      <c r="B102" s="6" t="s">
        <v>71</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hidden="1">
      <c r="B103" s="6" t="s">
        <v>71</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hidden="1">
      <c r="B104" s="6" t="s">
        <v>71</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hidden="1">
      <c r="B105" s="6" t="s">
        <v>71</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hidden="1">
      <c r="B106" s="6" t="s">
        <v>71</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hidden="1">
      <c r="B107" s="6" t="s">
        <v>71</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hidden="1">
      <c r="B108" s="6" t="s">
        <v>71</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hidden="1">
      <c r="B109" s="6" t="s">
        <v>71</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hidden="1">
      <c r="B110" s="6" t="s">
        <v>71</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hidden="1">
      <c r="B111" s="6" t="s">
        <v>71</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hidden="1">
      <c r="A112" s="7" t="s">
        <v>72</v>
      </c>
      <c r="B112" s="6" t="s">
        <v>73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hidden="1">
      <c r="B113" s="6" t="s">
        <v>73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hidden="1">
      <c r="B114" s="6" t="s">
        <v>73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hidden="1">
      <c r="B115" s="6" t="s">
        <v>73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hidden="1">
      <c r="B116" s="6" t="s">
        <v>73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hidden="1">
      <c r="B117" s="6" t="s">
        <v>73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hidden="1">
      <c r="B118" s="6" t="s">
        <v>73</v>
      </c>
      <c r="C118" s="7">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hidden="1">
      <c r="B119" s="6" t="s">
        <v>73</v>
      </c>
      <c r="C119" s="7">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hidden="1">
      <c r="B120" s="6" t="s">
        <v>73</v>
      </c>
      <c r="C120" s="7">
        <v>60</v>
      </c>
      <c r="D120" s="11">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hidden="1">
      <c r="B121" s="6" t="s">
        <v>73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hidden="1">
      <c r="B122" s="6" t="s">
        <v>73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hidden="1">
      <c r="B123" s="6" t="s">
        <v>73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hidden="1">
      <c r="B124" s="6" t="s">
        <v>73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hidden="1">
      <c r="B125" s="6" t="s">
        <v>73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c r="A126" s="7" t="s">
        <v>70</v>
      </c>
      <c r="B126" s="6" t="s">
        <v>73</v>
      </c>
      <c r="C126" s="7">
        <v>64</v>
      </c>
      <c r="D126" s="7">
        <v>1</v>
      </c>
      <c r="E126" s="8">
        <v>490200</v>
      </c>
      <c r="F126" s="9"/>
      <c r="G126" s="12"/>
      <c r="H126" s="9"/>
      <c r="I126" s="9"/>
      <c r="J126" s="9"/>
      <c r="K126" s="9"/>
      <c r="L126" s="9"/>
      <c r="M126" s="9"/>
      <c r="N126" s="9"/>
      <c r="O126" s="12"/>
      <c r="P126" s="9"/>
      <c r="Q126" s="9"/>
      <c r="R126" s="12"/>
      <c r="S126" s="9"/>
      <c r="T126" s="12"/>
      <c r="U126" s="9"/>
      <c r="V126" s="9">
        <v>9900</v>
      </c>
      <c r="W126" s="9"/>
      <c r="X126" s="9"/>
      <c r="Y126" s="9"/>
      <c r="Z126" s="9"/>
      <c r="AA126" s="9"/>
      <c r="AB126" s="9"/>
      <c r="AC126" s="9"/>
      <c r="AD126" s="9"/>
      <c r="AE126" s="9"/>
      <c r="AF126" s="9"/>
      <c r="AG126" s="9"/>
      <c r="AH126" s="9"/>
      <c r="AI126" s="9"/>
      <c r="AJ126" s="9"/>
      <c r="AK126" s="9"/>
      <c r="AL126" s="9"/>
    </row>
    <row r="127" spans="1:38">
      <c r="A127" s="7" t="s">
        <v>70</v>
      </c>
      <c r="B127" s="6" t="s">
        <v>73</v>
      </c>
      <c r="C127" s="7">
        <v>64</v>
      </c>
      <c r="D127" s="7">
        <v>1</v>
      </c>
      <c r="E127" s="8">
        <v>459400</v>
      </c>
      <c r="F127" s="9"/>
      <c r="G127" s="12"/>
      <c r="H127" s="9"/>
      <c r="I127" s="9"/>
      <c r="J127" s="9"/>
      <c r="K127" s="9"/>
      <c r="L127" s="9"/>
      <c r="M127" s="9"/>
      <c r="N127" s="9"/>
      <c r="O127" s="12"/>
      <c r="P127" s="9"/>
      <c r="Q127" s="9"/>
      <c r="R127" s="12"/>
      <c r="S127" s="9"/>
      <c r="T127" s="12"/>
      <c r="U127" s="9"/>
      <c r="V127" s="9">
        <v>11400</v>
      </c>
      <c r="W127" s="9"/>
      <c r="X127" s="9"/>
      <c r="Y127" s="9"/>
      <c r="Z127" s="9"/>
      <c r="AA127" s="9"/>
      <c r="AB127" s="9"/>
      <c r="AC127" s="9"/>
      <c r="AD127" s="9"/>
      <c r="AE127" s="9"/>
      <c r="AF127" s="9"/>
      <c r="AG127" s="9"/>
      <c r="AH127" s="9"/>
      <c r="AI127" s="9"/>
      <c r="AJ127" s="9"/>
      <c r="AK127" s="9"/>
      <c r="AL127" s="9"/>
    </row>
    <row r="128" spans="1:38">
      <c r="A128" s="7" t="s">
        <v>70</v>
      </c>
      <c r="B128" s="6" t="s">
        <v>73</v>
      </c>
      <c r="C128" s="7">
        <v>64</v>
      </c>
      <c r="D128" s="7">
        <v>1</v>
      </c>
      <c r="E128" s="8">
        <v>564300</v>
      </c>
      <c r="F128" s="9"/>
      <c r="G128" s="12"/>
      <c r="H128" s="9"/>
      <c r="I128" s="9"/>
      <c r="J128" s="9"/>
      <c r="K128" s="9"/>
      <c r="L128" s="9"/>
      <c r="M128" s="9"/>
      <c r="N128" s="9"/>
      <c r="O128" s="12"/>
      <c r="P128" s="9"/>
      <c r="Q128" s="9"/>
      <c r="R128" s="12"/>
      <c r="S128" s="9"/>
      <c r="T128" s="12"/>
      <c r="U128" s="9"/>
      <c r="V128" s="9">
        <v>11000</v>
      </c>
      <c r="W128" s="9"/>
      <c r="X128" s="9"/>
      <c r="Y128" s="9"/>
      <c r="Z128" s="9"/>
      <c r="AA128" s="9"/>
      <c r="AB128" s="9"/>
      <c r="AC128" s="9"/>
      <c r="AD128" s="9"/>
      <c r="AE128" s="9"/>
      <c r="AF128" s="9"/>
      <c r="AG128" s="9"/>
      <c r="AH128" s="9"/>
      <c r="AI128" s="9"/>
      <c r="AJ128" s="9"/>
      <c r="AK128" s="9"/>
      <c r="AL128" s="9"/>
    </row>
    <row r="129" spans="2:38" hidden="1">
      <c r="B129" s="6" t="s">
        <v>73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hidden="1">
      <c r="B130" s="6" t="s">
        <v>73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hidden="1">
      <c r="B131" s="6" t="s">
        <v>73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hidden="1">
      <c r="B132" s="6" t="s">
        <v>73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hidden="1">
      <c r="B133" s="6" t="s">
        <v>73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hidden="1">
      <c r="B134" s="6" t="s">
        <v>73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hidden="1">
      <c r="B135" s="6" t="s">
        <v>73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hidden="1">
      <c r="B136" s="6" t="s">
        <v>73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hidden="1">
      <c r="B137" s="6" t="s">
        <v>73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hidden="1">
      <c r="B138" s="6" t="s">
        <v>73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hidden="1">
      <c r="B139" s="6" t="s">
        <v>73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hidden="1">
      <c r="B140" s="6" t="s">
        <v>73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hidden="1">
      <c r="B141" s="6" t="s">
        <v>73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hidden="1">
      <c r="B142" s="6" t="s">
        <v>73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hidden="1">
      <c r="B143" s="6" t="s">
        <v>73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hidden="1">
      <c r="B144" s="6" t="s">
        <v>73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c r="A145" s="7" t="s">
        <v>74</v>
      </c>
      <c r="B145" s="6" t="s">
        <v>73</v>
      </c>
      <c r="C145" s="7" t="s">
        <v>43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hidden="1">
      <c r="B146" s="6" t="s">
        <v>73</v>
      </c>
      <c r="C146" s="7" t="s">
        <v>75</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hidden="1">
      <c r="B147" s="6" t="s">
        <v>73</v>
      </c>
      <c r="C147" s="7" t="s">
        <v>55</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hidden="1">
      <c r="B148" s="6" t="s">
        <v>76</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hidden="1">
      <c r="B149" s="6" t="s">
        <v>76</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hidden="1">
      <c r="B150" s="6" t="s">
        <v>76</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hidden="1">
      <c r="B151" s="6" t="s">
        <v>77</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hidden="1">
      <c r="B152" s="6" t="s">
        <v>77</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hidden="1">
      <c r="B153" s="6" t="s">
        <v>77</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hidden="1">
      <c r="B154" s="6" t="s">
        <v>77</v>
      </c>
      <c r="C154" s="7">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hidden="1">
      <c r="B155" s="6" t="s">
        <v>77</v>
      </c>
      <c r="C155" s="7">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hidden="1">
      <c r="B156" s="6" t="s">
        <v>77</v>
      </c>
      <c r="C156" s="7">
        <v>60</v>
      </c>
      <c r="D156" s="11">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hidden="1">
      <c r="B157" s="6" t="s">
        <v>77</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hidden="1">
      <c r="B158" s="6" t="s">
        <v>77</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hidden="1">
      <c r="B159" s="6" t="s">
        <v>77</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hidden="1">
      <c r="B160" s="6" t="s">
        <v>77</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hidden="1">
      <c r="B161" s="6" t="s">
        <v>77</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hidden="1">
      <c r="B162" s="6" t="s">
        <v>77</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hidden="1">
      <c r="B163" s="6" t="s">
        <v>77</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hidden="1">
      <c r="B164" s="6" t="s">
        <v>77</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hidden="1">
      <c r="B165" s="6" t="s">
        <v>77</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c r="A166" s="7" t="s">
        <v>78</v>
      </c>
      <c r="B166" s="6" t="s">
        <v>77</v>
      </c>
      <c r="C166" s="7" t="s">
        <v>43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hidden="1">
      <c r="B167" s="6" t="s">
        <v>77</v>
      </c>
      <c r="C167" s="7" t="s">
        <v>40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hidden="1">
      <c r="B168" s="6" t="s">
        <v>77</v>
      </c>
      <c r="C168" s="7" t="s">
        <v>75</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hidden="1">
      <c r="B169" s="6" t="s">
        <v>77</v>
      </c>
      <c r="C169" s="7" t="s">
        <v>55</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hidden="1">
      <c r="B170" s="6" t="s">
        <v>79</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hidden="1">
      <c r="B171" s="6" t="s">
        <v>79</v>
      </c>
      <c r="C171" s="7" t="s">
        <v>75</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hidden="1">
      <c r="B172" s="6" t="s">
        <v>80</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hidden="1">
      <c r="B173" s="6" t="s">
        <v>80</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hidden="1">
      <c r="B174" s="6" t="s">
        <v>80</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hidden="1">
      <c r="A175" s="7" t="s">
        <v>42</v>
      </c>
      <c r="B175" s="6" t="s">
        <v>80</v>
      </c>
      <c r="C175" s="7" t="s">
        <v>43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hidden="1">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hidden="1">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c r="A178" s="7" t="s">
        <v>42</v>
      </c>
      <c r="B178" s="6" t="s">
        <v>81</v>
      </c>
      <c r="C178" s="7" t="s">
        <v>43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hidden="1">
      <c r="B179" s="6" t="s">
        <v>82</v>
      </c>
      <c r="C179" s="7" t="s">
        <v>40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hidden="1">
      <c r="B180" s="6" t="s">
        <v>83</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hidden="1">
      <c r="B181" s="6" t="s">
        <v>84</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hidden="1">
      <c r="B182" s="6" t="s">
        <v>84</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c r="A183" s="7" t="s">
        <v>42</v>
      </c>
      <c r="B183" s="6" t="s">
        <v>84</v>
      </c>
      <c r="C183" s="7" t="s">
        <v>43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hidden="1">
      <c r="B184" s="6" t="s">
        <v>85</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hidden="1">
      <c r="B185" s="6" t="s">
        <v>85</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hidden="1">
      <c r="B186" s="6" t="s">
        <v>85</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hidden="1">
      <c r="B187" s="6" t="s">
        <v>85</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c r="A188" s="7" t="s">
        <v>42</v>
      </c>
      <c r="B188" s="6" t="s">
        <v>85</v>
      </c>
      <c r="C188" s="7" t="s">
        <v>43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hidden="1">
      <c r="B189" s="6" t="s">
        <v>86</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hidden="1">
      <c r="B190" s="6" t="s">
        <v>86</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hidden="1">
      <c r="B191" s="6" t="s">
        <v>86</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c r="A192" s="7" t="s">
        <v>42</v>
      </c>
      <c r="B192" s="6" t="s">
        <v>86</v>
      </c>
      <c r="C192" s="7" t="s">
        <v>43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hidden="1">
      <c r="B193" s="6" t="s">
        <v>87</v>
      </c>
      <c r="C193" s="7">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hidden="1">
      <c r="B194" s="6" t="s">
        <v>87</v>
      </c>
      <c r="C194" s="7">
        <v>60</v>
      </c>
      <c r="D194" s="11">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hidden="1">
      <c r="B195" s="6" t="s">
        <v>88</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hidden="1">
      <c r="B196" s="6" t="s">
        <v>89</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hidden="1">
      <c r="B197" s="6" t="s">
        <v>89</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hidden="1">
      <c r="B198" s="6" t="s">
        <v>89</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hidden="1">
      <c r="B199" s="6" t="s">
        <v>89</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hidden="1">
      <c r="B200" s="6" t="s">
        <v>89</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hidden="1">
      <c r="B201" s="6" t="s">
        <v>89</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hidden="1">
      <c r="B202" s="6" t="s">
        <v>89</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hidden="1">
      <c r="B203" s="6" t="s">
        <v>89</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hidden="1">
      <c r="B204" s="6" t="s">
        <v>89</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hidden="1">
      <c r="A205" s="7" t="s">
        <v>42</v>
      </c>
      <c r="B205" s="6" t="s">
        <v>89</v>
      </c>
      <c r="C205" s="7" t="s">
        <v>43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hidden="1">
      <c r="B206" s="6" t="s">
        <v>89</v>
      </c>
      <c r="C206" s="7" t="s">
        <v>40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hidden="1">
      <c r="B207" s="6" t="s">
        <v>89</v>
      </c>
      <c r="C207" s="7" t="s">
        <v>55</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hidden="1">
      <c r="B208" s="6" t="s">
        <v>90</v>
      </c>
      <c r="C208" s="7" t="s">
        <v>40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hidden="1">
      <c r="B209" s="6" t="s">
        <v>91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hidden="1">
      <c r="B210" s="6" t="s">
        <v>91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c r="A211" s="7" t="s">
        <v>42</v>
      </c>
      <c r="B211" s="6" t="s">
        <v>91</v>
      </c>
      <c r="C211" s="7" t="s">
        <v>43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hidden="1">
      <c r="B212" s="6" t="s">
        <v>91</v>
      </c>
      <c r="C212" s="7" t="s">
        <v>40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hidden="1">
      <c r="B213" s="6" t="s">
        <v>92</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hidden="1">
      <c r="B214" s="6" t="s">
        <v>92</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hidden="1">
      <c r="A215" s="7" t="s">
        <v>42</v>
      </c>
      <c r="B215" s="6" t="s">
        <v>92</v>
      </c>
      <c r="C215" s="7" t="s">
        <v>43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hidden="1">
      <c r="B216" s="6" t="s">
        <v>93</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c r="A217" s="7" t="s">
        <v>42</v>
      </c>
      <c r="B217" s="6" t="s">
        <v>93</v>
      </c>
      <c r="C217" s="7" t="s">
        <v>43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hidden="1">
      <c r="B218" s="6" t="s">
        <v>94</v>
      </c>
      <c r="C218" s="7" t="s">
        <v>75</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hidden="1">
      <c r="B219" s="6" t="s">
        <v>95</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hidden="1">
      <c r="B220" s="6" t="s">
        <v>95</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hidden="1">
      <c r="A221" s="7" t="s">
        <v>42</v>
      </c>
      <c r="B221" s="6" t="s">
        <v>95</v>
      </c>
      <c r="C221" s="7" t="s">
        <v>43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hidden="1">
      <c r="B222" s="6" t="s">
        <v>95</v>
      </c>
      <c r="C222" s="7" t="s">
        <v>40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hidden="1">
      <c r="B223" s="6" t="s">
        <v>96</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hidden="1">
      <c r="B224" s="6" t="s">
        <v>96</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c r="A225" s="7" t="s">
        <v>42</v>
      </c>
      <c r="B225" s="6" t="s">
        <v>96</v>
      </c>
      <c r="C225" s="7" t="s">
        <v>43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hidden="1">
      <c r="B226" s="6" t="s">
        <v>96</v>
      </c>
      <c r="C226" s="7" t="s">
        <v>40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hidden="1">
      <c r="B227" s="6" t="s">
        <v>97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hidden="1">
      <c r="B228" s="6" t="s">
        <v>97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hidden="1">
      <c r="B229" s="6" t="s">
        <v>97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hidden="1">
      <c r="B230" s="6" t="s">
        <v>97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hidden="1">
      <c r="B231" s="6" t="s">
        <v>97</v>
      </c>
      <c r="C231" s="7">
        <v>58</v>
      </c>
      <c r="D231" s="7">
        <v>1</v>
      </c>
      <c r="E231" s="9">
        <v>341023.16602316604</v>
      </c>
      <c r="AE231" s="6">
        <v>1486.4599999999998</v>
      </c>
    </row>
    <row r="232" spans="1:38" hidden="1">
      <c r="B232" s="6" t="s">
        <v>97</v>
      </c>
      <c r="C232" s="7">
        <v>58</v>
      </c>
      <c r="D232" s="7">
        <v>1</v>
      </c>
      <c r="E232" s="9">
        <v>325289.57528957527</v>
      </c>
      <c r="AE232" s="6">
        <v>1512.6399999999999</v>
      </c>
    </row>
    <row r="233" spans="1:38" hidden="1">
      <c r="B233" s="6" t="s">
        <v>97</v>
      </c>
      <c r="C233" s="7">
        <v>58</v>
      </c>
      <c r="D233" s="7">
        <v>1</v>
      </c>
      <c r="E233" s="9">
        <v>296718.14671814669</v>
      </c>
      <c r="AE233" s="6">
        <v>1327.1399999999999</v>
      </c>
    </row>
    <row r="234" spans="1:38" hidden="1">
      <c r="B234" s="6" t="s">
        <v>97</v>
      </c>
      <c r="C234" s="7">
        <v>58</v>
      </c>
      <c r="D234" s="7">
        <v>1</v>
      </c>
      <c r="E234" s="9">
        <v>315347.49034749035</v>
      </c>
      <c r="AE234" s="6">
        <v>1564.74</v>
      </c>
    </row>
    <row r="235" spans="1:38" hidden="1">
      <c r="B235" s="6" t="s">
        <v>97</v>
      </c>
      <c r="C235" s="7">
        <v>58</v>
      </c>
      <c r="D235" s="7">
        <v>1</v>
      </c>
      <c r="E235" s="9">
        <v>302316.60231660231</v>
      </c>
      <c r="AE235" s="6">
        <v>1291.3399999999999</v>
      </c>
    </row>
    <row r="236" spans="1:38" hidden="1">
      <c r="B236" s="6" t="s">
        <v>97</v>
      </c>
      <c r="C236" s="7">
        <v>58</v>
      </c>
      <c r="D236" s="7">
        <v>1</v>
      </c>
      <c r="E236" s="9">
        <v>294498.06949806953</v>
      </c>
      <c r="AE236" s="6">
        <v>1202.76</v>
      </c>
    </row>
    <row r="237" spans="1:38" hidden="1">
      <c r="B237" s="6" t="s">
        <v>97</v>
      </c>
      <c r="C237" s="7">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hidden="1">
      <c r="B238" s="6" t="s">
        <v>97</v>
      </c>
      <c r="C238" s="7">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hidden="1">
      <c r="B239" s="6" t="s">
        <v>97</v>
      </c>
      <c r="C239" s="7">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hidden="1">
      <c r="B240" s="6" t="s">
        <v>97</v>
      </c>
      <c r="C240" s="7">
        <v>60</v>
      </c>
      <c r="D240" s="11">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hidden="1">
      <c r="B241" s="6" t="s">
        <v>97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hidden="1">
      <c r="B242" s="6" t="s">
        <v>97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hidden="1">
      <c r="B243" s="6" t="s">
        <v>97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hidden="1">
      <c r="B244" s="6" t="s">
        <v>97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hidden="1">
      <c r="B245" s="6" t="s">
        <v>97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hidden="1">
      <c r="B246" s="6" t="s">
        <v>97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hidden="1">
      <c r="B247" s="6" t="s">
        <v>97</v>
      </c>
      <c r="C247" s="7" t="s">
        <v>75</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hidden="1">
      <c r="B248" s="6" t="s">
        <v>97</v>
      </c>
      <c r="C248" s="7" t="s">
        <v>75</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hidden="1">
      <c r="B249" s="6" t="s">
        <v>97</v>
      </c>
      <c r="C249" s="7" t="s">
        <v>55</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hidden="1">
      <c r="B250" s="6" t="s">
        <v>98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hidden="1">
      <c r="B251" s="6" t="s">
        <v>98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hidden="1">
      <c r="B252" s="6" t="s">
        <v>98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hidden="1">
      <c r="B253" s="6" t="s">
        <v>98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hidden="1">
      <c r="B254" s="6" t="s">
        <v>98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hidden="1">
      <c r="B255" s="6" t="s">
        <v>98</v>
      </c>
      <c r="C255" s="7">
        <v>58</v>
      </c>
      <c r="D255" s="7">
        <v>1</v>
      </c>
      <c r="E255" s="9">
        <v>329343.62934362935</v>
      </c>
      <c r="AE255" s="6">
        <v>2130.7599999999998</v>
      </c>
    </row>
    <row r="256" spans="2:38" hidden="1">
      <c r="B256" s="6" t="s">
        <v>98</v>
      </c>
      <c r="C256" s="7">
        <v>58</v>
      </c>
      <c r="D256" s="7">
        <v>1</v>
      </c>
      <c r="E256" s="9">
        <v>334555.98455598461</v>
      </c>
      <c r="AE256" s="6">
        <v>1925.88</v>
      </c>
    </row>
    <row r="257" spans="2:38" hidden="1">
      <c r="B257" s="6" t="s">
        <v>98</v>
      </c>
      <c r="C257" s="7">
        <v>58</v>
      </c>
      <c r="D257" s="7">
        <v>1</v>
      </c>
      <c r="E257" s="9">
        <v>387837.83783783781</v>
      </c>
      <c r="AE257" s="6">
        <v>1403.02</v>
      </c>
    </row>
    <row r="258" spans="2:38" hidden="1">
      <c r="B258" s="6" t="s">
        <v>98</v>
      </c>
      <c r="C258" s="7">
        <v>58</v>
      </c>
      <c r="D258" s="7">
        <v>1</v>
      </c>
      <c r="E258" s="9">
        <v>316409.26640926645</v>
      </c>
      <c r="AE258" s="6">
        <v>1918.42</v>
      </c>
    </row>
    <row r="259" spans="2:38" hidden="1">
      <c r="B259" s="6" t="s">
        <v>98</v>
      </c>
      <c r="C259" s="7">
        <v>58</v>
      </c>
      <c r="D259" s="7">
        <v>1</v>
      </c>
      <c r="E259" s="9">
        <v>362451.7374517374</v>
      </c>
      <c r="AE259" s="6">
        <v>1714.14</v>
      </c>
    </row>
    <row r="260" spans="2:38" hidden="1">
      <c r="B260" s="6" t="s">
        <v>98</v>
      </c>
      <c r="C260" s="7">
        <v>58</v>
      </c>
      <c r="D260" s="7">
        <v>1</v>
      </c>
      <c r="E260" s="9">
        <v>336003.86100386101</v>
      </c>
      <c r="AE260" s="6">
        <v>1380.32</v>
      </c>
    </row>
    <row r="261" spans="2:38" hidden="1">
      <c r="B261" s="6" t="s">
        <v>98</v>
      </c>
      <c r="C261" s="7">
        <v>58</v>
      </c>
      <c r="D261" s="7">
        <v>1</v>
      </c>
      <c r="E261" s="9">
        <v>302027.02702702698</v>
      </c>
      <c r="AE261" s="6">
        <v>1445.1799999999998</v>
      </c>
    </row>
    <row r="262" spans="2:38" hidden="1">
      <c r="B262" s="6" t="s">
        <v>98</v>
      </c>
      <c r="C262" s="7">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hidden="1">
      <c r="B263" s="6" t="s">
        <v>98</v>
      </c>
      <c r="C263" s="7">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hidden="1">
      <c r="B264" s="6" t="s">
        <v>98</v>
      </c>
      <c r="C264" s="7">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hidden="1">
      <c r="B265" s="6" t="s">
        <v>98</v>
      </c>
      <c r="C265" s="7">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hidden="1">
      <c r="B266" s="6" t="s">
        <v>98</v>
      </c>
      <c r="C266" s="7">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hidden="1">
      <c r="B267" s="6" t="s">
        <v>98</v>
      </c>
      <c r="C267" s="7">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hidden="1">
      <c r="B268" s="6" t="s">
        <v>98</v>
      </c>
      <c r="C268" s="7">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hidden="1">
      <c r="B269" s="6" t="s">
        <v>98</v>
      </c>
      <c r="C269" s="7">
        <v>60</v>
      </c>
      <c r="D269" s="11">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hidden="1">
      <c r="B270" s="6" t="s">
        <v>98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hidden="1">
      <c r="B271" s="6" t="s">
        <v>98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hidden="1">
      <c r="B272" s="6" t="s">
        <v>98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hidden="1">
      <c r="B273" s="6" t="s">
        <v>98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hidden="1">
      <c r="B274" s="6" t="s">
        <v>98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hidden="1">
      <c r="B275" s="6" t="s">
        <v>98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hidden="1">
      <c r="B276" s="6" t="s">
        <v>98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hidden="1">
      <c r="B277" s="6" t="s">
        <v>98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hidden="1">
      <c r="B278" s="6" t="s">
        <v>98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hidden="1">
      <c r="B279" s="6" t="s">
        <v>98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hidden="1">
      <c r="B280" s="6" t="s">
        <v>98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hidden="1">
      <c r="B281" s="6" t="s">
        <v>98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hidden="1">
      <c r="B282" s="6" t="s">
        <v>98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hidden="1">
      <c r="B283" s="6" t="s">
        <v>98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c r="B284" s="6" t="s">
        <v>98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c r="B285" s="6" t="s">
        <v>98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c r="B286" s="6" t="s">
        <v>98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c r="B287" s="6" t="s">
        <v>98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c r="B288" s="6" t="s">
        <v>98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c r="B289" s="6" t="s">
        <v>98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c r="B290" s="6" t="s">
        <v>98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c r="B291" s="6" t="s">
        <v>98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c r="B292" s="6" t="s">
        <v>98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c r="B293" s="6" t="s">
        <v>98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c r="B294" s="6" t="s">
        <v>98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c r="B295" s="6" t="s">
        <v>98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c r="B296" s="6" t="s">
        <v>98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c r="B297" s="6" t="s">
        <v>98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c r="B298" s="6" t="s">
        <v>98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c r="B299" s="6" t="s">
        <v>98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c r="B300" s="6" t="s">
        <v>98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c r="B301" s="6" t="s">
        <v>98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c r="B302" s="6" t="s">
        <v>98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c r="B303" s="6" t="s">
        <v>98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c r="B304" s="6" t="s">
        <v>98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c r="B305" s="6" t="s">
        <v>98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c r="B306" s="6" t="s">
        <v>98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c r="B307" s="6" t="s">
        <v>98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c r="A308" s="7" t="s">
        <v>78</v>
      </c>
      <c r="B308" s="6" t="s">
        <v>98</v>
      </c>
      <c r="C308" s="7" t="s">
        <v>43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hidden="1">
      <c r="B309" s="6" t="s">
        <v>98</v>
      </c>
      <c r="C309" s="7" t="s">
        <v>40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hidden="1">
      <c r="B310" s="6" t="s">
        <v>98</v>
      </c>
      <c r="C310" s="7" t="s">
        <v>75</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hidden="1">
      <c r="B311" s="6" t="s">
        <v>98</v>
      </c>
      <c r="C311" s="7" t="s">
        <v>75</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hidden="1">
      <c r="B312" s="6" t="s">
        <v>98</v>
      </c>
      <c r="C312" s="7" t="s">
        <v>75</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hidden="1">
      <c r="B313" s="6" t="s">
        <v>98</v>
      </c>
      <c r="C313" s="7" t="s">
        <v>55</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hidden="1">
      <c r="B314" s="6" t="s">
        <v>99</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hidden="1">
      <c r="B315" s="6" t="s">
        <v>99</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c r="A316" s="7" t="s">
        <v>42</v>
      </c>
      <c r="B316" s="6" t="s">
        <v>99</v>
      </c>
      <c r="C316" s="7" t="s">
        <v>43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hidden="1">
      <c r="B317" s="6" t="s">
        <v>100</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hidden="1">
      <c r="B318" s="6" t="s">
        <v>100</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hidden="1">
      <c r="B319" s="6" t="s">
        <v>100</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hidden="1">
      <c r="B320" s="6" t="s">
        <v>100</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hidden="1">
      <c r="B321" s="6" t="s">
        <v>100</v>
      </c>
      <c r="C321" s="7" t="s">
        <v>55</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hidden="1">
      <c r="B322" s="6" t="s">
        <v>101</v>
      </c>
      <c r="C322" s="7" t="s">
        <v>40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hidden="1">
      <c r="B323" s="6" t="s">
        <v>102</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hidden="1">
      <c r="B324" s="6" t="s">
        <v>102</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hidden="1">
      <c r="B325" s="6" t="s">
        <v>102</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c r="A326" s="7" t="s">
        <v>42</v>
      </c>
      <c r="B326" s="6" t="s">
        <v>102</v>
      </c>
      <c r="C326" s="7" t="s">
        <v>43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hidden="1">
      <c r="B327" s="6" t="s">
        <v>102</v>
      </c>
      <c r="C327" s="7" t="s">
        <v>40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hidden="1">
      <c r="B328" s="6" t="s">
        <v>103</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hidden="1">
      <c r="B329" s="6" t="s">
        <v>103</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hidden="1">
      <c r="B330" s="6" t="s">
        <v>103</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c r="A331" s="7" t="s">
        <v>42</v>
      </c>
      <c r="B331" s="6" t="s">
        <v>103</v>
      </c>
      <c r="C331" s="7" t="s">
        <v>43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hidden="1">
      <c r="B332" s="6" t="s">
        <v>104</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hidden="1">
      <c r="B333" s="6" t="s">
        <v>104</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hidden="1">
      <c r="A334" s="7" t="s">
        <v>42</v>
      </c>
      <c r="B334" s="6" t="s">
        <v>104</v>
      </c>
      <c r="C334" s="7" t="s">
        <v>43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hidden="1">
      <c r="B335" s="6" t="s">
        <v>105</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hidden="1">
      <c r="B336" s="6" t="s">
        <v>106</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hidden="1">
      <c r="B337" s="6" t="s">
        <v>106</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hidden="1">
      <c r="B338" s="6" t="s">
        <v>107</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hidden="1">
      <c r="B339" s="6" t="s">
        <v>107</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hidden="1">
      <c r="B340" s="6" t="s">
        <v>107</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hidden="1">
      <c r="B341" s="6" t="s">
        <v>107</v>
      </c>
      <c r="C341" s="7">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hidden="1">
      <c r="B342" s="6" t="s">
        <v>107</v>
      </c>
      <c r="C342" s="7">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hidden="1">
      <c r="B343" s="6" t="s">
        <v>107</v>
      </c>
      <c r="C343" s="7">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hidden="1">
      <c r="B344" s="6" t="s">
        <v>107</v>
      </c>
      <c r="C344" s="7">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hidden="1">
      <c r="B345" s="6" t="s">
        <v>107</v>
      </c>
      <c r="C345" s="7">
        <v>60</v>
      </c>
      <c r="D345" s="11">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hidden="1">
      <c r="B346" s="6" t="s">
        <v>107</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hidden="1">
      <c r="B347" s="6" t="s">
        <v>107</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hidden="1">
      <c r="B348" s="6" t="s">
        <v>107</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hidden="1">
      <c r="B349" s="6" t="s">
        <v>107</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hidden="1">
      <c r="B350" s="6" t="s">
        <v>107</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hidden="1">
      <c r="B351" s="6" t="s">
        <v>107</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hidden="1">
      <c r="B352" s="6" t="s">
        <v>107</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hidden="1">
      <c r="B353" s="6" t="s">
        <v>107</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c r="B354" s="6" t="s">
        <v>107</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c r="B355" s="6" t="s">
        <v>107</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c r="B356" s="6" t="s">
        <v>107</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c r="B357" s="6" t="s">
        <v>107</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c r="B358" s="6" t="s">
        <v>107</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c r="B359" s="6" t="s">
        <v>107</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hidden="1">
      <c r="B360" s="6" t="s">
        <v>107</v>
      </c>
      <c r="C360" s="7" t="s">
        <v>75</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hidden="1">
      <c r="B361" s="6" t="s">
        <v>107</v>
      </c>
      <c r="C361" s="7" t="s">
        <v>75</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hidden="1">
      <c r="B362" s="6" t="s">
        <v>107</v>
      </c>
      <c r="C362" s="7" t="s">
        <v>75</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hidden="1">
      <c r="B363" s="6" t="s">
        <v>107</v>
      </c>
      <c r="C363" s="7" t="s">
        <v>55</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hidden="1">
      <c r="B364" s="6" t="s">
        <v>108</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hidden="1">
      <c r="B365" s="6" t="s">
        <v>108</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c r="A366" s="7" t="s">
        <v>42</v>
      </c>
      <c r="B366" s="6" t="s">
        <v>108</v>
      </c>
      <c r="C366" s="7" t="s">
        <v>43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hidden="1">
      <c r="B367" s="6" t="s">
        <v>108</v>
      </c>
      <c r="C367" s="7" t="s">
        <v>40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hidden="1">
      <c r="B368" s="6" t="s">
        <v>109</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hidden="1">
      <c r="A369" s="7" t="s">
        <v>42</v>
      </c>
      <c r="B369" s="6" t="s">
        <v>109</v>
      </c>
      <c r="C369" s="7" t="s">
        <v>43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hidden="1">
      <c r="B370" s="6" t="s">
        <v>110</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hidden="1">
      <c r="B371" s="6" t="s">
        <v>111</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hidden="1">
      <c r="B372" s="6" t="s">
        <v>111</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hidden="1">
      <c r="A373" s="7" t="s">
        <v>42</v>
      </c>
      <c r="B373" s="6" t="s">
        <v>111</v>
      </c>
      <c r="C373" s="7" t="s">
        <v>43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hidden="1">
      <c r="B374" s="6" t="s">
        <v>112</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hidden="1">
      <c r="B375" s="6" t="s">
        <v>112</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hidden="1">
      <c r="B376" s="6" t="s">
        <v>112</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c r="A377" s="7" t="s">
        <v>42</v>
      </c>
      <c r="B377" s="6" t="s">
        <v>112</v>
      </c>
      <c r="C377" s="7" t="s">
        <v>43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hidden="1">
      <c r="B378" s="6" t="s">
        <v>113</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hidden="1">
      <c r="B379" s="6" t="s">
        <v>113</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hidden="1">
      <c r="B380" s="6" t="s">
        <v>113</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hidden="1">
      <c r="B381" s="6" t="s">
        <v>113</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hidden="1">
      <c r="B382" s="6" t="s">
        <v>113</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hidden="1">
      <c r="B383" s="6" t="s">
        <v>113</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hidden="1">
      <c r="B384" s="6" t="s">
        <v>113</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hidden="1">
      <c r="B385" s="6" t="s">
        <v>113</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c r="A386" s="7" t="s">
        <v>42</v>
      </c>
      <c r="B386" s="6" t="s">
        <v>113</v>
      </c>
      <c r="C386" s="7" t="s">
        <v>43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hidden="1">
      <c r="B387" s="6" t="s">
        <v>113</v>
      </c>
      <c r="C387" s="7" t="s">
        <v>40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hidden="1">
      <c r="B388" s="6" t="s">
        <v>113</v>
      </c>
      <c r="C388" s="7" t="s">
        <v>55</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hidden="1">
      <c r="B389" s="6" t="s">
        <v>114</v>
      </c>
      <c r="C389" s="7" t="s">
        <v>40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hidden="1">
      <c r="B390" s="6" t="s">
        <v>115</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hidden="1">
      <c r="B391" s="6" t="s">
        <v>115</v>
      </c>
      <c r="C391" s="7">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hidden="1">
      <c r="B392" s="6" t="s">
        <v>116</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hidden="1">
      <c r="B393" s="6" t="s">
        <v>116</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c r="A394" s="7" t="s">
        <v>42</v>
      </c>
      <c r="B394" s="6" t="s">
        <v>116</v>
      </c>
      <c r="C394" s="7" t="s">
        <v>43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hidden="1">
      <c r="B395" s="6" t="s">
        <v>116</v>
      </c>
      <c r="C395" s="7" t="s">
        <v>40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hidden="1">
      <c r="B396" s="6" t="s">
        <v>117</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hidden="1">
      <c r="B397" s="6" t="s">
        <v>118</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hidden="1">
      <c r="B398" s="6" t="s">
        <v>118</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hidden="1">
      <c r="B399" s="6" t="s">
        <v>118</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hidden="1">
      <c r="A400" s="7" t="s">
        <v>42</v>
      </c>
      <c r="B400" s="6" t="s">
        <v>118</v>
      </c>
      <c r="C400" s="7" t="s">
        <v>43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xr:uid="{00000000-0009-0000-0000-000000000000}">
    <filterColumn colId="21">
      <filters>
        <filter val="10200.00"/>
        <filter val="1028.00"/>
        <filter val="10547.00"/>
        <filter val="11000.00"/>
        <filter val="11400.00"/>
        <filter val="1341.00"/>
        <filter val="153.00"/>
        <filter val="175.00"/>
        <filter val="190.00"/>
        <filter val="1916.00"/>
        <filter val="2163.00"/>
        <filter val="2164.00"/>
        <filter val="271.00"/>
        <filter val="2930.00"/>
        <filter val="2933.00"/>
        <filter val="2959.00"/>
        <filter val="3036.00"/>
        <filter val="3226.00"/>
        <filter val="337.00"/>
        <filter val="348.00"/>
        <filter val="410.00"/>
        <filter val="437.00"/>
        <filter val="4788.00"/>
        <filter val="489.00"/>
        <filter val="587.00"/>
        <filter val="5900.00"/>
        <filter val="6300.00"/>
        <filter val="6400.00"/>
        <filter val="6500.00"/>
        <filter val="6700.00"/>
        <filter val="6800.00"/>
        <filter val="7000.00"/>
        <filter val="7200.00"/>
        <filter val="731.00"/>
        <filter val="7400.00"/>
        <filter val="7500.00"/>
        <filter val="7600.00"/>
        <filter val="7700.00"/>
        <filter val="78.30"/>
        <filter val="7900.00"/>
        <filter val="7987.00"/>
        <filter val="8000.00"/>
        <filter val="8200.00"/>
        <filter val="8300.00"/>
        <filter val="8400.00"/>
        <filter val="8500.00"/>
        <filter val="9000.00"/>
        <filter val="9100.00"/>
        <filter val="9700.00"/>
        <filter val="9900.00"/>
      </filters>
    </filterColumn>
    <sortState xmlns:xlrd2="http://schemas.microsoft.com/office/spreadsheetml/2017/richdata2"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39997558519241921"/>
  </sheetPr>
  <dimension ref="A1:B6"/>
  <sheetViews>
    <sheetView workbookViewId="0"/>
  </sheetViews>
  <sheetFormatPr defaultColWidth="8.7109375" defaultRowHeight="11.1"/>
  <cols>
    <col min="1" max="1" width="2.140625" style="6" bestFit="1" customWidth="1"/>
    <col min="2" max="2" width="79.42578125" style="6" bestFit="1" customWidth="1"/>
    <col min="3" max="16384" width="8.7109375" style="6"/>
  </cols>
  <sheetData>
    <row r="1" spans="1:2">
      <c r="A1" s="6" t="s">
        <v>119</v>
      </c>
      <c r="B1" s="6" t="s">
        <v>120</v>
      </c>
    </row>
    <row r="2" spans="1:2">
      <c r="A2" s="6" t="s">
        <v>42</v>
      </c>
      <c r="B2" s="6" t="s">
        <v>121</v>
      </c>
    </row>
    <row r="3" spans="1:2">
      <c r="A3" s="6" t="s">
        <v>122</v>
      </c>
      <c r="B3" s="6" t="s">
        <v>123</v>
      </c>
    </row>
    <row r="4" spans="1:2">
      <c r="A4" s="6" t="s">
        <v>124</v>
      </c>
      <c r="B4" s="6" t="s">
        <v>125</v>
      </c>
    </row>
    <row r="5" spans="1:2">
      <c r="A5" s="6" t="s">
        <v>72</v>
      </c>
      <c r="B5" s="6" t="s">
        <v>126</v>
      </c>
    </row>
    <row r="6" spans="1:2">
      <c r="A6" s="6" t="s">
        <v>70</v>
      </c>
      <c r="B6" s="6"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39997558519241921"/>
  </sheetPr>
  <dimension ref="A1:D73"/>
  <sheetViews>
    <sheetView zoomScaleNormal="100" workbookViewId="0"/>
  </sheetViews>
  <sheetFormatPr defaultColWidth="8.7109375" defaultRowHeight="11.1"/>
  <cols>
    <col min="1" max="1" width="21.42578125" style="6" bestFit="1" customWidth="1"/>
    <col min="2" max="2" width="16.42578125" style="6" bestFit="1" customWidth="1"/>
    <col min="3" max="3" width="13.85546875" style="7" bestFit="1" customWidth="1"/>
    <col min="4" max="4" width="57" style="6" bestFit="1" customWidth="1"/>
    <col min="5" max="16384" width="8.7109375" style="6"/>
  </cols>
  <sheetData>
    <row r="1" spans="1:4">
      <c r="A1" s="13" t="s">
        <v>1</v>
      </c>
      <c r="B1" s="13" t="s">
        <v>128</v>
      </c>
      <c r="C1" s="1" t="s">
        <v>2</v>
      </c>
      <c r="D1" s="1" t="s">
        <v>129</v>
      </c>
    </row>
    <row r="2" spans="1:4">
      <c r="A2" s="6" t="s">
        <v>38</v>
      </c>
      <c r="B2" s="6" t="s">
        <v>130</v>
      </c>
      <c r="C2" s="7">
        <v>71</v>
      </c>
      <c r="D2" s="14"/>
    </row>
    <row r="3" spans="1:4">
      <c r="A3" s="6" t="s">
        <v>39</v>
      </c>
      <c r="B3" s="6" t="s">
        <v>130</v>
      </c>
      <c r="C3" s="7">
        <v>71</v>
      </c>
      <c r="D3" s="14"/>
    </row>
    <row r="4" spans="1:4">
      <c r="A4" s="6" t="s">
        <v>41</v>
      </c>
      <c r="B4" s="6" t="s">
        <v>130</v>
      </c>
      <c r="C4" s="7">
        <v>71</v>
      </c>
      <c r="D4" s="14"/>
    </row>
    <row r="5" spans="1:4">
      <c r="A5" s="6" t="s">
        <v>44</v>
      </c>
      <c r="B5" s="22" t="s">
        <v>131</v>
      </c>
      <c r="C5" s="15" t="s">
        <v>132</v>
      </c>
      <c r="D5" s="16" t="s">
        <v>133</v>
      </c>
    </row>
    <row r="6" spans="1:4">
      <c r="A6" s="6" t="s">
        <v>45</v>
      </c>
      <c r="B6" s="6" t="s">
        <v>130</v>
      </c>
      <c r="C6" s="7">
        <v>71</v>
      </c>
      <c r="D6" s="14"/>
    </row>
    <row r="7" spans="1:4">
      <c r="A7" s="6" t="s">
        <v>46</v>
      </c>
      <c r="B7" s="6" t="s">
        <v>130</v>
      </c>
      <c r="C7" s="7">
        <v>71</v>
      </c>
      <c r="D7" s="14"/>
    </row>
    <row r="8" spans="1:4">
      <c r="A8" s="6" t="s">
        <v>47</v>
      </c>
      <c r="B8" s="6" t="s">
        <v>134</v>
      </c>
      <c r="C8" s="7">
        <v>70</v>
      </c>
      <c r="D8" s="14"/>
    </row>
    <row r="9" spans="1:4">
      <c r="A9" s="6" t="s">
        <v>48</v>
      </c>
      <c r="B9" s="6" t="s">
        <v>134</v>
      </c>
      <c r="C9" s="7">
        <v>69</v>
      </c>
      <c r="D9" s="14"/>
    </row>
    <row r="10" spans="1:4">
      <c r="A10" s="6" t="s">
        <v>49</v>
      </c>
      <c r="B10" s="6" t="s">
        <v>130</v>
      </c>
      <c r="C10" s="7">
        <v>70</v>
      </c>
      <c r="D10" s="14"/>
    </row>
    <row r="11" spans="1:4">
      <c r="A11" s="6" t="s">
        <v>50</v>
      </c>
      <c r="B11" s="6" t="s">
        <v>130</v>
      </c>
      <c r="C11" s="7">
        <v>69</v>
      </c>
      <c r="D11" s="14"/>
    </row>
    <row r="12" spans="1:4">
      <c r="A12" s="6" t="s">
        <v>51</v>
      </c>
      <c r="B12" s="6" t="s">
        <v>130</v>
      </c>
      <c r="C12" s="7">
        <v>71</v>
      </c>
      <c r="D12" s="14"/>
    </row>
    <row r="13" spans="1:4">
      <c r="A13" s="6" t="s">
        <v>52</v>
      </c>
      <c r="B13" s="6" t="s">
        <v>130</v>
      </c>
      <c r="C13" s="7">
        <v>70</v>
      </c>
      <c r="D13" s="14"/>
    </row>
    <row r="14" spans="1:4">
      <c r="A14" s="6" t="s">
        <v>53</v>
      </c>
      <c r="B14" s="6" t="s">
        <v>130</v>
      </c>
      <c r="C14" s="7">
        <v>71</v>
      </c>
      <c r="D14" s="14"/>
    </row>
    <row r="15" spans="1:4">
      <c r="A15" s="6" t="s">
        <v>54</v>
      </c>
      <c r="B15" s="6" t="s">
        <v>130</v>
      </c>
      <c r="C15" s="7">
        <v>71</v>
      </c>
      <c r="D15" s="14"/>
    </row>
    <row r="16" spans="1:4">
      <c r="A16" s="6" t="s">
        <v>56</v>
      </c>
      <c r="B16" s="6" t="s">
        <v>130</v>
      </c>
      <c r="C16" s="7">
        <v>69</v>
      </c>
      <c r="D16" s="14"/>
    </row>
    <row r="17" spans="1:4">
      <c r="A17" s="6" t="s">
        <v>57</v>
      </c>
      <c r="B17" s="6" t="s">
        <v>130</v>
      </c>
      <c r="C17" s="7">
        <v>69</v>
      </c>
      <c r="D17" s="14"/>
    </row>
    <row r="18" spans="1:4">
      <c r="A18" s="6" t="s">
        <v>58</v>
      </c>
      <c r="B18" s="6" t="s">
        <v>130</v>
      </c>
      <c r="C18" s="7">
        <v>71</v>
      </c>
      <c r="D18" s="14"/>
    </row>
    <row r="19" spans="1:4">
      <c r="A19" s="6" t="s">
        <v>59</v>
      </c>
      <c r="B19" s="6" t="s">
        <v>130</v>
      </c>
      <c r="C19" s="7">
        <v>69</v>
      </c>
      <c r="D19" s="14"/>
    </row>
    <row r="20" spans="1:4">
      <c r="A20" s="6" t="s">
        <v>60</v>
      </c>
      <c r="B20" s="6" t="s">
        <v>130</v>
      </c>
      <c r="C20" s="7">
        <v>69</v>
      </c>
      <c r="D20" s="14"/>
    </row>
    <row r="21" spans="1:4">
      <c r="A21" s="6" t="s">
        <v>61</v>
      </c>
      <c r="B21" s="6" t="s">
        <v>134</v>
      </c>
      <c r="C21" s="7">
        <v>71</v>
      </c>
      <c r="D21" s="14"/>
    </row>
    <row r="22" spans="1:4">
      <c r="A22" s="6" t="s">
        <v>62</v>
      </c>
      <c r="B22" s="6" t="s">
        <v>134</v>
      </c>
      <c r="C22" s="7">
        <v>71</v>
      </c>
      <c r="D22" s="14"/>
    </row>
    <row r="23" spans="1:4">
      <c r="A23" s="6" t="s">
        <v>63</v>
      </c>
      <c r="B23" s="6" t="s">
        <v>130</v>
      </c>
      <c r="C23" s="7">
        <v>69</v>
      </c>
      <c r="D23" s="14"/>
    </row>
    <row r="24" spans="1:4">
      <c r="A24" s="6" t="s">
        <v>64</v>
      </c>
      <c r="B24" s="6" t="s">
        <v>134</v>
      </c>
      <c r="C24" s="7">
        <v>71</v>
      </c>
      <c r="D24" s="14"/>
    </row>
    <row r="25" spans="1:4">
      <c r="A25" s="6" t="s">
        <v>65</v>
      </c>
      <c r="B25" s="6" t="s">
        <v>130</v>
      </c>
      <c r="C25" s="7">
        <v>71</v>
      </c>
      <c r="D25" s="14"/>
    </row>
    <row r="26" spans="1:4">
      <c r="A26" s="6" t="s">
        <v>66</v>
      </c>
      <c r="B26" s="6" t="s">
        <v>135</v>
      </c>
      <c r="C26" s="7">
        <v>71</v>
      </c>
      <c r="D26" s="14"/>
    </row>
    <row r="27" spans="1:4">
      <c r="A27" s="6" t="s">
        <v>67</v>
      </c>
      <c r="B27" s="6" t="s">
        <v>135</v>
      </c>
      <c r="C27" s="7">
        <v>71</v>
      </c>
      <c r="D27" s="14"/>
    </row>
    <row r="28" spans="1:4">
      <c r="A28" s="6" t="s">
        <v>68</v>
      </c>
      <c r="B28" s="6" t="s">
        <v>134</v>
      </c>
      <c r="C28" s="7">
        <v>70</v>
      </c>
      <c r="D28" s="14"/>
    </row>
    <row r="29" spans="1:4">
      <c r="A29" s="6" t="s">
        <v>69</v>
      </c>
      <c r="B29" s="6" t="s">
        <v>134</v>
      </c>
      <c r="C29" s="7">
        <v>71</v>
      </c>
      <c r="D29" s="14"/>
    </row>
    <row r="30" spans="1:4">
      <c r="A30" s="6" t="s">
        <v>71</v>
      </c>
      <c r="B30" s="6" t="s">
        <v>130</v>
      </c>
      <c r="C30" s="17" t="s">
        <v>136</v>
      </c>
      <c r="D30" s="18"/>
    </row>
    <row r="31" spans="1:4">
      <c r="A31" s="6" t="s">
        <v>73</v>
      </c>
      <c r="B31" s="6" t="s">
        <v>130</v>
      </c>
      <c r="C31" s="7">
        <v>69</v>
      </c>
      <c r="D31" s="14"/>
    </row>
    <row r="32" spans="1:4">
      <c r="A32" s="6" t="s">
        <v>76</v>
      </c>
      <c r="B32" s="6" t="s">
        <v>130</v>
      </c>
      <c r="C32" s="17" t="s">
        <v>136</v>
      </c>
      <c r="D32" s="18"/>
    </row>
    <row r="33" spans="1:4">
      <c r="A33" s="6" t="s">
        <v>77</v>
      </c>
      <c r="B33" s="6" t="s">
        <v>130</v>
      </c>
      <c r="C33" s="7">
        <v>71</v>
      </c>
      <c r="D33" s="14"/>
    </row>
    <row r="34" spans="1:4">
      <c r="A34" s="6" t="s">
        <v>79</v>
      </c>
      <c r="B34" s="6" t="s">
        <v>130</v>
      </c>
      <c r="C34" s="7">
        <v>71</v>
      </c>
      <c r="D34" s="14"/>
    </row>
    <row r="35" spans="1:4">
      <c r="A35" s="6" t="s">
        <v>80</v>
      </c>
      <c r="B35" s="6" t="s">
        <v>130</v>
      </c>
      <c r="C35" s="7">
        <v>70</v>
      </c>
      <c r="D35" s="14"/>
    </row>
    <row r="36" spans="1:4">
      <c r="A36" s="6" t="s">
        <v>81</v>
      </c>
      <c r="B36" s="6" t="s">
        <v>130</v>
      </c>
      <c r="C36" s="7">
        <v>71</v>
      </c>
      <c r="D36" s="14"/>
    </row>
    <row r="37" spans="1:4">
      <c r="A37" s="6" t="s">
        <v>82</v>
      </c>
      <c r="B37" s="6" t="s">
        <v>130</v>
      </c>
      <c r="C37" s="7">
        <v>71</v>
      </c>
      <c r="D37" s="14"/>
    </row>
    <row r="38" spans="1:4">
      <c r="A38" s="6" t="s">
        <v>83</v>
      </c>
      <c r="B38" s="6" t="s">
        <v>130</v>
      </c>
      <c r="C38" s="7">
        <v>69</v>
      </c>
      <c r="D38" s="14"/>
    </row>
    <row r="39" spans="1:4">
      <c r="A39" s="6" t="s">
        <v>84</v>
      </c>
      <c r="B39" s="6" t="s">
        <v>134</v>
      </c>
      <c r="C39" s="7">
        <v>69</v>
      </c>
      <c r="D39" s="14"/>
    </row>
    <row r="40" spans="1:4">
      <c r="A40" s="6" t="s">
        <v>85</v>
      </c>
      <c r="B40" s="6" t="s">
        <v>130</v>
      </c>
      <c r="C40" s="7">
        <v>70</v>
      </c>
      <c r="D40" s="14"/>
    </row>
    <row r="41" spans="1:4">
      <c r="A41" s="6" t="s">
        <v>86</v>
      </c>
      <c r="B41" s="6" t="s">
        <v>134</v>
      </c>
      <c r="C41" s="7">
        <v>71</v>
      </c>
      <c r="D41" s="14"/>
    </row>
    <row r="42" spans="1:4">
      <c r="A42" s="6" t="s">
        <v>87</v>
      </c>
      <c r="B42" s="6" t="s">
        <v>130</v>
      </c>
      <c r="C42" s="7">
        <v>69</v>
      </c>
      <c r="D42" s="14"/>
    </row>
    <row r="43" spans="1:4">
      <c r="A43" s="6" t="s">
        <v>88</v>
      </c>
      <c r="B43" s="6" t="s">
        <v>130</v>
      </c>
      <c r="C43" s="7">
        <v>69</v>
      </c>
      <c r="D43" s="14"/>
    </row>
    <row r="44" spans="1:4">
      <c r="A44" s="6" t="s">
        <v>89</v>
      </c>
      <c r="B44" s="6" t="s">
        <v>130</v>
      </c>
      <c r="C44" s="7">
        <v>69</v>
      </c>
      <c r="D44" s="14"/>
    </row>
    <row r="45" spans="1:4">
      <c r="A45" s="6" t="s">
        <v>90</v>
      </c>
      <c r="B45" s="6" t="s">
        <v>130</v>
      </c>
      <c r="C45" s="7">
        <v>70</v>
      </c>
      <c r="D45" s="14"/>
    </row>
    <row r="46" spans="1:4">
      <c r="A46" s="6" t="s">
        <v>91</v>
      </c>
      <c r="B46" s="6" t="s">
        <v>134</v>
      </c>
      <c r="C46" s="7">
        <v>71</v>
      </c>
      <c r="D46" s="14"/>
    </row>
    <row r="47" spans="1:4">
      <c r="A47" s="6" t="s">
        <v>92</v>
      </c>
      <c r="B47" s="6" t="s">
        <v>130</v>
      </c>
      <c r="C47" s="7">
        <v>70</v>
      </c>
      <c r="D47" s="14"/>
    </row>
    <row r="48" spans="1:4">
      <c r="A48" s="6" t="s">
        <v>93</v>
      </c>
      <c r="B48" s="6" t="s">
        <v>130</v>
      </c>
      <c r="C48" s="7">
        <v>70</v>
      </c>
      <c r="D48" s="14"/>
    </row>
    <row r="49" spans="1:4">
      <c r="A49" s="6" t="s">
        <v>94</v>
      </c>
      <c r="B49" s="6" t="s">
        <v>130</v>
      </c>
      <c r="C49" s="7">
        <v>69</v>
      </c>
      <c r="D49" s="14"/>
    </row>
    <row r="50" spans="1:4">
      <c r="A50" s="6" t="s">
        <v>95</v>
      </c>
      <c r="B50" s="6" t="s">
        <v>134</v>
      </c>
      <c r="C50" s="7">
        <v>71</v>
      </c>
      <c r="D50" s="14"/>
    </row>
    <row r="51" spans="1:4">
      <c r="A51" s="6" t="s">
        <v>96</v>
      </c>
      <c r="B51" s="6" t="s">
        <v>134</v>
      </c>
      <c r="C51" s="7">
        <v>71</v>
      </c>
      <c r="D51" s="14"/>
    </row>
    <row r="52" spans="1:4">
      <c r="A52" s="6" t="s">
        <v>97</v>
      </c>
      <c r="B52" s="6" t="s">
        <v>130</v>
      </c>
      <c r="C52" s="7">
        <v>69</v>
      </c>
      <c r="D52" s="14"/>
    </row>
    <row r="53" spans="1:4">
      <c r="A53" s="6" t="s">
        <v>98</v>
      </c>
      <c r="B53" s="6" t="s">
        <v>130</v>
      </c>
      <c r="C53" s="7">
        <v>71</v>
      </c>
      <c r="D53" s="14"/>
    </row>
    <row r="54" spans="1:4">
      <c r="A54" s="6" t="s">
        <v>99</v>
      </c>
      <c r="B54" s="6" t="s">
        <v>130</v>
      </c>
      <c r="C54" s="7">
        <v>71</v>
      </c>
      <c r="D54" s="14"/>
    </row>
    <row r="55" spans="1:4">
      <c r="A55" s="6" t="s">
        <v>100</v>
      </c>
      <c r="B55" s="6" t="s">
        <v>130</v>
      </c>
      <c r="C55" s="7">
        <v>71</v>
      </c>
      <c r="D55" s="14"/>
    </row>
    <row r="56" spans="1:4">
      <c r="A56" s="6" t="s">
        <v>101</v>
      </c>
      <c r="B56" s="6" t="s">
        <v>130</v>
      </c>
      <c r="C56" s="7">
        <v>71</v>
      </c>
      <c r="D56" s="14"/>
    </row>
    <row r="57" spans="1:4">
      <c r="A57" s="6" t="s">
        <v>102</v>
      </c>
      <c r="B57" s="6" t="s">
        <v>134</v>
      </c>
      <c r="C57" s="7">
        <v>71</v>
      </c>
      <c r="D57" s="14"/>
    </row>
    <row r="58" spans="1:4">
      <c r="A58" s="6" t="s">
        <v>103</v>
      </c>
      <c r="B58" s="6" t="s">
        <v>130</v>
      </c>
      <c r="C58" s="7">
        <v>71</v>
      </c>
      <c r="D58" s="14"/>
    </row>
    <row r="59" spans="1:4">
      <c r="A59" s="6" t="s">
        <v>104</v>
      </c>
      <c r="B59" s="6" t="s">
        <v>130</v>
      </c>
      <c r="C59" s="7">
        <v>69</v>
      </c>
      <c r="D59" s="14"/>
    </row>
    <row r="60" spans="1:4">
      <c r="A60" s="6" t="s">
        <v>105</v>
      </c>
      <c r="B60" s="6" t="s">
        <v>130</v>
      </c>
      <c r="C60" s="7">
        <v>69</v>
      </c>
      <c r="D60" s="14"/>
    </row>
    <row r="61" spans="1:4">
      <c r="A61" s="6" t="s">
        <v>106</v>
      </c>
      <c r="B61" s="6" t="s">
        <v>130</v>
      </c>
      <c r="C61" s="17" t="s">
        <v>136</v>
      </c>
      <c r="D61" s="18"/>
    </row>
    <row r="62" spans="1:4">
      <c r="A62" s="6" t="s">
        <v>107</v>
      </c>
      <c r="B62" s="6" t="s">
        <v>130</v>
      </c>
      <c r="C62" s="7">
        <v>71</v>
      </c>
      <c r="D62" s="14"/>
    </row>
    <row r="63" spans="1:4">
      <c r="A63" s="6" t="s">
        <v>108</v>
      </c>
      <c r="B63" s="6" t="s">
        <v>130</v>
      </c>
      <c r="C63" s="7">
        <v>71</v>
      </c>
      <c r="D63" s="14"/>
    </row>
    <row r="64" spans="1:4">
      <c r="A64" s="6" t="s">
        <v>109</v>
      </c>
      <c r="B64" s="6" t="s">
        <v>130</v>
      </c>
      <c r="C64" s="7">
        <v>69</v>
      </c>
      <c r="D64" s="14"/>
    </row>
    <row r="65" spans="1:4">
      <c r="A65" s="6" t="s">
        <v>110</v>
      </c>
      <c r="B65" s="6" t="s">
        <v>130</v>
      </c>
      <c r="C65" s="7">
        <v>69</v>
      </c>
      <c r="D65" s="14"/>
    </row>
    <row r="66" spans="1:4">
      <c r="A66" s="6" t="s">
        <v>111</v>
      </c>
      <c r="B66" s="6" t="s">
        <v>130</v>
      </c>
      <c r="C66" s="7">
        <v>69</v>
      </c>
      <c r="D66" s="14"/>
    </row>
    <row r="67" spans="1:4">
      <c r="A67" s="6" t="s">
        <v>112</v>
      </c>
      <c r="B67" s="6" t="s">
        <v>130</v>
      </c>
      <c r="C67" s="7">
        <v>69</v>
      </c>
      <c r="D67" s="14"/>
    </row>
    <row r="68" spans="1:4">
      <c r="A68" s="6" t="s">
        <v>113</v>
      </c>
      <c r="B68" s="6" t="s">
        <v>130</v>
      </c>
      <c r="C68" s="7">
        <v>69</v>
      </c>
      <c r="D68" s="14"/>
    </row>
    <row r="69" spans="1:4">
      <c r="A69" s="6" t="s">
        <v>114</v>
      </c>
      <c r="B69" s="6" t="s">
        <v>130</v>
      </c>
      <c r="C69" s="7">
        <v>69</v>
      </c>
      <c r="D69" s="14"/>
    </row>
    <row r="70" spans="1:4">
      <c r="A70" s="6" t="s">
        <v>115</v>
      </c>
      <c r="B70" s="6" t="s">
        <v>130</v>
      </c>
      <c r="C70" s="7">
        <v>69</v>
      </c>
      <c r="D70" s="14"/>
    </row>
    <row r="71" spans="1:4">
      <c r="A71" s="6" t="s">
        <v>116</v>
      </c>
      <c r="B71" s="6" t="s">
        <v>134</v>
      </c>
      <c r="C71" s="7">
        <v>69</v>
      </c>
      <c r="D71" s="14"/>
    </row>
    <row r="72" spans="1:4">
      <c r="A72" s="6" t="s">
        <v>117</v>
      </c>
      <c r="B72" s="6" t="s">
        <v>130</v>
      </c>
      <c r="C72" s="7">
        <v>69</v>
      </c>
      <c r="D72" s="14"/>
    </row>
    <row r="73" spans="1:4">
      <c r="A73" s="6" t="s">
        <v>118</v>
      </c>
      <c r="B73" s="6" t="s">
        <v>130</v>
      </c>
      <c r="C73" s="7">
        <v>69</v>
      </c>
      <c r="D73" s="14"/>
    </row>
  </sheetData>
  <autoFilter ref="A1:D73" xr:uid="{00000000-0009-0000-0000-000002000000}"/>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E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7" bestFit="1" customWidth="1"/>
    <col min="4" max="4" width="35" style="22" bestFit="1" customWidth="1"/>
    <col min="5" max="5" width="34.85546875" style="14" bestFit="1" customWidth="1"/>
    <col min="6" max="16384" width="8.7109375" style="6"/>
  </cols>
  <sheetData>
    <row r="1" spans="1:5">
      <c r="A1" s="13" t="s">
        <v>1</v>
      </c>
      <c r="B1" s="38" t="s">
        <v>137</v>
      </c>
      <c r="C1" s="1" t="s">
        <v>2</v>
      </c>
      <c r="D1" s="19" t="s">
        <v>129</v>
      </c>
      <c r="E1" s="1" t="s">
        <v>138</v>
      </c>
    </row>
    <row r="2" spans="1:5">
      <c r="A2" s="6" t="s">
        <v>38</v>
      </c>
      <c r="B2" s="39" t="s">
        <v>139</v>
      </c>
      <c r="C2" s="7">
        <v>38</v>
      </c>
      <c r="D2" s="16"/>
      <c r="E2" s="14" t="s">
        <v>140</v>
      </c>
    </row>
    <row r="3" spans="1:5">
      <c r="A3" s="6" t="s">
        <v>39</v>
      </c>
      <c r="B3" s="39" t="s">
        <v>139</v>
      </c>
      <c r="C3" s="7">
        <v>38</v>
      </c>
      <c r="D3" s="16"/>
      <c r="E3" s="14" t="s">
        <v>140</v>
      </c>
    </row>
    <row r="4" spans="1:5">
      <c r="A4" s="6" t="s">
        <v>41</v>
      </c>
      <c r="B4" s="39" t="s">
        <v>139</v>
      </c>
      <c r="C4" s="7">
        <v>38</v>
      </c>
      <c r="D4" s="16"/>
      <c r="E4" s="14" t="s">
        <v>140</v>
      </c>
    </row>
    <row r="5" spans="1:5">
      <c r="A5" s="6" t="s">
        <v>44</v>
      </c>
      <c r="B5" s="39" t="s">
        <v>141</v>
      </c>
      <c r="C5" s="7">
        <v>38</v>
      </c>
      <c r="D5" s="16"/>
      <c r="E5" s="14" t="s">
        <v>140</v>
      </c>
    </row>
    <row r="6" spans="1:5">
      <c r="A6" s="6" t="s">
        <v>45</v>
      </c>
      <c r="B6" s="39" t="s">
        <v>141</v>
      </c>
      <c r="C6" s="7">
        <v>38</v>
      </c>
      <c r="D6" s="16"/>
      <c r="E6" s="14" t="s">
        <v>140</v>
      </c>
    </row>
    <row r="7" spans="1:5">
      <c r="A7" s="6" t="s">
        <v>46</v>
      </c>
      <c r="B7" s="39" t="s">
        <v>141</v>
      </c>
      <c r="C7" s="7">
        <v>38</v>
      </c>
      <c r="D7" s="16"/>
      <c r="E7" s="14" t="s">
        <v>140</v>
      </c>
    </row>
    <row r="8" spans="1:5">
      <c r="A8" s="6" t="s">
        <v>47</v>
      </c>
      <c r="B8" s="39" t="s">
        <v>139</v>
      </c>
      <c r="C8" s="7">
        <v>38</v>
      </c>
      <c r="D8" s="16"/>
      <c r="E8" s="14" t="s">
        <v>142</v>
      </c>
    </row>
    <row r="9" spans="1:5">
      <c r="A9" s="6" t="s">
        <v>48</v>
      </c>
      <c r="B9" s="39" t="s">
        <v>139</v>
      </c>
      <c r="C9" s="7">
        <v>38</v>
      </c>
      <c r="D9" s="16"/>
      <c r="E9" s="14" t="s">
        <v>142</v>
      </c>
    </row>
    <row r="10" spans="1:5">
      <c r="A10" s="6" t="s">
        <v>49</v>
      </c>
      <c r="B10" s="39" t="s">
        <v>141</v>
      </c>
      <c r="C10" s="7">
        <v>38</v>
      </c>
      <c r="D10" s="16"/>
      <c r="E10" s="14" t="s">
        <v>140</v>
      </c>
    </row>
    <row r="11" spans="1:5">
      <c r="A11" s="6" t="s">
        <v>50</v>
      </c>
      <c r="B11" s="39" t="s">
        <v>143</v>
      </c>
      <c r="C11" s="7">
        <v>38</v>
      </c>
      <c r="D11" s="16"/>
      <c r="E11" s="14" t="s">
        <v>142</v>
      </c>
    </row>
    <row r="12" spans="1:5">
      <c r="A12" s="6" t="s">
        <v>51</v>
      </c>
      <c r="B12" s="39" t="s">
        <v>143</v>
      </c>
      <c r="C12" s="7">
        <v>69</v>
      </c>
      <c r="D12" s="20" t="s">
        <v>144</v>
      </c>
    </row>
    <row r="13" spans="1:5">
      <c r="A13" s="6" t="s">
        <v>52</v>
      </c>
      <c r="B13" s="39" t="s">
        <v>143</v>
      </c>
      <c r="C13" s="7">
        <v>38</v>
      </c>
      <c r="D13" s="16"/>
      <c r="E13" s="14" t="s">
        <v>140</v>
      </c>
    </row>
    <row r="14" spans="1:5">
      <c r="A14" s="6" t="s">
        <v>53</v>
      </c>
      <c r="B14" s="39" t="s">
        <v>143</v>
      </c>
      <c r="C14" s="7">
        <v>38</v>
      </c>
      <c r="D14" s="16"/>
      <c r="E14" s="14" t="s">
        <v>142</v>
      </c>
    </row>
    <row r="15" spans="1:5">
      <c r="A15" s="6" t="s">
        <v>54</v>
      </c>
      <c r="B15" s="39" t="s">
        <v>143</v>
      </c>
      <c r="C15" s="7">
        <v>38</v>
      </c>
      <c r="D15" s="16"/>
      <c r="E15" s="14" t="s">
        <v>142</v>
      </c>
    </row>
    <row r="16" spans="1:5">
      <c r="A16" s="6" t="s">
        <v>56</v>
      </c>
      <c r="B16" s="39" t="s">
        <v>141</v>
      </c>
      <c r="C16" s="7">
        <v>38</v>
      </c>
      <c r="D16" s="16"/>
      <c r="E16" s="14" t="s">
        <v>145</v>
      </c>
    </row>
    <row r="17" spans="1:5">
      <c r="A17" s="6" t="s">
        <v>57</v>
      </c>
      <c r="B17" s="39" t="s">
        <v>141</v>
      </c>
      <c r="C17" s="7">
        <v>38</v>
      </c>
      <c r="D17" s="16"/>
      <c r="E17" s="14" t="s">
        <v>142</v>
      </c>
    </row>
    <row r="18" spans="1:5">
      <c r="A18" s="6" t="s">
        <v>58</v>
      </c>
      <c r="B18" s="39" t="s">
        <v>141</v>
      </c>
      <c r="C18" s="7">
        <v>38</v>
      </c>
      <c r="D18" s="16"/>
      <c r="E18" s="14" t="s">
        <v>140</v>
      </c>
    </row>
    <row r="19" spans="1:5">
      <c r="A19" s="6" t="s">
        <v>59</v>
      </c>
      <c r="B19" s="39" t="s">
        <v>141</v>
      </c>
      <c r="C19" s="7">
        <v>38</v>
      </c>
      <c r="D19" s="16"/>
      <c r="E19" s="14" t="s">
        <v>140</v>
      </c>
    </row>
    <row r="20" spans="1:5">
      <c r="A20" s="6" t="s">
        <v>60</v>
      </c>
      <c r="B20" s="39" t="s">
        <v>141</v>
      </c>
      <c r="C20" s="7">
        <v>38</v>
      </c>
      <c r="D20" s="16"/>
      <c r="E20" s="14" t="s">
        <v>140</v>
      </c>
    </row>
    <row r="21" spans="1:5">
      <c r="A21" s="6" t="s">
        <v>61</v>
      </c>
      <c r="B21" s="39" t="s">
        <v>143</v>
      </c>
      <c r="C21" s="7">
        <v>38</v>
      </c>
      <c r="D21" s="16"/>
      <c r="E21" s="14" t="s">
        <v>142</v>
      </c>
    </row>
    <row r="22" spans="1:5">
      <c r="A22" s="6" t="s">
        <v>62</v>
      </c>
      <c r="B22" s="39" t="s">
        <v>143</v>
      </c>
      <c r="C22" s="7">
        <v>38</v>
      </c>
      <c r="D22" s="16"/>
      <c r="E22" s="14" t="s">
        <v>142</v>
      </c>
    </row>
    <row r="23" spans="1:5">
      <c r="A23" s="6" t="s">
        <v>63</v>
      </c>
      <c r="B23" s="39" t="s">
        <v>139</v>
      </c>
      <c r="C23" s="7">
        <v>38</v>
      </c>
      <c r="D23" s="16"/>
      <c r="E23" s="14" t="s">
        <v>140</v>
      </c>
    </row>
    <row r="24" spans="1:5">
      <c r="A24" s="6" t="s">
        <v>64</v>
      </c>
      <c r="B24" s="39" t="s">
        <v>143</v>
      </c>
      <c r="C24" s="7">
        <v>38</v>
      </c>
      <c r="D24" s="16"/>
      <c r="E24" s="14" t="s">
        <v>142</v>
      </c>
    </row>
    <row r="25" spans="1:5">
      <c r="A25" s="6" t="s">
        <v>65</v>
      </c>
      <c r="B25" s="39" t="s">
        <v>143</v>
      </c>
      <c r="C25" s="7">
        <v>38</v>
      </c>
      <c r="D25" s="16"/>
      <c r="E25" s="14" t="s">
        <v>140</v>
      </c>
    </row>
    <row r="26" spans="1:5">
      <c r="A26" s="6" t="s">
        <v>66</v>
      </c>
      <c r="B26" s="39" t="s">
        <v>141</v>
      </c>
      <c r="C26" s="7">
        <v>38</v>
      </c>
      <c r="D26" s="20" t="s">
        <v>146</v>
      </c>
      <c r="E26" s="14" t="s">
        <v>142</v>
      </c>
    </row>
    <row r="27" spans="1:5">
      <c r="A27" s="6" t="s">
        <v>67</v>
      </c>
      <c r="B27" s="39" t="s">
        <v>141</v>
      </c>
      <c r="C27" s="7">
        <v>38</v>
      </c>
      <c r="D27" s="20" t="s">
        <v>146</v>
      </c>
      <c r="E27" s="14" t="s">
        <v>142</v>
      </c>
    </row>
    <row r="28" spans="1:5">
      <c r="A28" s="6" t="s">
        <v>68</v>
      </c>
      <c r="B28" s="39" t="s">
        <v>143</v>
      </c>
      <c r="C28" s="7">
        <v>38</v>
      </c>
      <c r="D28" s="16"/>
      <c r="E28" s="14" t="s">
        <v>142</v>
      </c>
    </row>
    <row r="29" spans="1:5">
      <c r="A29" s="6" t="s">
        <v>69</v>
      </c>
      <c r="B29" s="39" t="s">
        <v>143</v>
      </c>
      <c r="C29" s="7">
        <v>38</v>
      </c>
      <c r="D29" s="16"/>
      <c r="E29" s="14" t="s">
        <v>142</v>
      </c>
    </row>
    <row r="30" spans="1:5">
      <c r="A30" s="6" t="s">
        <v>71</v>
      </c>
      <c r="B30" s="39" t="s">
        <v>139</v>
      </c>
      <c r="C30" s="7">
        <v>38</v>
      </c>
      <c r="D30" s="16"/>
      <c r="E30" s="14" t="s">
        <v>147</v>
      </c>
    </row>
    <row r="31" spans="1:5">
      <c r="A31" s="6" t="s">
        <v>73</v>
      </c>
      <c r="B31" s="39" t="s">
        <v>139</v>
      </c>
      <c r="C31" s="7">
        <v>38</v>
      </c>
      <c r="D31" s="16"/>
      <c r="E31" s="14" t="s">
        <v>140</v>
      </c>
    </row>
    <row r="32" spans="1:5">
      <c r="A32" s="6" t="s">
        <v>76</v>
      </c>
      <c r="B32" s="39" t="s">
        <v>139</v>
      </c>
      <c r="C32" s="21" t="s">
        <v>136</v>
      </c>
      <c r="D32" s="16"/>
    </row>
    <row r="33" spans="1:5">
      <c r="A33" s="6" t="s">
        <v>77</v>
      </c>
      <c r="B33" s="39" t="s">
        <v>141</v>
      </c>
      <c r="C33" s="7">
        <v>38</v>
      </c>
      <c r="D33" s="16"/>
      <c r="E33" s="14" t="s">
        <v>140</v>
      </c>
    </row>
    <row r="34" spans="1:5">
      <c r="A34" s="6" t="s">
        <v>79</v>
      </c>
      <c r="B34" s="39" t="s">
        <v>141</v>
      </c>
      <c r="C34" s="7">
        <v>38</v>
      </c>
      <c r="D34" s="20" t="s">
        <v>146</v>
      </c>
      <c r="E34" s="14" t="s">
        <v>142</v>
      </c>
    </row>
    <row r="35" spans="1:5">
      <c r="A35" s="6" t="s">
        <v>80</v>
      </c>
      <c r="B35" s="39" t="s">
        <v>139</v>
      </c>
      <c r="C35" s="7">
        <v>38</v>
      </c>
      <c r="D35" s="16"/>
      <c r="E35" s="14" t="s">
        <v>142</v>
      </c>
    </row>
    <row r="36" spans="1:5">
      <c r="A36" s="6" t="s">
        <v>81</v>
      </c>
      <c r="B36" s="39" t="s">
        <v>143</v>
      </c>
      <c r="C36" s="7">
        <v>38</v>
      </c>
      <c r="D36" s="16"/>
      <c r="E36" s="14" t="s">
        <v>140</v>
      </c>
    </row>
    <row r="37" spans="1:5">
      <c r="A37" s="6" t="s">
        <v>82</v>
      </c>
      <c r="B37" s="39" t="s">
        <v>141</v>
      </c>
      <c r="C37" s="7">
        <v>38</v>
      </c>
      <c r="D37" s="16"/>
      <c r="E37" s="14" t="s">
        <v>142</v>
      </c>
    </row>
    <row r="38" spans="1:5">
      <c r="A38" s="6" t="s">
        <v>83</v>
      </c>
      <c r="B38" s="39" t="s">
        <v>143</v>
      </c>
      <c r="C38" s="7">
        <v>38</v>
      </c>
      <c r="D38" s="16"/>
      <c r="E38" s="14" t="s">
        <v>140</v>
      </c>
    </row>
    <row r="39" spans="1:5">
      <c r="A39" s="6" t="s">
        <v>84</v>
      </c>
      <c r="B39" s="39" t="s">
        <v>139</v>
      </c>
      <c r="C39" s="7">
        <v>38</v>
      </c>
      <c r="D39" s="16"/>
      <c r="E39" s="14" t="s">
        <v>142</v>
      </c>
    </row>
    <row r="40" spans="1:5">
      <c r="A40" s="6" t="s">
        <v>85</v>
      </c>
      <c r="B40" s="39" t="s">
        <v>141</v>
      </c>
      <c r="C40" s="7">
        <v>38</v>
      </c>
      <c r="D40" s="16"/>
      <c r="E40" s="14" t="s">
        <v>142</v>
      </c>
    </row>
    <row r="41" spans="1:5">
      <c r="A41" s="6" t="s">
        <v>86</v>
      </c>
      <c r="B41" s="39" t="s">
        <v>143</v>
      </c>
      <c r="C41" s="7">
        <v>38</v>
      </c>
      <c r="D41" s="16"/>
      <c r="E41" s="14" t="s">
        <v>142</v>
      </c>
    </row>
    <row r="42" spans="1:5">
      <c r="A42" s="6" t="s">
        <v>87</v>
      </c>
      <c r="B42" s="39" t="s">
        <v>141</v>
      </c>
      <c r="C42" s="7">
        <v>38</v>
      </c>
      <c r="D42" s="16"/>
      <c r="E42" s="14" t="s">
        <v>140</v>
      </c>
    </row>
    <row r="43" spans="1:5">
      <c r="A43" s="6" t="s">
        <v>88</v>
      </c>
      <c r="B43" s="39" t="s">
        <v>141</v>
      </c>
      <c r="C43" s="21" t="s">
        <v>136</v>
      </c>
      <c r="D43" s="16"/>
    </row>
    <row r="44" spans="1:5">
      <c r="A44" s="6" t="s">
        <v>89</v>
      </c>
      <c r="B44" s="39" t="s">
        <v>141</v>
      </c>
      <c r="C44" s="7">
        <v>38</v>
      </c>
      <c r="D44" s="16"/>
      <c r="E44" s="14" t="s">
        <v>140</v>
      </c>
    </row>
    <row r="45" spans="1:5">
      <c r="A45" s="6" t="s">
        <v>90</v>
      </c>
      <c r="B45" s="39" t="s">
        <v>141</v>
      </c>
      <c r="C45" s="15">
        <v>75</v>
      </c>
      <c r="D45" s="16"/>
      <c r="E45" s="14" t="s">
        <v>142</v>
      </c>
    </row>
    <row r="46" spans="1:5">
      <c r="A46" s="6" t="s">
        <v>91</v>
      </c>
      <c r="B46" s="39" t="s">
        <v>143</v>
      </c>
      <c r="C46" s="7">
        <v>38</v>
      </c>
      <c r="D46" s="16"/>
      <c r="E46" s="14" t="s">
        <v>142</v>
      </c>
    </row>
    <row r="47" spans="1:5">
      <c r="A47" s="6" t="s">
        <v>92</v>
      </c>
      <c r="B47" s="39" t="s">
        <v>143</v>
      </c>
      <c r="C47" s="7">
        <v>38</v>
      </c>
      <c r="D47" s="16"/>
      <c r="E47" s="14" t="s">
        <v>140</v>
      </c>
    </row>
    <row r="48" spans="1:5">
      <c r="A48" s="6" t="s">
        <v>93</v>
      </c>
      <c r="B48" s="39" t="s">
        <v>139</v>
      </c>
      <c r="C48" s="7">
        <v>38</v>
      </c>
      <c r="D48" s="16"/>
      <c r="E48" s="14" t="s">
        <v>140</v>
      </c>
    </row>
    <row r="49" spans="1:5">
      <c r="A49" s="6" t="s">
        <v>94</v>
      </c>
      <c r="B49" s="39" t="s">
        <v>141</v>
      </c>
      <c r="C49" s="7">
        <v>38</v>
      </c>
      <c r="D49" s="16"/>
      <c r="E49" s="14" t="s">
        <v>140</v>
      </c>
    </row>
    <row r="50" spans="1:5">
      <c r="A50" s="6" t="s">
        <v>95</v>
      </c>
      <c r="B50" s="39" t="s">
        <v>143</v>
      </c>
      <c r="C50" s="7">
        <v>38</v>
      </c>
      <c r="D50" s="16"/>
      <c r="E50" s="14" t="s">
        <v>142</v>
      </c>
    </row>
    <row r="51" spans="1:5">
      <c r="A51" s="6" t="s">
        <v>96</v>
      </c>
      <c r="B51" s="39" t="s">
        <v>143</v>
      </c>
      <c r="C51" s="7">
        <v>38</v>
      </c>
      <c r="D51" s="16"/>
      <c r="E51" s="14" t="s">
        <v>142</v>
      </c>
    </row>
    <row r="52" spans="1:5">
      <c r="A52" s="6" t="s">
        <v>97</v>
      </c>
      <c r="B52" s="39" t="s">
        <v>141</v>
      </c>
      <c r="C52" s="7">
        <v>38</v>
      </c>
      <c r="D52" s="16"/>
      <c r="E52" s="14" t="s">
        <v>140</v>
      </c>
    </row>
    <row r="53" spans="1:5">
      <c r="A53" s="6" t="s">
        <v>98</v>
      </c>
      <c r="B53" s="39" t="s">
        <v>141</v>
      </c>
      <c r="C53" s="7">
        <v>38</v>
      </c>
      <c r="D53" s="16"/>
      <c r="E53" s="14" t="s">
        <v>140</v>
      </c>
    </row>
    <row r="54" spans="1:5">
      <c r="A54" s="6" t="s">
        <v>99</v>
      </c>
      <c r="B54" s="39" t="s">
        <v>141</v>
      </c>
      <c r="C54" s="7">
        <v>38</v>
      </c>
      <c r="D54" s="16"/>
      <c r="E54" s="14" t="s">
        <v>140</v>
      </c>
    </row>
    <row r="55" spans="1:5">
      <c r="A55" s="6" t="s">
        <v>100</v>
      </c>
      <c r="B55" s="39" t="s">
        <v>141</v>
      </c>
      <c r="C55" s="7">
        <v>38</v>
      </c>
      <c r="D55" s="16"/>
      <c r="E55" s="14" t="s">
        <v>140</v>
      </c>
    </row>
    <row r="56" spans="1:5">
      <c r="A56" s="6" t="s">
        <v>101</v>
      </c>
      <c r="B56" s="39" t="s">
        <v>141</v>
      </c>
      <c r="C56" s="7">
        <v>38</v>
      </c>
      <c r="D56" s="20" t="s">
        <v>146</v>
      </c>
      <c r="E56" s="14" t="s">
        <v>140</v>
      </c>
    </row>
    <row r="57" spans="1:5">
      <c r="A57" s="6" t="s">
        <v>102</v>
      </c>
      <c r="B57" s="39" t="s">
        <v>143</v>
      </c>
      <c r="C57" s="7">
        <v>38</v>
      </c>
      <c r="D57" s="16"/>
      <c r="E57" s="14" t="s">
        <v>142</v>
      </c>
    </row>
    <row r="58" spans="1:5">
      <c r="A58" s="6" t="s">
        <v>103</v>
      </c>
      <c r="B58" s="39" t="s">
        <v>139</v>
      </c>
      <c r="C58" s="7">
        <v>38</v>
      </c>
      <c r="D58" s="16"/>
      <c r="E58" s="14" t="s">
        <v>140</v>
      </c>
    </row>
    <row r="59" spans="1:5">
      <c r="A59" s="6" t="s">
        <v>104</v>
      </c>
      <c r="B59" s="39" t="s">
        <v>141</v>
      </c>
      <c r="C59" s="21" t="s">
        <v>136</v>
      </c>
    </row>
    <row r="60" spans="1:5">
      <c r="A60" s="6" t="s">
        <v>105</v>
      </c>
      <c r="B60" s="39" t="s">
        <v>141</v>
      </c>
      <c r="C60" s="7">
        <v>38</v>
      </c>
      <c r="E60" s="14" t="s">
        <v>140</v>
      </c>
    </row>
    <row r="61" spans="1:5">
      <c r="A61" s="6" t="s">
        <v>106</v>
      </c>
      <c r="B61" s="39" t="s">
        <v>141</v>
      </c>
      <c r="C61" s="7">
        <v>38</v>
      </c>
      <c r="D61" s="16"/>
      <c r="E61" s="14" t="s">
        <v>148</v>
      </c>
    </row>
    <row r="62" spans="1:5">
      <c r="A62" s="6" t="s">
        <v>107</v>
      </c>
      <c r="B62" s="39" t="s">
        <v>141</v>
      </c>
      <c r="C62" s="7">
        <v>38</v>
      </c>
      <c r="D62" s="16"/>
      <c r="E62" s="14" t="s">
        <v>140</v>
      </c>
    </row>
    <row r="63" spans="1:5">
      <c r="A63" s="6" t="s">
        <v>108</v>
      </c>
      <c r="B63" s="39" t="s">
        <v>139</v>
      </c>
      <c r="C63" s="7">
        <v>38</v>
      </c>
      <c r="D63" s="16"/>
      <c r="E63" s="14" t="s">
        <v>142</v>
      </c>
    </row>
    <row r="64" spans="1:5">
      <c r="A64" s="6" t="s">
        <v>109</v>
      </c>
      <c r="B64" s="39" t="s">
        <v>139</v>
      </c>
      <c r="C64" s="7">
        <v>38</v>
      </c>
      <c r="D64" s="16"/>
      <c r="E64" s="14" t="s">
        <v>142</v>
      </c>
    </row>
    <row r="65" spans="1:5">
      <c r="A65" s="6" t="s">
        <v>110</v>
      </c>
      <c r="B65" s="39" t="s">
        <v>143</v>
      </c>
      <c r="C65" s="7">
        <v>38</v>
      </c>
      <c r="D65" s="16"/>
      <c r="E65" s="14" t="s">
        <v>142</v>
      </c>
    </row>
    <row r="66" spans="1:5">
      <c r="A66" s="6" t="s">
        <v>111</v>
      </c>
      <c r="B66" s="39" t="s">
        <v>143</v>
      </c>
      <c r="C66" s="7">
        <v>38</v>
      </c>
      <c r="D66" s="16"/>
      <c r="E66" s="14" t="s">
        <v>140</v>
      </c>
    </row>
    <row r="67" spans="1:5">
      <c r="A67" s="6" t="s">
        <v>112</v>
      </c>
      <c r="B67" s="39" t="s">
        <v>143</v>
      </c>
      <c r="C67" s="7">
        <v>38</v>
      </c>
      <c r="D67" s="16"/>
      <c r="E67" s="14" t="s">
        <v>140</v>
      </c>
    </row>
    <row r="68" spans="1:5">
      <c r="A68" s="6" t="s">
        <v>113</v>
      </c>
      <c r="B68" s="39" t="s">
        <v>143</v>
      </c>
      <c r="C68" s="7">
        <v>38</v>
      </c>
      <c r="D68" s="16"/>
      <c r="E68" s="14" t="s">
        <v>140</v>
      </c>
    </row>
    <row r="69" spans="1:5">
      <c r="A69" s="6" t="s">
        <v>114</v>
      </c>
      <c r="B69" s="39" t="s">
        <v>139</v>
      </c>
      <c r="C69" s="7">
        <v>38</v>
      </c>
      <c r="D69" s="16"/>
      <c r="E69" s="14" t="s">
        <v>140</v>
      </c>
    </row>
    <row r="70" spans="1:5">
      <c r="A70" s="6" t="s">
        <v>115</v>
      </c>
      <c r="B70" s="39" t="s">
        <v>139</v>
      </c>
      <c r="C70" s="7">
        <v>38</v>
      </c>
      <c r="D70" s="16"/>
      <c r="E70" s="14" t="s">
        <v>140</v>
      </c>
    </row>
    <row r="71" spans="1:5">
      <c r="A71" s="6" t="s">
        <v>116</v>
      </c>
      <c r="B71" s="39" t="s">
        <v>143</v>
      </c>
      <c r="C71" s="7">
        <v>38</v>
      </c>
      <c r="D71" s="16"/>
      <c r="E71" s="14" t="s">
        <v>142</v>
      </c>
    </row>
    <row r="72" spans="1:5">
      <c r="A72" s="6" t="s">
        <v>117</v>
      </c>
      <c r="B72" s="39" t="s">
        <v>139</v>
      </c>
      <c r="C72" s="21" t="s">
        <v>136</v>
      </c>
      <c r="D72" s="16"/>
    </row>
    <row r="73" spans="1:5">
      <c r="A73" s="6" t="s">
        <v>118</v>
      </c>
      <c r="B73" s="39" t="s">
        <v>141</v>
      </c>
      <c r="C73" s="7">
        <v>38</v>
      </c>
      <c r="D73" s="16"/>
      <c r="E73" s="14" t="s">
        <v>142</v>
      </c>
    </row>
  </sheetData>
  <autoFilter ref="A1:E73" xr:uid="{00000000-0009-0000-0000-000003000000}"/>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A1:G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24" bestFit="1" customWidth="1"/>
    <col min="4" max="4" width="23.42578125" style="36" bestFit="1" customWidth="1"/>
    <col min="5" max="5" width="25.42578125" style="36" bestFit="1" customWidth="1"/>
    <col min="6" max="6" width="24.85546875" style="36" bestFit="1" customWidth="1"/>
    <col min="7" max="7" width="63.42578125" style="14" bestFit="1" customWidth="1"/>
    <col min="8" max="16384" width="8.7109375" style="6"/>
  </cols>
  <sheetData>
    <row r="1" spans="1:7">
      <c r="A1" s="13" t="s">
        <v>1</v>
      </c>
      <c r="B1" s="40" t="s">
        <v>149</v>
      </c>
      <c r="C1" s="23" t="s">
        <v>2</v>
      </c>
      <c r="D1" s="34" t="s">
        <v>150</v>
      </c>
      <c r="E1" s="34" t="s">
        <v>151</v>
      </c>
      <c r="F1" s="34" t="s">
        <v>152</v>
      </c>
      <c r="G1" s="1" t="s">
        <v>129</v>
      </c>
    </row>
    <row r="2" spans="1:7">
      <c r="A2" s="6" t="s">
        <v>38</v>
      </c>
      <c r="B2" s="36">
        <v>115.00000000000001</v>
      </c>
      <c r="C2" s="24">
        <v>79</v>
      </c>
      <c r="D2" s="35">
        <f>82.4+1.4+1.2</f>
        <v>85.000000000000014</v>
      </c>
      <c r="E2" s="35">
        <f>12.3+2.7</f>
        <v>15</v>
      </c>
      <c r="F2" s="35">
        <v>0</v>
      </c>
      <c r="G2" s="6"/>
    </row>
    <row r="3" spans="1:7">
      <c r="A3" s="6" t="s">
        <v>39</v>
      </c>
      <c r="B3" s="36">
        <v>146</v>
      </c>
      <c r="C3" s="24">
        <v>74</v>
      </c>
      <c r="D3" s="35" t="s">
        <v>153</v>
      </c>
      <c r="E3" s="35" t="s">
        <v>153</v>
      </c>
      <c r="F3" s="35" t="s">
        <v>153</v>
      </c>
      <c r="G3" s="6" t="s">
        <v>154</v>
      </c>
    </row>
    <row r="4" spans="1:7">
      <c r="A4" s="6" t="s">
        <v>41</v>
      </c>
      <c r="B4" s="36">
        <v>175.5</v>
      </c>
      <c r="C4" s="24">
        <v>73</v>
      </c>
      <c r="D4" s="35">
        <v>24.5</v>
      </c>
      <c r="E4" s="35">
        <v>75.5</v>
      </c>
      <c r="F4" s="35">
        <v>0</v>
      </c>
      <c r="G4" s="6"/>
    </row>
    <row r="5" spans="1:7">
      <c r="A5" s="6" t="s">
        <v>44</v>
      </c>
      <c r="B5" s="36">
        <v>177.5</v>
      </c>
      <c r="C5" s="24">
        <v>73</v>
      </c>
      <c r="D5" s="35">
        <v>30</v>
      </c>
      <c r="E5" s="35">
        <v>65</v>
      </c>
      <c r="F5" s="35">
        <v>5</v>
      </c>
      <c r="G5" s="6"/>
    </row>
    <row r="6" spans="1:7">
      <c r="A6" s="6" t="s">
        <v>45</v>
      </c>
      <c r="B6" s="36">
        <v>181.5</v>
      </c>
      <c r="C6" s="24">
        <v>73</v>
      </c>
      <c r="D6" s="35">
        <v>20</v>
      </c>
      <c r="E6" s="35">
        <v>79</v>
      </c>
      <c r="F6" s="35">
        <v>1</v>
      </c>
      <c r="G6" s="6"/>
    </row>
    <row r="7" spans="1:7">
      <c r="A7" s="6" t="s">
        <v>46</v>
      </c>
      <c r="B7" s="36">
        <v>194.5</v>
      </c>
      <c r="C7" s="24">
        <v>73</v>
      </c>
      <c r="D7" s="35">
        <v>5.5</v>
      </c>
      <c r="E7" s="35">
        <v>94.5</v>
      </c>
      <c r="F7" s="35">
        <v>0</v>
      </c>
      <c r="G7" s="6"/>
    </row>
    <row r="8" spans="1:7">
      <c r="A8" s="6" t="s">
        <v>47</v>
      </c>
      <c r="B8" s="36">
        <v>100</v>
      </c>
      <c r="C8" s="24">
        <v>74</v>
      </c>
      <c r="D8" s="35" t="s">
        <v>153</v>
      </c>
      <c r="E8" s="35" t="s">
        <v>153</v>
      </c>
      <c r="F8" s="35" t="s">
        <v>153</v>
      </c>
      <c r="G8" s="6" t="s">
        <v>154</v>
      </c>
    </row>
    <row r="9" spans="1:7">
      <c r="A9" s="6" t="s">
        <v>48</v>
      </c>
      <c r="B9" s="36">
        <v>100</v>
      </c>
      <c r="C9" s="24">
        <v>74</v>
      </c>
      <c r="D9" s="35" t="s">
        <v>153</v>
      </c>
      <c r="E9" s="35" t="s">
        <v>153</v>
      </c>
      <c r="F9" s="35" t="s">
        <v>153</v>
      </c>
      <c r="G9" s="6" t="s">
        <v>154</v>
      </c>
    </row>
    <row r="10" spans="1:7">
      <c r="A10" s="6" t="s">
        <v>49</v>
      </c>
      <c r="B10" s="36">
        <v>175</v>
      </c>
      <c r="C10" s="24">
        <v>73</v>
      </c>
      <c r="D10" s="35">
        <v>28</v>
      </c>
      <c r="E10" s="35">
        <v>70</v>
      </c>
      <c r="F10" s="35">
        <v>2</v>
      </c>
      <c r="G10" s="6"/>
    </row>
    <row r="11" spans="1:7">
      <c r="A11" s="6" t="s">
        <v>50</v>
      </c>
      <c r="B11" s="36">
        <v>186</v>
      </c>
      <c r="C11" s="24">
        <v>80</v>
      </c>
      <c r="D11" s="35">
        <f>29+29+7</f>
        <v>65</v>
      </c>
      <c r="E11" s="35">
        <f>1</f>
        <v>1</v>
      </c>
      <c r="F11" s="35">
        <f>31+3</f>
        <v>34</v>
      </c>
      <c r="G11" s="6"/>
    </row>
    <row r="12" spans="1:7">
      <c r="A12" s="6" t="s">
        <v>51</v>
      </c>
      <c r="B12" s="36">
        <v>221</v>
      </c>
      <c r="C12" s="24">
        <v>77</v>
      </c>
      <c r="D12" s="35">
        <v>0</v>
      </c>
      <c r="E12" s="35">
        <v>86</v>
      </c>
      <c r="F12" s="35">
        <v>14</v>
      </c>
      <c r="G12" s="25" t="s">
        <v>155</v>
      </c>
    </row>
    <row r="13" spans="1:7">
      <c r="A13" s="6" t="s">
        <v>52</v>
      </c>
      <c r="B13" s="36">
        <v>249.5</v>
      </c>
      <c r="C13" s="24">
        <v>81</v>
      </c>
      <c r="D13" s="35">
        <v>0</v>
      </c>
      <c r="E13" s="35">
        <v>67</v>
      </c>
      <c r="F13" s="35">
        <v>33</v>
      </c>
      <c r="G13" s="6"/>
    </row>
    <row r="14" spans="1:7">
      <c r="A14" s="6" t="s">
        <v>53</v>
      </c>
      <c r="B14" s="36">
        <v>295</v>
      </c>
      <c r="C14" s="24">
        <v>73</v>
      </c>
      <c r="D14" s="35">
        <v>1</v>
      </c>
      <c r="E14" s="35">
        <v>35</v>
      </c>
      <c r="F14" s="35">
        <v>64</v>
      </c>
      <c r="G14" s="6"/>
    </row>
    <row r="15" spans="1:7">
      <c r="A15" s="6" t="s">
        <v>54</v>
      </c>
      <c r="B15" s="36">
        <v>310</v>
      </c>
      <c r="C15" s="24">
        <v>73</v>
      </c>
      <c r="D15" s="35">
        <v>4</v>
      </c>
      <c r="E15" s="35">
        <v>20</v>
      </c>
      <c r="F15" s="35">
        <v>76</v>
      </c>
      <c r="G15" s="6"/>
    </row>
    <row r="16" spans="1:7">
      <c r="A16" s="6" t="s">
        <v>56</v>
      </c>
      <c r="B16" s="24" t="s">
        <v>153</v>
      </c>
      <c r="C16" s="35" t="s">
        <v>153</v>
      </c>
      <c r="D16" s="35" t="s">
        <v>153</v>
      </c>
      <c r="E16" s="35" t="s">
        <v>153</v>
      </c>
      <c r="F16" s="35" t="s">
        <v>153</v>
      </c>
      <c r="G16" s="6"/>
    </row>
    <row r="17" spans="1:7">
      <c r="A17" s="6" t="s">
        <v>57</v>
      </c>
      <c r="B17" s="36">
        <f>85*2+3*3.5+12</f>
        <v>192.5</v>
      </c>
      <c r="C17" s="24">
        <v>82</v>
      </c>
      <c r="D17" s="35">
        <v>12</v>
      </c>
      <c r="E17" s="35">
        <v>85</v>
      </c>
      <c r="F17" s="35">
        <v>3</v>
      </c>
      <c r="G17" s="6" t="s">
        <v>156</v>
      </c>
    </row>
    <row r="18" spans="1:7">
      <c r="A18" s="6" t="s">
        <v>58</v>
      </c>
      <c r="B18" s="36">
        <v>156.1</v>
      </c>
      <c r="C18" s="24">
        <v>73</v>
      </c>
      <c r="D18" s="35">
        <v>46</v>
      </c>
      <c r="E18" s="35">
        <f>100-D18-F18</f>
        <v>52.6</v>
      </c>
      <c r="F18" s="35">
        <v>1.4</v>
      </c>
      <c r="G18" s="6"/>
    </row>
    <row r="19" spans="1:7">
      <c r="A19" s="6" t="s">
        <v>59</v>
      </c>
      <c r="B19" s="36">
        <v>201.5</v>
      </c>
      <c r="C19" s="24">
        <v>73</v>
      </c>
      <c r="D19" s="35">
        <v>15</v>
      </c>
      <c r="E19" s="35">
        <f>100-D19-F19</f>
        <v>74</v>
      </c>
      <c r="F19" s="35">
        <v>11</v>
      </c>
      <c r="G19" s="6"/>
    </row>
    <row r="20" spans="1:7">
      <c r="A20" s="6" t="s">
        <v>60</v>
      </c>
      <c r="B20" s="36">
        <v>195.15</v>
      </c>
      <c r="C20" s="24">
        <v>73</v>
      </c>
      <c r="D20" s="35">
        <f>AVERAGE(12.1,28.2)</f>
        <v>20.149999999999999</v>
      </c>
      <c r="E20" s="35">
        <f>100-D20-F20</f>
        <v>69.649999999999991</v>
      </c>
      <c r="F20" s="35">
        <f>AVERAGE(9.1,11.3)</f>
        <v>10.199999999999999</v>
      </c>
      <c r="G20" s="6"/>
    </row>
    <row r="21" spans="1:7">
      <c r="A21" s="6" t="s">
        <v>61</v>
      </c>
      <c r="B21" s="36">
        <v>197</v>
      </c>
      <c r="C21" s="24">
        <v>83</v>
      </c>
      <c r="D21" s="35">
        <v>3</v>
      </c>
      <c r="E21" s="35">
        <v>97</v>
      </c>
      <c r="F21" s="35">
        <v>0</v>
      </c>
      <c r="G21" s="6" t="s">
        <v>157</v>
      </c>
    </row>
    <row r="22" spans="1:7">
      <c r="A22" s="6" t="s">
        <v>62</v>
      </c>
      <c r="B22" s="36">
        <v>230</v>
      </c>
      <c r="C22" s="24">
        <v>84</v>
      </c>
      <c r="D22" s="35">
        <v>0</v>
      </c>
      <c r="E22" s="35">
        <v>80</v>
      </c>
      <c r="F22" s="35">
        <v>20</v>
      </c>
      <c r="G22" s="6"/>
    </row>
    <row r="23" spans="1:7">
      <c r="A23" s="6" t="s">
        <v>63</v>
      </c>
      <c r="B23" s="36">
        <v>124.5</v>
      </c>
      <c r="C23" s="24">
        <v>85</v>
      </c>
      <c r="D23" s="35">
        <f>40+1+6+25+5</f>
        <v>77</v>
      </c>
      <c r="E23" s="35">
        <v>22</v>
      </c>
      <c r="F23" s="35">
        <v>1</v>
      </c>
      <c r="G23" s="6"/>
    </row>
    <row r="24" spans="1:7">
      <c r="A24" s="6" t="s">
        <v>64</v>
      </c>
      <c r="B24" s="36">
        <v>216</v>
      </c>
      <c r="C24" s="24">
        <v>92</v>
      </c>
      <c r="D24" s="35">
        <v>32</v>
      </c>
      <c r="E24" s="35">
        <v>36</v>
      </c>
      <c r="F24" s="35">
        <v>32</v>
      </c>
      <c r="G24" s="6" t="s">
        <v>158</v>
      </c>
    </row>
    <row r="25" spans="1:7">
      <c r="A25" s="6" t="s">
        <v>65</v>
      </c>
      <c r="B25" s="36">
        <v>219.5</v>
      </c>
      <c r="C25" s="24">
        <v>93</v>
      </c>
      <c r="D25" s="35">
        <v>21</v>
      </c>
      <c r="E25" s="35">
        <f>100-F25-D25</f>
        <v>52</v>
      </c>
      <c r="F25" s="35">
        <v>27</v>
      </c>
      <c r="G25" s="6"/>
    </row>
    <row r="26" spans="1:7">
      <c r="A26" s="6" t="s">
        <v>66</v>
      </c>
      <c r="B26" s="36">
        <v>175.1</v>
      </c>
      <c r="C26" s="24">
        <v>73</v>
      </c>
      <c r="D26" s="35">
        <v>24.9</v>
      </c>
      <c r="E26" s="35">
        <f>100-D26</f>
        <v>75.099999999999994</v>
      </c>
      <c r="F26" s="35">
        <v>0</v>
      </c>
      <c r="G26" s="6"/>
    </row>
    <row r="27" spans="1:7">
      <c r="A27" s="6" t="s">
        <v>67</v>
      </c>
      <c r="B27" s="36">
        <v>198</v>
      </c>
      <c r="C27" s="24">
        <v>73</v>
      </c>
      <c r="D27" s="35">
        <v>2</v>
      </c>
      <c r="E27" s="35">
        <v>98</v>
      </c>
      <c r="F27" s="35">
        <v>0</v>
      </c>
      <c r="G27" s="6"/>
    </row>
    <row r="28" spans="1:7">
      <c r="A28" s="6" t="s">
        <v>68</v>
      </c>
      <c r="B28" s="36">
        <v>278</v>
      </c>
      <c r="C28" s="24">
        <v>77</v>
      </c>
      <c r="D28" s="35">
        <v>0</v>
      </c>
      <c r="E28" s="35">
        <v>48</v>
      </c>
      <c r="F28" s="35">
        <v>52</v>
      </c>
      <c r="G28" s="25" t="s">
        <v>159</v>
      </c>
    </row>
    <row r="29" spans="1:7">
      <c r="A29" s="6" t="s">
        <v>69</v>
      </c>
      <c r="B29" s="36">
        <v>305</v>
      </c>
      <c r="C29" s="24">
        <v>73</v>
      </c>
      <c r="D29" s="35">
        <v>0</v>
      </c>
      <c r="E29" s="35">
        <v>30</v>
      </c>
      <c r="F29" s="35">
        <v>70</v>
      </c>
      <c r="G29" s="6"/>
    </row>
    <row r="30" spans="1:7">
      <c r="A30" s="6" t="s">
        <v>71</v>
      </c>
      <c r="B30" s="36">
        <v>115.20000000000002</v>
      </c>
      <c r="C30" s="24">
        <v>86</v>
      </c>
      <c r="D30" s="35">
        <v>84.8</v>
      </c>
      <c r="E30" s="35">
        <f>100-D30</f>
        <v>15.200000000000003</v>
      </c>
      <c r="F30" s="35">
        <v>0</v>
      </c>
      <c r="G30" s="6"/>
    </row>
    <row r="31" spans="1:7">
      <c r="A31" s="6" t="s">
        <v>73</v>
      </c>
      <c r="B31" s="36">
        <v>114</v>
      </c>
      <c r="C31" s="24">
        <v>74</v>
      </c>
      <c r="D31" s="35">
        <v>86</v>
      </c>
      <c r="E31" s="35">
        <v>14</v>
      </c>
      <c r="F31" s="35">
        <v>0</v>
      </c>
      <c r="G31" s="6"/>
    </row>
    <row r="32" spans="1:7">
      <c r="A32" s="6" t="s">
        <v>76</v>
      </c>
      <c r="B32" s="24" t="s">
        <v>153</v>
      </c>
      <c r="C32" s="35" t="s">
        <v>153</v>
      </c>
      <c r="D32" s="35" t="s">
        <v>153</v>
      </c>
      <c r="E32" s="35" t="s">
        <v>153</v>
      </c>
      <c r="F32" s="35" t="s">
        <v>153</v>
      </c>
      <c r="G32" s="6"/>
    </row>
    <row r="33" spans="1:7">
      <c r="A33" s="6" t="s">
        <v>77</v>
      </c>
      <c r="B33" s="36">
        <v>181</v>
      </c>
      <c r="C33" s="24">
        <v>74</v>
      </c>
      <c r="D33" s="35">
        <v>34</v>
      </c>
      <c r="E33" s="35">
        <f>100-D33-F33</f>
        <v>56</v>
      </c>
      <c r="F33" s="35">
        <v>10</v>
      </c>
      <c r="G33" s="6"/>
    </row>
    <row r="34" spans="1:7">
      <c r="A34" s="6" t="s">
        <v>79</v>
      </c>
      <c r="B34" s="36">
        <v>157</v>
      </c>
      <c r="C34" s="24">
        <v>73</v>
      </c>
      <c r="D34" s="35">
        <v>43</v>
      </c>
      <c r="E34" s="35">
        <f>100-D34-F34</f>
        <v>57</v>
      </c>
      <c r="F34" s="35">
        <v>0</v>
      </c>
      <c r="G34" s="6"/>
    </row>
    <row r="35" spans="1:7">
      <c r="A35" s="6" t="s">
        <v>80</v>
      </c>
      <c r="B35" s="36">
        <v>143</v>
      </c>
      <c r="C35" s="24">
        <v>73</v>
      </c>
      <c r="D35" s="35">
        <v>57</v>
      </c>
      <c r="E35" s="35">
        <v>43</v>
      </c>
      <c r="F35" s="35">
        <v>0</v>
      </c>
      <c r="G35" s="6"/>
    </row>
    <row r="36" spans="1:7">
      <c r="A36" s="6" t="s">
        <v>81</v>
      </c>
      <c r="B36" s="36">
        <v>218.5</v>
      </c>
      <c r="C36" s="24">
        <v>87</v>
      </c>
      <c r="D36" s="35">
        <v>18</v>
      </c>
      <c r="E36" s="35">
        <v>60</v>
      </c>
      <c r="F36" s="35">
        <v>23</v>
      </c>
      <c r="G36" s="6"/>
    </row>
    <row r="37" spans="1:7">
      <c r="A37" s="6" t="s">
        <v>82</v>
      </c>
      <c r="B37" s="36">
        <v>166</v>
      </c>
      <c r="C37" s="24">
        <v>74</v>
      </c>
      <c r="D37" s="35">
        <v>34</v>
      </c>
      <c r="E37" s="35">
        <v>66</v>
      </c>
      <c r="F37" s="35">
        <v>0</v>
      </c>
      <c r="G37" s="6"/>
    </row>
    <row r="38" spans="1:7">
      <c r="A38" s="6" t="s">
        <v>83</v>
      </c>
      <c r="B38" s="36">
        <v>224</v>
      </c>
      <c r="C38" s="24" t="s">
        <v>160</v>
      </c>
      <c r="D38" s="35">
        <v>0</v>
      </c>
      <c r="E38" s="35">
        <v>84</v>
      </c>
      <c r="F38" s="35">
        <v>16</v>
      </c>
      <c r="G38" s="6" t="s">
        <v>161</v>
      </c>
    </row>
    <row r="39" spans="1:7">
      <c r="A39" s="6" t="s">
        <v>84</v>
      </c>
      <c r="B39" s="24" t="s">
        <v>153</v>
      </c>
      <c r="C39" s="35" t="s">
        <v>153</v>
      </c>
      <c r="D39" s="35" t="s">
        <v>153</v>
      </c>
      <c r="E39" s="35" t="s">
        <v>153</v>
      </c>
      <c r="F39" s="35" t="s">
        <v>153</v>
      </c>
      <c r="G39" s="6"/>
    </row>
    <row r="40" spans="1:7">
      <c r="A40" s="6" t="s">
        <v>85</v>
      </c>
      <c r="B40" s="36">
        <v>226.5</v>
      </c>
      <c r="C40" s="24">
        <v>74</v>
      </c>
      <c r="D40" s="35">
        <f>AVERAGE(9.3,8.5)</f>
        <v>8.9</v>
      </c>
      <c r="E40" s="35">
        <f>100-D40-F40</f>
        <v>67.599999999999994</v>
      </c>
      <c r="F40" s="35">
        <f>AVERAGE(17.1,29.9)</f>
        <v>23.5</v>
      </c>
      <c r="G40" s="6"/>
    </row>
    <row r="41" spans="1:7">
      <c r="A41" s="6" t="s">
        <v>86</v>
      </c>
      <c r="B41" s="36">
        <v>327.5</v>
      </c>
      <c r="C41" s="24">
        <v>73</v>
      </c>
      <c r="D41" s="35">
        <v>0</v>
      </c>
      <c r="E41" s="35">
        <v>15</v>
      </c>
      <c r="F41" s="35">
        <v>85</v>
      </c>
      <c r="G41" s="6"/>
    </row>
    <row r="42" spans="1:7">
      <c r="A42" s="6" t="s">
        <v>87</v>
      </c>
      <c r="B42" s="36">
        <v>200</v>
      </c>
      <c r="C42" s="24">
        <v>74</v>
      </c>
      <c r="D42" s="35">
        <v>5.8</v>
      </c>
      <c r="E42" s="35">
        <f>100-D42-F42</f>
        <v>90.3</v>
      </c>
      <c r="F42" s="35">
        <v>3.9</v>
      </c>
      <c r="G42" s="6"/>
    </row>
    <row r="43" spans="1:7">
      <c r="A43" s="6" t="s">
        <v>88</v>
      </c>
      <c r="B43" s="24" t="s">
        <v>153</v>
      </c>
      <c r="C43" s="35" t="s">
        <v>153</v>
      </c>
      <c r="D43" s="35" t="s">
        <v>153</v>
      </c>
      <c r="E43" s="35" t="s">
        <v>153</v>
      </c>
      <c r="F43" s="35" t="s">
        <v>153</v>
      </c>
      <c r="G43" s="6"/>
    </row>
    <row r="44" spans="1:7">
      <c r="A44" s="6" t="s">
        <v>89</v>
      </c>
      <c r="B44" s="36">
        <v>159</v>
      </c>
      <c r="C44" s="24">
        <v>76</v>
      </c>
      <c r="D44" s="35" t="s">
        <v>153</v>
      </c>
      <c r="E44" s="35" t="s">
        <v>153</v>
      </c>
      <c r="F44" s="35" t="s">
        <v>153</v>
      </c>
      <c r="G44" s="6" t="s">
        <v>162</v>
      </c>
    </row>
    <row r="45" spans="1:7">
      <c r="A45" s="6" t="s">
        <v>90</v>
      </c>
      <c r="B45" s="36">
        <v>203.2</v>
      </c>
      <c r="C45" s="24">
        <v>75</v>
      </c>
      <c r="D45" s="35">
        <f>5.9+2.3</f>
        <v>8.1999999999999993</v>
      </c>
      <c r="E45" s="35">
        <v>84.2</v>
      </c>
      <c r="F45" s="35">
        <v>7.6</v>
      </c>
      <c r="G45" s="6"/>
    </row>
    <row r="46" spans="1:7">
      <c r="A46" s="6" t="s">
        <v>91</v>
      </c>
      <c r="B46" s="36">
        <v>219.5</v>
      </c>
      <c r="C46" s="24">
        <v>89</v>
      </c>
      <c r="D46" s="35">
        <v>0</v>
      </c>
      <c r="E46" s="35">
        <v>87</v>
      </c>
      <c r="F46" s="35">
        <v>13</v>
      </c>
      <c r="G46" s="6" t="s">
        <v>163</v>
      </c>
    </row>
    <row r="47" spans="1:7">
      <c r="A47" s="6" t="s">
        <v>92</v>
      </c>
      <c r="B47" s="36">
        <v>222.5</v>
      </c>
      <c r="C47" s="24">
        <v>74</v>
      </c>
      <c r="D47" s="35" t="s">
        <v>153</v>
      </c>
      <c r="E47" s="35" t="s">
        <v>153</v>
      </c>
      <c r="F47" s="35" t="s">
        <v>153</v>
      </c>
      <c r="G47" s="6" t="s">
        <v>154</v>
      </c>
    </row>
    <row r="48" spans="1:7">
      <c r="A48" s="6" t="s">
        <v>93</v>
      </c>
      <c r="B48" s="36">
        <v>105</v>
      </c>
      <c r="C48" s="24">
        <v>74</v>
      </c>
      <c r="D48" s="35">
        <v>95</v>
      </c>
      <c r="E48" s="35">
        <v>5</v>
      </c>
      <c r="F48" s="35">
        <v>0</v>
      </c>
      <c r="G48" s="6"/>
    </row>
    <row r="49" spans="1:7">
      <c r="A49" s="6" t="s">
        <v>94</v>
      </c>
      <c r="B49" s="24" t="s">
        <v>153</v>
      </c>
      <c r="C49" s="35" t="s">
        <v>153</v>
      </c>
      <c r="D49" s="35" t="s">
        <v>153</v>
      </c>
      <c r="E49" s="35" t="s">
        <v>153</v>
      </c>
      <c r="F49" s="35" t="s">
        <v>153</v>
      </c>
      <c r="G49" s="6"/>
    </row>
    <row r="50" spans="1:7">
      <c r="A50" s="6" t="s">
        <v>95</v>
      </c>
      <c r="B50" s="36">
        <v>245</v>
      </c>
      <c r="C50" s="24">
        <v>77</v>
      </c>
      <c r="D50" s="35">
        <v>0</v>
      </c>
      <c r="E50" s="35">
        <v>70</v>
      </c>
      <c r="F50" s="35">
        <v>30</v>
      </c>
      <c r="G50" s="25" t="s">
        <v>164</v>
      </c>
    </row>
    <row r="51" spans="1:7">
      <c r="A51" s="6" t="s">
        <v>96</v>
      </c>
      <c r="B51" s="36">
        <v>195</v>
      </c>
      <c r="C51" s="24">
        <v>76</v>
      </c>
      <c r="D51" s="35" t="s">
        <v>153</v>
      </c>
      <c r="E51" s="35" t="s">
        <v>153</v>
      </c>
      <c r="F51" s="35" t="s">
        <v>153</v>
      </c>
      <c r="G51" s="6" t="s">
        <v>162</v>
      </c>
    </row>
    <row r="52" spans="1:7">
      <c r="A52" s="6" t="s">
        <v>97</v>
      </c>
      <c r="B52" s="24" t="s">
        <v>153</v>
      </c>
      <c r="C52" s="35" t="s">
        <v>153</v>
      </c>
      <c r="D52" s="35" t="s">
        <v>153</v>
      </c>
      <c r="E52" s="35" t="s">
        <v>153</v>
      </c>
      <c r="F52" s="35" t="s">
        <v>153</v>
      </c>
      <c r="G52" s="6"/>
    </row>
    <row r="53" spans="1:7">
      <c r="A53" s="6" t="s">
        <v>98</v>
      </c>
      <c r="B53" s="36">
        <v>178</v>
      </c>
      <c r="C53" s="24">
        <v>73</v>
      </c>
      <c r="D53" s="35">
        <v>28</v>
      </c>
      <c r="E53" s="35">
        <v>68</v>
      </c>
      <c r="F53" s="35">
        <v>4</v>
      </c>
      <c r="G53" s="6"/>
    </row>
    <row r="54" spans="1:7">
      <c r="A54" s="6" t="s">
        <v>99</v>
      </c>
      <c r="B54" s="36">
        <v>207.2</v>
      </c>
      <c r="C54" s="24">
        <v>74</v>
      </c>
      <c r="D54" s="35">
        <v>7.8</v>
      </c>
      <c r="E54" s="35">
        <f>100-D54-F54</f>
        <v>82.2</v>
      </c>
      <c r="F54" s="35">
        <v>10</v>
      </c>
      <c r="G54" s="6"/>
    </row>
    <row r="55" spans="1:7">
      <c r="A55" s="6" t="s">
        <v>100</v>
      </c>
      <c r="B55" s="36">
        <v>207</v>
      </c>
      <c r="C55" s="24">
        <v>77</v>
      </c>
      <c r="D55" s="35">
        <v>8</v>
      </c>
      <c r="E55" s="35">
        <f>100-D55-F55</f>
        <v>82</v>
      </c>
      <c r="F55" s="35">
        <v>10</v>
      </c>
      <c r="G55" s="25" t="s">
        <v>165</v>
      </c>
    </row>
    <row r="56" spans="1:7">
      <c r="A56" s="6" t="s">
        <v>101</v>
      </c>
      <c r="B56" s="36">
        <v>199</v>
      </c>
      <c r="C56" s="24">
        <v>74</v>
      </c>
      <c r="D56" s="35">
        <v>7</v>
      </c>
      <c r="E56" s="35">
        <f>100-D56-F56</f>
        <v>89</v>
      </c>
      <c r="F56" s="35">
        <v>4</v>
      </c>
      <c r="G56" s="6"/>
    </row>
    <row r="57" spans="1:7">
      <c r="A57" s="6" t="s">
        <v>102</v>
      </c>
      <c r="B57" s="36">
        <v>216.5</v>
      </c>
      <c r="C57" s="24">
        <v>77</v>
      </c>
      <c r="D57" s="35">
        <v>0</v>
      </c>
      <c r="E57" s="35">
        <f>100-D57-F57</f>
        <v>89</v>
      </c>
      <c r="F57" s="35">
        <v>11</v>
      </c>
      <c r="G57" s="25"/>
    </row>
    <row r="58" spans="1:7">
      <c r="A58" s="6" t="s">
        <v>103</v>
      </c>
      <c r="B58" s="36">
        <v>121.5</v>
      </c>
      <c r="C58" s="24">
        <v>74</v>
      </c>
      <c r="D58" s="35">
        <v>78.3</v>
      </c>
      <c r="E58" s="35">
        <f>100-D58-F58</f>
        <v>21.700000000000003</v>
      </c>
      <c r="F58" s="35">
        <v>0</v>
      </c>
      <c r="G58" s="6"/>
    </row>
    <row r="59" spans="1:7">
      <c r="A59" s="22" t="s">
        <v>104</v>
      </c>
      <c r="B59" s="41">
        <v>196</v>
      </c>
      <c r="C59" s="26">
        <v>88</v>
      </c>
      <c r="D59" s="35">
        <v>4</v>
      </c>
      <c r="E59" s="35">
        <v>96</v>
      </c>
      <c r="F59" s="35">
        <v>0</v>
      </c>
      <c r="G59" s="6"/>
    </row>
    <row r="60" spans="1:7">
      <c r="A60" s="6" t="s">
        <v>105</v>
      </c>
      <c r="B60" s="36">
        <v>197.5</v>
      </c>
      <c r="C60" s="24">
        <v>73</v>
      </c>
      <c r="D60" s="35">
        <v>2.5</v>
      </c>
      <c r="E60" s="35">
        <v>97.5</v>
      </c>
      <c r="F60" s="35">
        <v>0</v>
      </c>
      <c r="G60" s="6"/>
    </row>
    <row r="61" spans="1:7">
      <c r="A61" s="6" t="s">
        <v>106</v>
      </c>
      <c r="B61" s="24" t="s">
        <v>153</v>
      </c>
      <c r="C61" s="35" t="s">
        <v>153</v>
      </c>
      <c r="D61" s="35" t="s">
        <v>153</v>
      </c>
      <c r="E61" s="35" t="s">
        <v>153</v>
      </c>
      <c r="F61" s="35" t="s">
        <v>153</v>
      </c>
      <c r="G61" s="6"/>
    </row>
    <row r="62" spans="1:7">
      <c r="A62" s="6" t="s">
        <v>107</v>
      </c>
      <c r="B62" s="36">
        <v>200.5</v>
      </c>
      <c r="C62" s="24">
        <v>73</v>
      </c>
      <c r="D62" s="35">
        <v>13</v>
      </c>
      <c r="E62" s="35">
        <f>100-D62-F62</f>
        <v>78</v>
      </c>
      <c r="F62" s="35">
        <v>9</v>
      </c>
      <c r="G62" s="6"/>
    </row>
    <row r="63" spans="1:7">
      <c r="A63" s="6" t="s">
        <v>108</v>
      </c>
      <c r="B63" s="36">
        <v>159</v>
      </c>
      <c r="C63" s="24">
        <v>73</v>
      </c>
      <c r="D63" s="35">
        <v>41</v>
      </c>
      <c r="E63" s="35">
        <v>59</v>
      </c>
      <c r="F63" s="35">
        <v>0</v>
      </c>
      <c r="G63" s="6"/>
    </row>
    <row r="64" spans="1:7">
      <c r="A64" s="6" t="s">
        <v>109</v>
      </c>
      <c r="B64" s="24" t="s">
        <v>153</v>
      </c>
      <c r="C64" s="35" t="s">
        <v>153</v>
      </c>
      <c r="D64" s="35" t="s">
        <v>153</v>
      </c>
      <c r="E64" s="35" t="s">
        <v>153</v>
      </c>
      <c r="F64" s="35" t="s">
        <v>153</v>
      </c>
      <c r="G64" s="6"/>
    </row>
    <row r="65" spans="1:7">
      <c r="A65" s="6" t="s">
        <v>110</v>
      </c>
      <c r="B65" s="36">
        <v>235</v>
      </c>
      <c r="C65" s="24">
        <v>73</v>
      </c>
      <c r="D65" s="35">
        <v>10</v>
      </c>
      <c r="E65" s="35">
        <v>60</v>
      </c>
      <c r="F65" s="35">
        <v>30</v>
      </c>
      <c r="G65" s="6"/>
    </row>
    <row r="66" spans="1:7">
      <c r="A66" s="6" t="s">
        <v>111</v>
      </c>
      <c r="B66" s="36">
        <v>246.8</v>
      </c>
      <c r="C66" s="24">
        <v>73</v>
      </c>
      <c r="D66" s="35">
        <v>0</v>
      </c>
      <c r="E66" s="35">
        <f>100-F66</f>
        <v>68.8</v>
      </c>
      <c r="F66" s="35">
        <v>31.2</v>
      </c>
      <c r="G66" s="6"/>
    </row>
    <row r="67" spans="1:7">
      <c r="A67" s="6" t="s">
        <v>112</v>
      </c>
      <c r="B67" s="24" t="s">
        <v>153</v>
      </c>
      <c r="C67" s="35" t="s">
        <v>153</v>
      </c>
      <c r="D67" s="35" t="s">
        <v>153</v>
      </c>
      <c r="E67" s="35" t="s">
        <v>153</v>
      </c>
      <c r="F67" s="35" t="s">
        <v>153</v>
      </c>
      <c r="G67" s="6"/>
    </row>
    <row r="68" spans="1:7">
      <c r="A68" s="6" t="s">
        <v>113</v>
      </c>
      <c r="B68" s="36">
        <v>323</v>
      </c>
      <c r="C68" s="24">
        <v>73</v>
      </c>
      <c r="D68" s="35">
        <v>0</v>
      </c>
      <c r="E68" s="35">
        <v>18</v>
      </c>
      <c r="F68" s="35">
        <v>82</v>
      </c>
      <c r="G68" s="6"/>
    </row>
    <row r="69" spans="1:7">
      <c r="A69" s="6" t="s">
        <v>114</v>
      </c>
      <c r="B69" s="36">
        <v>153.5</v>
      </c>
      <c r="C69" s="24">
        <v>74</v>
      </c>
      <c r="D69" s="35" t="s">
        <v>153</v>
      </c>
      <c r="E69" s="35" t="s">
        <v>153</v>
      </c>
      <c r="F69" s="35" t="s">
        <v>153</v>
      </c>
      <c r="G69" s="6" t="s">
        <v>154</v>
      </c>
    </row>
    <row r="70" spans="1:7">
      <c r="A70" s="6" t="s">
        <v>115</v>
      </c>
      <c r="B70" s="36">
        <v>167</v>
      </c>
      <c r="C70" s="24">
        <v>73</v>
      </c>
      <c r="D70" s="35">
        <v>45</v>
      </c>
      <c r="E70" s="35">
        <f>100-D70-F70</f>
        <v>47</v>
      </c>
      <c r="F70" s="35">
        <v>8</v>
      </c>
      <c r="G70" s="6"/>
    </row>
    <row r="71" spans="1:7">
      <c r="A71" s="6" t="s">
        <v>116</v>
      </c>
      <c r="B71" s="36">
        <v>335</v>
      </c>
      <c r="C71" s="24">
        <v>73</v>
      </c>
      <c r="D71" s="35">
        <v>0</v>
      </c>
      <c r="E71" s="35">
        <v>10</v>
      </c>
      <c r="F71" s="35">
        <v>90</v>
      </c>
      <c r="G71" s="6" t="s">
        <v>166</v>
      </c>
    </row>
    <row r="72" spans="1:7">
      <c r="A72" s="6" t="s">
        <v>117</v>
      </c>
      <c r="B72" s="24" t="s">
        <v>153</v>
      </c>
      <c r="C72" s="35" t="s">
        <v>153</v>
      </c>
      <c r="D72" s="35" t="s">
        <v>153</v>
      </c>
      <c r="E72" s="35" t="s">
        <v>153</v>
      </c>
      <c r="F72" s="35" t="s">
        <v>153</v>
      </c>
      <c r="G72" s="6"/>
    </row>
    <row r="73" spans="1:7">
      <c r="A73" s="6" t="s">
        <v>118</v>
      </c>
      <c r="B73" s="36">
        <v>179.3</v>
      </c>
      <c r="C73" s="24">
        <v>78</v>
      </c>
      <c r="D73" s="35">
        <v>20.9</v>
      </c>
      <c r="E73" s="35">
        <f>73.9+5.3</f>
        <v>79.2</v>
      </c>
      <c r="F73" s="35">
        <v>0</v>
      </c>
      <c r="G73" s="6" t="s">
        <v>167</v>
      </c>
    </row>
  </sheetData>
  <autoFilter ref="A1:G73" xr:uid="{00000000-0009-0000-0000-000004000000}"/>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sheetPr>
  <dimension ref="A1:E73"/>
  <sheetViews>
    <sheetView zoomScaleNormal="100" workbookViewId="0"/>
  </sheetViews>
  <sheetFormatPr defaultColWidth="8.7109375" defaultRowHeight="11.1"/>
  <cols>
    <col min="1" max="1" width="25.42578125" style="22" bestFit="1" customWidth="1"/>
    <col min="2" max="2" width="12.42578125" style="22" bestFit="1" customWidth="1"/>
    <col min="3" max="3" width="11.140625" style="22" bestFit="1" customWidth="1"/>
    <col min="4" max="4" width="16.28515625" style="22" bestFit="1" customWidth="1"/>
    <col min="5" max="5" width="67.42578125" style="22" bestFit="1" customWidth="1"/>
    <col min="6" max="16384" width="8.7109375" style="6"/>
  </cols>
  <sheetData>
    <row r="1" spans="1:5">
      <c r="A1" s="27" t="s">
        <v>1</v>
      </c>
      <c r="B1" s="28" t="s">
        <v>168</v>
      </c>
      <c r="C1" s="28" t="s">
        <v>169</v>
      </c>
      <c r="D1" s="28" t="s">
        <v>170</v>
      </c>
      <c r="E1" s="28" t="s">
        <v>171</v>
      </c>
    </row>
    <row r="2" spans="1:5">
      <c r="A2" s="22" t="s">
        <v>38</v>
      </c>
      <c r="B2" s="29" t="s">
        <v>172</v>
      </c>
      <c r="C2" s="29" t="s">
        <v>173</v>
      </c>
      <c r="D2" s="29" t="s">
        <v>174</v>
      </c>
      <c r="E2" s="29"/>
    </row>
    <row r="3" spans="1:5">
      <c r="A3" s="22" t="s">
        <v>39</v>
      </c>
      <c r="B3" s="29" t="s">
        <v>172</v>
      </c>
      <c r="C3" s="29" t="s">
        <v>173</v>
      </c>
      <c r="D3" s="29" t="s">
        <v>174</v>
      </c>
      <c r="E3" s="29"/>
    </row>
    <row r="4" spans="1:5">
      <c r="A4" s="22" t="s">
        <v>41</v>
      </c>
      <c r="B4" s="29" t="s">
        <v>172</v>
      </c>
      <c r="C4" s="29" t="s">
        <v>173</v>
      </c>
      <c r="D4" s="29" t="s">
        <v>174</v>
      </c>
      <c r="E4" s="29"/>
    </row>
    <row r="5" spans="1:5">
      <c r="A5" s="22" t="s">
        <v>44</v>
      </c>
      <c r="B5" s="29" t="s">
        <v>175</v>
      </c>
      <c r="C5" s="29" t="s">
        <v>176</v>
      </c>
      <c r="D5" s="29" t="s">
        <v>176</v>
      </c>
      <c r="E5" s="29"/>
    </row>
    <row r="6" spans="1:5">
      <c r="A6" s="22" t="s">
        <v>45</v>
      </c>
      <c r="B6" s="29" t="s">
        <v>177</v>
      </c>
      <c r="C6" s="29" t="s">
        <v>173</v>
      </c>
      <c r="D6" s="29" t="s">
        <v>174</v>
      </c>
      <c r="E6" s="29"/>
    </row>
    <row r="7" spans="1:5">
      <c r="A7" s="22" t="s">
        <v>46</v>
      </c>
      <c r="B7" s="29" t="s">
        <v>177</v>
      </c>
      <c r="C7" s="29" t="s">
        <v>173</v>
      </c>
      <c r="D7" s="29" t="s">
        <v>174</v>
      </c>
      <c r="E7" s="29"/>
    </row>
    <row r="8" spans="1:5">
      <c r="A8" s="22" t="s">
        <v>47</v>
      </c>
      <c r="B8" s="29" t="s">
        <v>175</v>
      </c>
      <c r="C8" s="29" t="s">
        <v>176</v>
      </c>
      <c r="D8" s="29" t="s">
        <v>176</v>
      </c>
      <c r="E8" s="29"/>
    </row>
    <row r="9" spans="1:5">
      <c r="A9" s="22" t="s">
        <v>48</v>
      </c>
      <c r="B9" s="29" t="s">
        <v>175</v>
      </c>
      <c r="C9" s="29" t="s">
        <v>176</v>
      </c>
      <c r="D9" s="29" t="s">
        <v>176</v>
      </c>
      <c r="E9" s="29"/>
    </row>
    <row r="10" spans="1:5">
      <c r="A10" s="22" t="s">
        <v>49</v>
      </c>
      <c r="B10" s="29" t="s">
        <v>175</v>
      </c>
      <c r="C10" s="29" t="s">
        <v>176</v>
      </c>
      <c r="D10" s="29" t="s">
        <v>176</v>
      </c>
      <c r="E10" s="29"/>
    </row>
    <row r="11" spans="1:5">
      <c r="A11" s="22" t="s">
        <v>50</v>
      </c>
      <c r="B11" s="29" t="s">
        <v>178</v>
      </c>
      <c r="C11" s="29" t="s">
        <v>176</v>
      </c>
      <c r="D11" s="29" t="s">
        <v>176</v>
      </c>
      <c r="E11" s="29" t="s">
        <v>179</v>
      </c>
    </row>
    <row r="12" spans="1:5">
      <c r="A12" s="22" t="s">
        <v>51</v>
      </c>
      <c r="B12" s="29" t="s">
        <v>178</v>
      </c>
      <c r="C12" s="29" t="s">
        <v>176</v>
      </c>
      <c r="D12" s="29" t="s">
        <v>176</v>
      </c>
      <c r="E12" s="29" t="s">
        <v>180</v>
      </c>
    </row>
    <row r="13" spans="1:5">
      <c r="A13" s="22" t="s">
        <v>52</v>
      </c>
      <c r="B13" s="29" t="s">
        <v>178</v>
      </c>
      <c r="C13" s="29" t="s">
        <v>176</v>
      </c>
      <c r="D13" s="29" t="s">
        <v>176</v>
      </c>
      <c r="E13" s="29" t="s">
        <v>181</v>
      </c>
    </row>
    <row r="14" spans="1:5">
      <c r="A14" s="22" t="s">
        <v>53</v>
      </c>
      <c r="B14" s="29" t="s">
        <v>177</v>
      </c>
      <c r="C14" s="29" t="s">
        <v>173</v>
      </c>
      <c r="D14" s="29" t="s">
        <v>174</v>
      </c>
      <c r="E14" s="29"/>
    </row>
    <row r="15" spans="1:5">
      <c r="A15" s="22" t="s">
        <v>54</v>
      </c>
      <c r="B15" s="29" t="s">
        <v>177</v>
      </c>
      <c r="C15" s="29" t="s">
        <v>173</v>
      </c>
      <c r="D15" s="29" t="s">
        <v>174</v>
      </c>
      <c r="E15" s="29"/>
    </row>
    <row r="16" spans="1:5">
      <c r="A16" s="22" t="s">
        <v>56</v>
      </c>
      <c r="B16" s="29" t="s">
        <v>177</v>
      </c>
      <c r="C16" s="29" t="s">
        <v>173</v>
      </c>
      <c r="D16" s="29" t="s">
        <v>174</v>
      </c>
      <c r="E16" s="29"/>
    </row>
    <row r="17" spans="1:5">
      <c r="A17" s="22" t="s">
        <v>57</v>
      </c>
      <c r="B17" s="29" t="s">
        <v>177</v>
      </c>
      <c r="C17" s="29" t="s">
        <v>173</v>
      </c>
      <c r="D17" s="29" t="s">
        <v>174</v>
      </c>
      <c r="E17" s="29"/>
    </row>
    <row r="18" spans="1:5">
      <c r="A18" s="22" t="s">
        <v>58</v>
      </c>
      <c r="B18" s="29" t="s">
        <v>177</v>
      </c>
      <c r="C18" s="29" t="s">
        <v>182</v>
      </c>
      <c r="D18" s="29" t="s">
        <v>174</v>
      </c>
      <c r="E18" s="29"/>
    </row>
    <row r="19" spans="1:5">
      <c r="A19" s="22" t="s">
        <v>59</v>
      </c>
      <c r="B19" s="29" t="s">
        <v>172</v>
      </c>
      <c r="C19" s="29" t="s">
        <v>173</v>
      </c>
      <c r="D19" s="29" t="s">
        <v>174</v>
      </c>
      <c r="E19" s="29"/>
    </row>
    <row r="20" spans="1:5">
      <c r="A20" s="22" t="s">
        <v>60</v>
      </c>
      <c r="B20" s="29" t="s">
        <v>183</v>
      </c>
      <c r="C20" s="29" t="s">
        <v>182</v>
      </c>
      <c r="D20" s="29" t="s">
        <v>174</v>
      </c>
      <c r="E20" s="29"/>
    </row>
    <row r="21" spans="1:5">
      <c r="A21" s="22" t="s">
        <v>61</v>
      </c>
      <c r="B21" s="29" t="s">
        <v>184</v>
      </c>
      <c r="C21" s="29" t="s">
        <v>185</v>
      </c>
      <c r="D21" s="29" t="s">
        <v>185</v>
      </c>
      <c r="E21" s="29"/>
    </row>
    <row r="22" spans="1:5">
      <c r="A22" s="22" t="s">
        <v>62</v>
      </c>
      <c r="B22" s="29" t="s">
        <v>186</v>
      </c>
      <c r="C22" s="29" t="s">
        <v>185</v>
      </c>
      <c r="D22" s="29" t="s">
        <v>176</v>
      </c>
      <c r="E22" s="22" t="s">
        <v>187</v>
      </c>
    </row>
    <row r="23" spans="1:5">
      <c r="A23" s="22" t="s">
        <v>63</v>
      </c>
      <c r="B23" s="29" t="s">
        <v>178</v>
      </c>
      <c r="C23" s="29" t="s">
        <v>173</v>
      </c>
      <c r="D23" s="29" t="s">
        <v>174</v>
      </c>
      <c r="E23" s="29" t="s">
        <v>188</v>
      </c>
    </row>
    <row r="24" spans="1:5">
      <c r="A24" s="22" t="s">
        <v>64</v>
      </c>
      <c r="B24" s="29" t="s">
        <v>189</v>
      </c>
      <c r="C24" s="29" t="s">
        <v>185</v>
      </c>
      <c r="D24" s="29" t="s">
        <v>185</v>
      </c>
      <c r="E24" s="29"/>
    </row>
    <row r="25" spans="1:5">
      <c r="A25" s="22" t="s">
        <v>65</v>
      </c>
      <c r="B25" s="29" t="s">
        <v>183</v>
      </c>
      <c r="C25" s="29" t="s">
        <v>182</v>
      </c>
      <c r="D25" s="29" t="s">
        <v>174</v>
      </c>
      <c r="E25" s="29"/>
    </row>
    <row r="26" spans="1:5">
      <c r="A26" s="22" t="s">
        <v>66</v>
      </c>
      <c r="B26" s="29" t="s">
        <v>177</v>
      </c>
      <c r="C26" s="29" t="s">
        <v>173</v>
      </c>
      <c r="D26" s="29" t="s">
        <v>174</v>
      </c>
      <c r="E26" s="29"/>
    </row>
    <row r="27" spans="1:5">
      <c r="A27" s="22" t="s">
        <v>67</v>
      </c>
      <c r="B27" s="29" t="s">
        <v>190</v>
      </c>
      <c r="C27" s="29" t="s">
        <v>176</v>
      </c>
      <c r="D27" s="29" t="s">
        <v>176</v>
      </c>
      <c r="E27" s="29" t="s">
        <v>191</v>
      </c>
    </row>
    <row r="28" spans="1:5">
      <c r="A28" s="22" t="s">
        <v>68</v>
      </c>
      <c r="B28" s="29" t="s">
        <v>192</v>
      </c>
      <c r="C28" s="29" t="s">
        <v>185</v>
      </c>
      <c r="D28" s="29" t="s">
        <v>185</v>
      </c>
      <c r="E28" s="22" t="s">
        <v>193</v>
      </c>
    </row>
    <row r="29" spans="1:5">
      <c r="A29" s="22" t="s">
        <v>69</v>
      </c>
      <c r="B29" s="29" t="s">
        <v>194</v>
      </c>
      <c r="C29" s="29" t="s">
        <v>185</v>
      </c>
      <c r="D29" s="29" t="s">
        <v>176</v>
      </c>
      <c r="E29" s="22" t="s">
        <v>195</v>
      </c>
    </row>
    <row r="30" spans="1:5">
      <c r="A30" s="22" t="s">
        <v>71</v>
      </c>
      <c r="B30" s="30" t="s">
        <v>153</v>
      </c>
      <c r="C30" s="29" t="s">
        <v>182</v>
      </c>
      <c r="D30" s="29" t="s">
        <v>174</v>
      </c>
      <c r="E30" s="29"/>
    </row>
    <row r="31" spans="1:5">
      <c r="A31" s="22" t="s">
        <v>73</v>
      </c>
      <c r="B31" s="29" t="s">
        <v>172</v>
      </c>
      <c r="C31" s="29" t="s">
        <v>182</v>
      </c>
      <c r="D31" s="29" t="s">
        <v>174</v>
      </c>
      <c r="E31" s="29"/>
    </row>
    <row r="32" spans="1:5">
      <c r="A32" s="22" t="s">
        <v>76</v>
      </c>
      <c r="B32" s="30" t="s">
        <v>153</v>
      </c>
      <c r="C32" s="30" t="s">
        <v>153</v>
      </c>
      <c r="D32" s="29" t="s">
        <v>174</v>
      </c>
      <c r="E32" s="31" t="s">
        <v>136</v>
      </c>
    </row>
    <row r="33" spans="1:5">
      <c r="A33" s="22" t="s">
        <v>77</v>
      </c>
      <c r="B33" s="29" t="s">
        <v>175</v>
      </c>
      <c r="C33" s="29" t="s">
        <v>176</v>
      </c>
      <c r="D33" s="29" t="s">
        <v>176</v>
      </c>
      <c r="E33" s="29"/>
    </row>
    <row r="34" spans="1:5">
      <c r="A34" s="22" t="s">
        <v>79</v>
      </c>
      <c r="B34" s="29" t="s">
        <v>175</v>
      </c>
      <c r="C34" s="29" t="s">
        <v>176</v>
      </c>
      <c r="D34" s="29" t="s">
        <v>176</v>
      </c>
      <c r="E34" s="29"/>
    </row>
    <row r="35" spans="1:5">
      <c r="A35" s="22" t="s">
        <v>80</v>
      </c>
      <c r="B35" s="29" t="s">
        <v>175</v>
      </c>
      <c r="C35" s="29" t="s">
        <v>176</v>
      </c>
      <c r="D35" s="29" t="s">
        <v>176</v>
      </c>
      <c r="E35" s="29"/>
    </row>
    <row r="36" spans="1:5">
      <c r="A36" s="22" t="s">
        <v>81</v>
      </c>
      <c r="B36" s="29" t="s">
        <v>177</v>
      </c>
      <c r="C36" s="29" t="s">
        <v>173</v>
      </c>
      <c r="D36" s="29" t="s">
        <v>174</v>
      </c>
      <c r="E36" s="29"/>
    </row>
    <row r="37" spans="1:5">
      <c r="A37" s="22" t="s">
        <v>82</v>
      </c>
      <c r="B37" s="29" t="s">
        <v>177</v>
      </c>
      <c r="C37" s="29" t="s">
        <v>173</v>
      </c>
      <c r="D37" s="29" t="s">
        <v>174</v>
      </c>
      <c r="E37" s="29"/>
    </row>
    <row r="38" spans="1:5">
      <c r="A38" s="22" t="s">
        <v>83</v>
      </c>
      <c r="B38" s="29" t="s">
        <v>178</v>
      </c>
      <c r="C38" s="29" t="s">
        <v>176</v>
      </c>
      <c r="D38" s="29" t="s">
        <v>176</v>
      </c>
      <c r="E38" s="29" t="s">
        <v>196</v>
      </c>
    </row>
    <row r="39" spans="1:5">
      <c r="A39" s="22" t="s">
        <v>84</v>
      </c>
      <c r="B39" s="22" t="s">
        <v>189</v>
      </c>
      <c r="C39" s="29" t="s">
        <v>185</v>
      </c>
      <c r="D39" s="29" t="s">
        <v>185</v>
      </c>
      <c r="E39" s="29"/>
    </row>
    <row r="40" spans="1:5">
      <c r="A40" s="22" t="s">
        <v>85</v>
      </c>
      <c r="B40" s="29" t="s">
        <v>177</v>
      </c>
      <c r="C40" s="29" t="s">
        <v>173</v>
      </c>
      <c r="D40" s="29" t="s">
        <v>174</v>
      </c>
      <c r="E40" s="29"/>
    </row>
    <row r="41" spans="1:5">
      <c r="A41" s="22" t="s">
        <v>86</v>
      </c>
      <c r="B41" s="29" t="s">
        <v>186</v>
      </c>
      <c r="C41" s="29" t="s">
        <v>185</v>
      </c>
      <c r="D41" s="29" t="s">
        <v>176</v>
      </c>
      <c r="E41" s="22" t="s">
        <v>197</v>
      </c>
    </row>
    <row r="42" spans="1:5">
      <c r="A42" s="22" t="s">
        <v>87</v>
      </c>
      <c r="B42" s="29" t="s">
        <v>177</v>
      </c>
      <c r="C42" s="29" t="s">
        <v>173</v>
      </c>
      <c r="D42" s="29" t="s">
        <v>174</v>
      </c>
      <c r="E42" s="29"/>
    </row>
    <row r="43" spans="1:5">
      <c r="A43" s="22" t="s">
        <v>88</v>
      </c>
      <c r="B43" s="29" t="s">
        <v>177</v>
      </c>
      <c r="C43" s="29" t="s">
        <v>153</v>
      </c>
      <c r="D43" s="29" t="s">
        <v>174</v>
      </c>
      <c r="E43" s="29"/>
    </row>
    <row r="44" spans="1:5">
      <c r="A44" s="22" t="s">
        <v>89</v>
      </c>
      <c r="B44" s="29" t="s">
        <v>177</v>
      </c>
      <c r="C44" s="29" t="s">
        <v>173</v>
      </c>
      <c r="D44" s="29" t="s">
        <v>174</v>
      </c>
      <c r="E44" s="29"/>
    </row>
    <row r="45" spans="1:5">
      <c r="A45" s="22" t="s">
        <v>90</v>
      </c>
      <c r="B45" s="29" t="s">
        <v>177</v>
      </c>
      <c r="C45" s="29" t="s">
        <v>173</v>
      </c>
      <c r="D45" s="29" t="s">
        <v>174</v>
      </c>
      <c r="E45" s="29"/>
    </row>
    <row r="46" spans="1:5">
      <c r="A46" s="22" t="s">
        <v>91</v>
      </c>
      <c r="B46" s="29" t="s">
        <v>198</v>
      </c>
      <c r="C46" s="29" t="s">
        <v>185</v>
      </c>
      <c r="D46" s="29" t="s">
        <v>185</v>
      </c>
      <c r="E46" s="22" t="s">
        <v>193</v>
      </c>
    </row>
    <row r="47" spans="1:5">
      <c r="A47" s="22" t="s">
        <v>92</v>
      </c>
      <c r="B47" s="29" t="s">
        <v>177</v>
      </c>
      <c r="C47" s="29" t="s">
        <v>173</v>
      </c>
      <c r="D47" s="29" t="s">
        <v>174</v>
      </c>
      <c r="E47" s="29"/>
    </row>
    <row r="48" spans="1:5">
      <c r="A48" s="22" t="s">
        <v>93</v>
      </c>
      <c r="B48" s="29" t="s">
        <v>183</v>
      </c>
      <c r="C48" s="29" t="s">
        <v>173</v>
      </c>
      <c r="D48" s="29" t="s">
        <v>174</v>
      </c>
      <c r="E48" s="29"/>
    </row>
    <row r="49" spans="1:5">
      <c r="A49" s="22" t="s">
        <v>94</v>
      </c>
      <c r="B49" s="29" t="s">
        <v>175</v>
      </c>
      <c r="C49" s="29" t="s">
        <v>176</v>
      </c>
      <c r="D49" s="29" t="s">
        <v>176</v>
      </c>
      <c r="E49" s="29"/>
    </row>
    <row r="50" spans="1:5">
      <c r="A50" s="22" t="s">
        <v>95</v>
      </c>
      <c r="B50" s="29" t="s">
        <v>189</v>
      </c>
      <c r="C50" s="29" t="s">
        <v>185</v>
      </c>
      <c r="D50" s="29" t="s">
        <v>185</v>
      </c>
      <c r="E50" s="29"/>
    </row>
    <row r="51" spans="1:5">
      <c r="A51" s="22" t="s">
        <v>96</v>
      </c>
      <c r="B51" s="29" t="s">
        <v>194</v>
      </c>
      <c r="C51" s="29" t="s">
        <v>185</v>
      </c>
      <c r="D51" s="29" t="s">
        <v>176</v>
      </c>
      <c r="E51" s="22" t="s">
        <v>199</v>
      </c>
    </row>
    <row r="52" spans="1:5">
      <c r="A52" s="22" t="s">
        <v>97</v>
      </c>
      <c r="B52" s="29" t="s">
        <v>177</v>
      </c>
      <c r="C52" s="29" t="s">
        <v>173</v>
      </c>
      <c r="D52" s="29" t="s">
        <v>174</v>
      </c>
      <c r="E52" s="29"/>
    </row>
    <row r="53" spans="1:5">
      <c r="A53" s="22" t="s">
        <v>98</v>
      </c>
      <c r="B53" s="29" t="s">
        <v>177</v>
      </c>
      <c r="C53" s="29" t="s">
        <v>173</v>
      </c>
      <c r="D53" s="29" t="s">
        <v>174</v>
      </c>
      <c r="E53" s="29"/>
    </row>
    <row r="54" spans="1:5">
      <c r="A54" s="22" t="s">
        <v>99</v>
      </c>
      <c r="B54" s="29" t="s">
        <v>177</v>
      </c>
      <c r="C54" s="29" t="s">
        <v>173</v>
      </c>
      <c r="D54" s="29" t="s">
        <v>174</v>
      </c>
      <c r="E54" s="29"/>
    </row>
    <row r="55" spans="1:5">
      <c r="A55" s="22" t="s">
        <v>100</v>
      </c>
      <c r="B55" s="29" t="s">
        <v>177</v>
      </c>
      <c r="C55" s="29" t="s">
        <v>173</v>
      </c>
      <c r="D55" s="29" t="s">
        <v>174</v>
      </c>
      <c r="E55" s="29"/>
    </row>
    <row r="56" spans="1:5">
      <c r="A56" s="22" t="s">
        <v>101</v>
      </c>
      <c r="B56" s="29" t="s">
        <v>172</v>
      </c>
      <c r="C56" s="29" t="s">
        <v>173</v>
      </c>
      <c r="D56" s="29" t="s">
        <v>174</v>
      </c>
      <c r="E56" s="29"/>
    </row>
    <row r="57" spans="1:5">
      <c r="A57" s="22" t="s">
        <v>102</v>
      </c>
      <c r="B57" s="29" t="s">
        <v>189</v>
      </c>
      <c r="C57" s="29" t="s">
        <v>185</v>
      </c>
      <c r="D57" s="29" t="s">
        <v>185</v>
      </c>
      <c r="E57" s="29"/>
    </row>
    <row r="58" spans="1:5">
      <c r="A58" s="22" t="s">
        <v>103</v>
      </c>
      <c r="B58" s="29" t="s">
        <v>177</v>
      </c>
      <c r="C58" s="29" t="s">
        <v>173</v>
      </c>
      <c r="D58" s="29" t="s">
        <v>174</v>
      </c>
      <c r="E58" s="29"/>
    </row>
    <row r="59" spans="1:5">
      <c r="A59" s="22" t="s">
        <v>104</v>
      </c>
      <c r="B59" s="22" t="s">
        <v>153</v>
      </c>
      <c r="C59" s="22" t="s">
        <v>153</v>
      </c>
      <c r="D59" s="29" t="s">
        <v>176</v>
      </c>
      <c r="E59" s="22" t="s">
        <v>200</v>
      </c>
    </row>
    <row r="60" spans="1:5">
      <c r="A60" s="22" t="s">
        <v>105</v>
      </c>
      <c r="B60" s="22" t="s">
        <v>153</v>
      </c>
      <c r="C60" s="22" t="s">
        <v>153</v>
      </c>
      <c r="D60" s="29" t="s">
        <v>176</v>
      </c>
      <c r="E60" s="22" t="s">
        <v>200</v>
      </c>
    </row>
    <row r="61" spans="1:5">
      <c r="A61" s="22" t="s">
        <v>106</v>
      </c>
      <c r="B61" s="29" t="s">
        <v>198</v>
      </c>
      <c r="C61" s="29" t="s">
        <v>185</v>
      </c>
      <c r="D61" s="29" t="s">
        <v>201</v>
      </c>
      <c r="E61" s="29" t="s">
        <v>202</v>
      </c>
    </row>
    <row r="62" spans="1:5">
      <c r="A62" s="22" t="s">
        <v>107</v>
      </c>
      <c r="B62" s="29" t="s">
        <v>198</v>
      </c>
      <c r="C62" s="29" t="s">
        <v>185</v>
      </c>
      <c r="D62" s="29" t="s">
        <v>201</v>
      </c>
      <c r="E62" s="29" t="s">
        <v>202</v>
      </c>
    </row>
    <row r="63" spans="1:5">
      <c r="A63" s="22" t="s">
        <v>108</v>
      </c>
      <c r="B63" s="29" t="s">
        <v>178</v>
      </c>
      <c r="C63" s="29" t="s">
        <v>173</v>
      </c>
      <c r="D63" s="29" t="s">
        <v>174</v>
      </c>
      <c r="E63" s="29" t="s">
        <v>203</v>
      </c>
    </row>
    <row r="64" spans="1:5">
      <c r="A64" s="22" t="s">
        <v>109</v>
      </c>
      <c r="B64" s="29" t="s">
        <v>172</v>
      </c>
      <c r="C64" s="29" t="s">
        <v>173</v>
      </c>
      <c r="D64" s="29" t="s">
        <v>174</v>
      </c>
      <c r="E64" s="29"/>
    </row>
    <row r="65" spans="1:5">
      <c r="A65" s="22" t="s">
        <v>110</v>
      </c>
      <c r="B65" s="29" t="s">
        <v>178</v>
      </c>
      <c r="C65" s="29" t="s">
        <v>176</v>
      </c>
      <c r="D65" s="29" t="s">
        <v>176</v>
      </c>
      <c r="E65" s="29" t="s">
        <v>196</v>
      </c>
    </row>
    <row r="66" spans="1:5">
      <c r="A66" s="22" t="s">
        <v>111</v>
      </c>
      <c r="B66" s="29" t="s">
        <v>178</v>
      </c>
      <c r="C66" s="29" t="s">
        <v>176</v>
      </c>
      <c r="D66" s="29" t="s">
        <v>176</v>
      </c>
      <c r="E66" s="29" t="s">
        <v>180</v>
      </c>
    </row>
    <row r="67" spans="1:5">
      <c r="A67" s="22" t="s">
        <v>112</v>
      </c>
      <c r="B67" s="29" t="s">
        <v>178</v>
      </c>
      <c r="C67" s="29" t="s">
        <v>176</v>
      </c>
      <c r="D67" s="29" t="s">
        <v>176</v>
      </c>
      <c r="E67" s="29" t="s">
        <v>181</v>
      </c>
    </row>
    <row r="68" spans="1:5">
      <c r="A68" s="22" t="s">
        <v>113</v>
      </c>
      <c r="B68" s="29" t="s">
        <v>177</v>
      </c>
      <c r="C68" s="29" t="s">
        <v>173</v>
      </c>
      <c r="D68" s="29" t="s">
        <v>174</v>
      </c>
      <c r="E68" s="29"/>
    </row>
    <row r="69" spans="1:5">
      <c r="A69" s="22" t="s">
        <v>114</v>
      </c>
      <c r="B69" s="29" t="s">
        <v>172</v>
      </c>
      <c r="C69" s="29" t="s">
        <v>173</v>
      </c>
      <c r="D69" s="29" t="s">
        <v>174</v>
      </c>
      <c r="E69" s="29"/>
    </row>
    <row r="70" spans="1:5">
      <c r="A70" s="22" t="s">
        <v>115</v>
      </c>
      <c r="B70" s="29" t="s">
        <v>175</v>
      </c>
      <c r="C70" s="29" t="s">
        <v>176</v>
      </c>
      <c r="D70" s="29" t="s">
        <v>176</v>
      </c>
      <c r="E70" s="29"/>
    </row>
    <row r="71" spans="1:5">
      <c r="A71" s="22" t="s">
        <v>116</v>
      </c>
      <c r="B71" s="29" t="s">
        <v>189</v>
      </c>
      <c r="C71" s="29" t="s">
        <v>185</v>
      </c>
      <c r="D71" s="29" t="s">
        <v>185</v>
      </c>
      <c r="E71" s="29"/>
    </row>
    <row r="72" spans="1:5">
      <c r="A72" s="22" t="s">
        <v>117</v>
      </c>
      <c r="B72" s="30" t="s">
        <v>183</v>
      </c>
      <c r="C72" s="29" t="s">
        <v>153</v>
      </c>
      <c r="D72" s="29" t="s">
        <v>174</v>
      </c>
      <c r="E72" s="29"/>
    </row>
    <row r="73" spans="1:5">
      <c r="A73" s="22" t="s">
        <v>118</v>
      </c>
      <c r="B73" s="29" t="s">
        <v>177</v>
      </c>
      <c r="C73" s="29" t="s">
        <v>176</v>
      </c>
      <c r="D73" s="29" t="s">
        <v>174</v>
      </c>
      <c r="E73" s="29" t="s">
        <v>204</v>
      </c>
    </row>
  </sheetData>
  <autoFilter ref="A1:E73"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sheetPr>
  <dimension ref="A1:D73"/>
  <sheetViews>
    <sheetView zoomScaleNormal="100" workbookViewId="0"/>
  </sheetViews>
  <sheetFormatPr defaultColWidth="8.7109375" defaultRowHeight="11.1"/>
  <cols>
    <col min="1" max="1" width="17.85546875" style="6" bestFit="1" customWidth="1"/>
    <col min="2" max="2" width="15.85546875" style="6" bestFit="1" customWidth="1"/>
    <col min="3" max="3" width="12.140625" style="32" bestFit="1" customWidth="1"/>
    <col min="4" max="16384" width="8.7109375" style="6"/>
  </cols>
  <sheetData>
    <row r="1" spans="1:4">
      <c r="A1" s="13" t="s">
        <v>1</v>
      </c>
      <c r="B1" s="40" t="s">
        <v>205</v>
      </c>
      <c r="C1" s="23" t="s">
        <v>2</v>
      </c>
    </row>
    <row r="2" spans="1:4">
      <c r="A2" s="6" t="s">
        <v>38</v>
      </c>
      <c r="B2" s="36">
        <v>6.6833333333333336</v>
      </c>
      <c r="C2" s="32">
        <v>38</v>
      </c>
      <c r="D2" s="37"/>
    </row>
    <row r="3" spans="1:4">
      <c r="A3" s="6" t="s">
        <v>39</v>
      </c>
      <c r="B3" s="36">
        <v>15.5484375</v>
      </c>
      <c r="C3" s="32">
        <v>38</v>
      </c>
      <c r="D3" s="37"/>
    </row>
    <row r="4" spans="1:4">
      <c r="A4" s="6" t="s">
        <v>41</v>
      </c>
      <c r="B4" s="36">
        <v>6.9650000000000007</v>
      </c>
      <c r="C4" s="32">
        <v>38</v>
      </c>
      <c r="D4" s="37"/>
    </row>
    <row r="5" spans="1:4">
      <c r="A5" s="6" t="s">
        <v>44</v>
      </c>
      <c r="B5" s="36">
        <v>3.5125000000000002</v>
      </c>
      <c r="C5" s="32">
        <v>38</v>
      </c>
      <c r="D5" s="37"/>
    </row>
    <row r="6" spans="1:4">
      <c r="A6" s="6" t="s">
        <v>45</v>
      </c>
      <c r="B6" s="36">
        <v>28.017857142857142</v>
      </c>
      <c r="C6" s="32">
        <v>38</v>
      </c>
      <c r="D6" s="37"/>
    </row>
    <row r="7" spans="1:4">
      <c r="A7" s="6" t="s">
        <v>46</v>
      </c>
      <c r="B7" s="36">
        <v>25.5</v>
      </c>
      <c r="C7" s="32">
        <v>38</v>
      </c>
      <c r="D7" s="37"/>
    </row>
    <row r="8" spans="1:4">
      <c r="A8" s="6" t="s">
        <v>47</v>
      </c>
      <c r="B8" s="36">
        <v>2.6666666666666665</v>
      </c>
      <c r="C8" s="32">
        <v>38</v>
      </c>
      <c r="D8" s="37"/>
    </row>
    <row r="9" spans="1:4">
      <c r="A9" s="6" t="s">
        <v>48</v>
      </c>
      <c r="B9" s="36" t="s">
        <v>153</v>
      </c>
      <c r="C9" s="33" t="s">
        <v>153</v>
      </c>
      <c r="D9" s="37"/>
    </row>
    <row r="10" spans="1:4">
      <c r="A10" s="6" t="s">
        <v>49</v>
      </c>
      <c r="B10" s="36">
        <v>3.3666666666666663</v>
      </c>
      <c r="C10" s="32">
        <v>38</v>
      </c>
      <c r="D10" s="37"/>
    </row>
    <row r="11" spans="1:4">
      <c r="A11" s="6" t="s">
        <v>50</v>
      </c>
      <c r="B11" s="36">
        <v>6.5</v>
      </c>
      <c r="C11" s="32">
        <v>38</v>
      </c>
      <c r="D11" s="37"/>
    </row>
    <row r="12" spans="1:4">
      <c r="A12" s="6" t="s">
        <v>51</v>
      </c>
      <c r="B12" s="36">
        <v>7.8777777777777782</v>
      </c>
      <c r="C12" s="32">
        <v>38</v>
      </c>
      <c r="D12" s="37"/>
    </row>
    <row r="13" spans="1:4">
      <c r="A13" s="6" t="s">
        <v>52</v>
      </c>
      <c r="B13" s="36">
        <v>5.6285714285714281</v>
      </c>
      <c r="C13" s="32">
        <v>38</v>
      </c>
      <c r="D13" s="37"/>
    </row>
    <row r="14" spans="1:4">
      <c r="A14" s="6" t="s">
        <v>53</v>
      </c>
      <c r="B14" s="36">
        <v>21.125</v>
      </c>
      <c r="C14" s="32">
        <v>38</v>
      </c>
      <c r="D14" s="37"/>
    </row>
    <row r="15" spans="1:4">
      <c r="A15" s="6" t="s">
        <v>54</v>
      </c>
      <c r="B15" s="36">
        <v>12.059999999999999</v>
      </c>
      <c r="C15" s="32">
        <v>38</v>
      </c>
      <c r="D15" s="37"/>
    </row>
    <row r="16" spans="1:4">
      <c r="A16" s="6" t="s">
        <v>56</v>
      </c>
      <c r="B16" s="36">
        <v>15</v>
      </c>
      <c r="C16" s="32">
        <v>38</v>
      </c>
      <c r="D16" s="37"/>
    </row>
    <row r="17" spans="1:4">
      <c r="A17" s="6" t="s">
        <v>57</v>
      </c>
      <c r="B17" s="36">
        <v>95</v>
      </c>
      <c r="C17" s="32">
        <v>38</v>
      </c>
      <c r="D17" s="37"/>
    </row>
    <row r="18" spans="1:4">
      <c r="A18" s="6" t="s">
        <v>58</v>
      </c>
      <c r="B18" s="36">
        <v>26.293749999999999</v>
      </c>
      <c r="C18" s="32">
        <v>38</v>
      </c>
      <c r="D18" s="37"/>
    </row>
    <row r="19" spans="1:4">
      <c r="A19" s="6" t="s">
        <v>59</v>
      </c>
      <c r="B19" s="36">
        <v>21.274999999999999</v>
      </c>
      <c r="C19" s="32">
        <v>38</v>
      </c>
      <c r="D19" s="37"/>
    </row>
    <row r="20" spans="1:4">
      <c r="A20" s="6" t="s">
        <v>60</v>
      </c>
      <c r="B20" s="36">
        <v>18.25</v>
      </c>
      <c r="C20" s="32">
        <v>38</v>
      </c>
      <c r="D20" s="37"/>
    </row>
    <row r="21" spans="1:4">
      <c r="A21" s="6" t="s">
        <v>61</v>
      </c>
      <c r="B21" s="36">
        <v>5.5</v>
      </c>
      <c r="C21" s="32">
        <v>38</v>
      </c>
      <c r="D21" s="37"/>
    </row>
    <row r="22" spans="1:4">
      <c r="A22" s="6" t="s">
        <v>62</v>
      </c>
      <c r="B22" s="36">
        <v>2</v>
      </c>
      <c r="C22" s="32">
        <v>38</v>
      </c>
      <c r="D22" s="37"/>
    </row>
    <row r="23" spans="1:4">
      <c r="A23" s="6" t="s">
        <v>63</v>
      </c>
      <c r="B23" s="36">
        <v>9</v>
      </c>
      <c r="C23" s="32">
        <v>38</v>
      </c>
      <c r="D23" s="37"/>
    </row>
    <row r="24" spans="1:4">
      <c r="A24" s="6" t="s">
        <v>64</v>
      </c>
      <c r="B24" s="36">
        <v>1.75</v>
      </c>
      <c r="C24" s="32">
        <v>38</v>
      </c>
      <c r="D24" s="37"/>
    </row>
    <row r="25" spans="1:4">
      <c r="A25" s="6" t="s">
        <v>65</v>
      </c>
      <c r="B25" s="36">
        <v>26.519999999999996</v>
      </c>
      <c r="C25" s="32">
        <v>38</v>
      </c>
      <c r="D25" s="37"/>
    </row>
    <row r="26" spans="1:4">
      <c r="A26" s="6" t="s">
        <v>66</v>
      </c>
      <c r="B26" s="36">
        <v>10.08</v>
      </c>
      <c r="C26" s="32">
        <v>38</v>
      </c>
      <c r="D26" s="37"/>
    </row>
    <row r="27" spans="1:4">
      <c r="A27" s="6" t="s">
        <v>67</v>
      </c>
      <c r="B27" s="36">
        <v>2.6999999999999997</v>
      </c>
      <c r="C27" s="32">
        <v>38</v>
      </c>
      <c r="D27" s="37"/>
    </row>
    <row r="28" spans="1:4">
      <c r="A28" s="6" t="s">
        <v>68</v>
      </c>
      <c r="B28" s="36">
        <v>1</v>
      </c>
      <c r="C28" s="32">
        <v>38</v>
      </c>
      <c r="D28" s="37"/>
    </row>
    <row r="29" spans="1:4">
      <c r="A29" s="6" t="s">
        <v>69</v>
      </c>
      <c r="B29" s="36">
        <v>2.25</v>
      </c>
      <c r="C29" s="32">
        <v>38</v>
      </c>
      <c r="D29" s="37"/>
    </row>
    <row r="30" spans="1:4">
      <c r="A30" s="6" t="s">
        <v>71</v>
      </c>
      <c r="B30" s="36">
        <v>13</v>
      </c>
      <c r="C30" s="32">
        <v>38</v>
      </c>
      <c r="D30" s="37"/>
    </row>
    <row r="31" spans="1:4">
      <c r="A31" s="6" t="s">
        <v>73</v>
      </c>
      <c r="B31" s="36">
        <v>10.047058823529412</v>
      </c>
      <c r="C31" s="32">
        <v>38</v>
      </c>
      <c r="D31" s="37"/>
    </row>
    <row r="32" spans="1:4">
      <c r="A32" s="6" t="s">
        <v>76</v>
      </c>
      <c r="B32" s="36">
        <v>6.4</v>
      </c>
      <c r="C32" s="33">
        <v>102</v>
      </c>
      <c r="D32" s="37"/>
    </row>
    <row r="33" spans="1:4">
      <c r="A33" s="6" t="s">
        <v>77</v>
      </c>
      <c r="B33" s="36">
        <v>3.5142857142857147</v>
      </c>
      <c r="C33" s="32">
        <v>38</v>
      </c>
      <c r="D33" s="37"/>
    </row>
    <row r="34" spans="1:4">
      <c r="A34" s="6" t="s">
        <v>79</v>
      </c>
      <c r="B34" s="36">
        <v>3.45</v>
      </c>
      <c r="C34" s="32">
        <v>38</v>
      </c>
      <c r="D34" s="37"/>
    </row>
    <row r="35" spans="1:4">
      <c r="A35" s="6" t="s">
        <v>80</v>
      </c>
      <c r="B35" s="36">
        <v>3.28</v>
      </c>
      <c r="C35" s="32">
        <v>38</v>
      </c>
      <c r="D35" s="37"/>
    </row>
    <row r="36" spans="1:4">
      <c r="A36" s="6" t="s">
        <v>81</v>
      </c>
      <c r="B36" s="36">
        <v>20.309090909090909</v>
      </c>
      <c r="C36" s="32">
        <v>38</v>
      </c>
      <c r="D36" s="37"/>
    </row>
    <row r="37" spans="1:4">
      <c r="A37" s="6" t="s">
        <v>82</v>
      </c>
      <c r="B37" s="36">
        <v>15.75</v>
      </c>
      <c r="C37" s="32">
        <v>38</v>
      </c>
      <c r="D37" s="37"/>
    </row>
    <row r="38" spans="1:4">
      <c r="A38" s="6" t="s">
        <v>83</v>
      </c>
      <c r="B38" s="36">
        <v>5.4</v>
      </c>
      <c r="C38" s="32">
        <v>38</v>
      </c>
      <c r="D38" s="37"/>
    </row>
    <row r="39" spans="1:4">
      <c r="A39" s="6" t="s">
        <v>84</v>
      </c>
      <c r="B39" s="36" t="s">
        <v>153</v>
      </c>
      <c r="C39" s="33" t="s">
        <v>153</v>
      </c>
      <c r="D39" s="37"/>
    </row>
    <row r="40" spans="1:4">
      <c r="A40" s="6" t="s">
        <v>85</v>
      </c>
      <c r="B40" s="36">
        <v>15.680952380952384</v>
      </c>
      <c r="C40" s="32">
        <v>38</v>
      </c>
      <c r="D40" s="37"/>
    </row>
    <row r="41" spans="1:4">
      <c r="A41" s="6" t="s">
        <v>86</v>
      </c>
      <c r="B41" s="36">
        <v>2</v>
      </c>
      <c r="C41" s="32">
        <v>38</v>
      </c>
      <c r="D41" s="37"/>
    </row>
    <row r="42" spans="1:4">
      <c r="A42" s="6" t="s">
        <v>87</v>
      </c>
      <c r="B42" s="36">
        <v>27.521428571428572</v>
      </c>
      <c r="C42" s="32">
        <v>38</v>
      </c>
      <c r="D42" s="37"/>
    </row>
    <row r="43" spans="1:4">
      <c r="A43" s="6" t="s">
        <v>88</v>
      </c>
      <c r="B43" s="36">
        <v>22</v>
      </c>
      <c r="C43" s="33">
        <v>104</v>
      </c>
      <c r="D43" s="37"/>
    </row>
    <row r="44" spans="1:4">
      <c r="A44" s="6" t="s">
        <v>89</v>
      </c>
      <c r="B44" s="36">
        <v>36.362499999999997</v>
      </c>
      <c r="C44" s="32">
        <v>38</v>
      </c>
      <c r="D44" s="37"/>
    </row>
    <row r="45" spans="1:4">
      <c r="A45" s="22" t="s">
        <v>90</v>
      </c>
      <c r="B45" s="36">
        <v>95</v>
      </c>
      <c r="C45" s="32">
        <v>38</v>
      </c>
      <c r="D45" s="37"/>
    </row>
    <row r="46" spans="1:4">
      <c r="A46" s="6" t="s">
        <v>91</v>
      </c>
      <c r="B46" s="36">
        <v>5.0999999999999996</v>
      </c>
      <c r="C46" s="32">
        <v>38</v>
      </c>
      <c r="D46" s="37"/>
    </row>
    <row r="47" spans="1:4">
      <c r="A47" s="6" t="s">
        <v>92</v>
      </c>
      <c r="B47" s="36">
        <v>68.375</v>
      </c>
      <c r="C47" s="32">
        <v>38</v>
      </c>
      <c r="D47" s="37"/>
    </row>
    <row r="48" spans="1:4">
      <c r="A48" s="6" t="s">
        <v>93</v>
      </c>
      <c r="B48" s="36">
        <v>9.9400000000000013</v>
      </c>
      <c r="C48" s="32">
        <v>38</v>
      </c>
      <c r="D48" s="37"/>
    </row>
    <row r="49" spans="1:4">
      <c r="A49" s="6" t="s">
        <v>94</v>
      </c>
      <c r="B49" s="36">
        <v>3.5</v>
      </c>
      <c r="C49" s="32">
        <v>38</v>
      </c>
      <c r="D49" s="37"/>
    </row>
    <row r="50" spans="1:4">
      <c r="A50" s="6" t="s">
        <v>95</v>
      </c>
      <c r="B50" s="36">
        <v>1</v>
      </c>
      <c r="C50" s="32">
        <v>38</v>
      </c>
      <c r="D50" s="37"/>
    </row>
    <row r="51" spans="1:4">
      <c r="A51" s="6" t="s">
        <v>96</v>
      </c>
      <c r="B51" s="36">
        <v>2.25</v>
      </c>
      <c r="C51" s="32">
        <v>38</v>
      </c>
      <c r="D51" s="37"/>
    </row>
    <row r="52" spans="1:4">
      <c r="A52" s="6" t="s">
        <v>97</v>
      </c>
      <c r="B52" s="36">
        <v>67.5</v>
      </c>
      <c r="C52" s="32">
        <v>38</v>
      </c>
      <c r="D52" s="37"/>
    </row>
    <row r="53" spans="1:4">
      <c r="A53" s="6" t="s">
        <v>98</v>
      </c>
      <c r="B53" s="36">
        <v>42.707142857142863</v>
      </c>
      <c r="C53" s="32">
        <v>38</v>
      </c>
      <c r="D53" s="37"/>
    </row>
    <row r="54" spans="1:4">
      <c r="A54" s="6" t="s">
        <v>99</v>
      </c>
      <c r="B54" s="36">
        <v>47.045161290322575</v>
      </c>
      <c r="C54" s="32">
        <v>38</v>
      </c>
      <c r="D54" s="37"/>
    </row>
    <row r="55" spans="1:4">
      <c r="A55" s="6" t="s">
        <v>100</v>
      </c>
      <c r="B55" s="36">
        <v>48.204999999999998</v>
      </c>
      <c r="C55" s="32">
        <v>38</v>
      </c>
      <c r="D55" s="37"/>
    </row>
    <row r="56" spans="1:4">
      <c r="A56" s="6" t="s">
        <v>101</v>
      </c>
      <c r="B56" s="36">
        <v>41.125</v>
      </c>
      <c r="C56" s="32">
        <v>38</v>
      </c>
      <c r="D56" s="37"/>
    </row>
    <row r="57" spans="1:4">
      <c r="A57" s="6" t="s">
        <v>102</v>
      </c>
      <c r="B57" s="36">
        <v>1.25</v>
      </c>
      <c r="C57" s="32">
        <v>38</v>
      </c>
      <c r="D57" s="37"/>
    </row>
    <row r="58" spans="1:4">
      <c r="A58" s="6" t="s">
        <v>103</v>
      </c>
      <c r="B58" s="36">
        <v>29.180000000000003</v>
      </c>
      <c r="C58" s="32">
        <v>38</v>
      </c>
      <c r="D58" s="37"/>
    </row>
    <row r="59" spans="1:4">
      <c r="A59" s="6" t="s">
        <v>104</v>
      </c>
      <c r="B59" s="36">
        <v>2.9</v>
      </c>
      <c r="C59" s="32">
        <v>11</v>
      </c>
      <c r="D59" s="37"/>
    </row>
    <row r="60" spans="1:4">
      <c r="A60" s="6" t="s">
        <v>105</v>
      </c>
      <c r="B60" s="36">
        <v>2.6500000000000004</v>
      </c>
      <c r="C60" s="32">
        <v>38</v>
      </c>
      <c r="D60" s="37"/>
    </row>
    <row r="61" spans="1:4">
      <c r="A61" s="6" t="s">
        <v>106</v>
      </c>
      <c r="B61" s="36">
        <v>2</v>
      </c>
      <c r="C61" s="32">
        <v>38</v>
      </c>
      <c r="D61" s="37"/>
    </row>
    <row r="62" spans="1:4">
      <c r="A62" s="6" t="s">
        <v>107</v>
      </c>
      <c r="B62" s="36">
        <v>1.5999999999999999</v>
      </c>
      <c r="C62" s="32">
        <v>38</v>
      </c>
      <c r="D62" s="37"/>
    </row>
    <row r="63" spans="1:4">
      <c r="A63" s="6" t="s">
        <v>108</v>
      </c>
      <c r="B63" s="36">
        <v>5.92</v>
      </c>
      <c r="C63" s="32">
        <v>38</v>
      </c>
      <c r="D63" s="37"/>
    </row>
    <row r="64" spans="1:4">
      <c r="A64" s="6" t="s">
        <v>109</v>
      </c>
      <c r="B64" s="36">
        <v>21.45</v>
      </c>
      <c r="C64" s="32">
        <v>38</v>
      </c>
      <c r="D64" s="37"/>
    </row>
    <row r="65" spans="1:4">
      <c r="A65" s="6" t="s">
        <v>110</v>
      </c>
      <c r="B65" s="36">
        <v>5.15</v>
      </c>
      <c r="C65" s="32">
        <v>38</v>
      </c>
      <c r="D65" s="37"/>
    </row>
    <row r="66" spans="1:4">
      <c r="A66" s="6" t="s">
        <v>111</v>
      </c>
      <c r="B66" s="36">
        <v>5</v>
      </c>
      <c r="C66" s="32">
        <v>38</v>
      </c>
      <c r="D66" s="37"/>
    </row>
    <row r="67" spans="1:4">
      <c r="A67" s="6" t="s">
        <v>112</v>
      </c>
      <c r="B67" s="36">
        <v>6.2983333333333329</v>
      </c>
      <c r="C67" s="32">
        <v>38</v>
      </c>
      <c r="D67" s="37"/>
    </row>
    <row r="68" spans="1:4">
      <c r="A68" s="6" t="s">
        <v>113</v>
      </c>
      <c r="B68" s="36">
        <v>37.80833333333333</v>
      </c>
      <c r="C68" s="32">
        <v>38</v>
      </c>
      <c r="D68" s="37"/>
    </row>
    <row r="69" spans="1:4">
      <c r="A69" s="6" t="s">
        <v>114</v>
      </c>
      <c r="B69" s="36">
        <v>24.75</v>
      </c>
      <c r="C69" s="32">
        <v>38</v>
      </c>
      <c r="D69" s="37"/>
    </row>
    <row r="70" spans="1:4">
      <c r="A70" s="6" t="s">
        <v>115</v>
      </c>
      <c r="B70" s="36">
        <v>3.8600000000000003</v>
      </c>
      <c r="C70" s="32">
        <v>38</v>
      </c>
      <c r="D70" s="37"/>
    </row>
    <row r="71" spans="1:4">
      <c r="A71" s="6" t="s">
        <v>116</v>
      </c>
      <c r="B71" s="36">
        <v>2</v>
      </c>
      <c r="C71" s="32">
        <v>38</v>
      </c>
      <c r="D71" s="37"/>
    </row>
    <row r="72" spans="1:4">
      <c r="A72" s="6" t="s">
        <v>117</v>
      </c>
      <c r="B72" s="36">
        <v>5.3666666666666671</v>
      </c>
      <c r="C72" s="32">
        <v>103</v>
      </c>
      <c r="D72" s="37"/>
    </row>
    <row r="73" spans="1:4">
      <c r="A73" s="6" t="s">
        <v>118</v>
      </c>
      <c r="B73" s="36">
        <v>5.9333333333333336</v>
      </c>
      <c r="C73" s="32">
        <v>38</v>
      </c>
      <c r="D73" s="37"/>
    </row>
  </sheetData>
  <autoFilter ref="A1:C73"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sheetPr>
  <dimension ref="A1:G937"/>
  <sheetViews>
    <sheetView topLeftCell="C1" workbookViewId="0">
      <selection activeCell="C1" sqref="C1"/>
    </sheetView>
  </sheetViews>
  <sheetFormatPr defaultColWidth="9.140625" defaultRowHeight="11.1" outlineLevelCol="1"/>
  <cols>
    <col min="1" max="1" width="20.7109375" style="45" hidden="1" customWidth="1" outlineLevel="1"/>
    <col min="2" max="2" width="41.28515625" style="45" hidden="1" customWidth="1" outlineLevel="1"/>
    <col min="3" max="3" width="21.42578125" style="6" bestFit="1" customWidth="1" collapsed="1"/>
    <col min="4" max="4" width="14" style="7" bestFit="1" customWidth="1"/>
    <col min="5" max="5" width="31.7109375" style="14" bestFit="1" customWidth="1"/>
    <col min="6" max="6" width="125.7109375" style="14" bestFit="1" customWidth="1"/>
    <col min="7" max="7" width="69.140625" style="6" bestFit="1" customWidth="1"/>
    <col min="8" max="16384" width="9.140625" style="6"/>
  </cols>
  <sheetData>
    <row r="1" spans="1:7">
      <c r="A1" s="42" t="s">
        <v>206</v>
      </c>
      <c r="B1" s="43" t="s">
        <v>207</v>
      </c>
      <c r="C1" s="1" t="s">
        <v>1</v>
      </c>
      <c r="D1" s="1" t="s">
        <v>208</v>
      </c>
      <c r="E1" s="44" t="s">
        <v>138</v>
      </c>
      <c r="F1" s="44" t="s">
        <v>209</v>
      </c>
      <c r="G1" s="13" t="s">
        <v>129</v>
      </c>
    </row>
    <row r="2" spans="1:7" ht="10.5" customHeight="1">
      <c r="A2" s="45" t="str">
        <f>IF(COUNTIF($B$2:B2,B2)=1,"ok","dup")</f>
        <v>ok</v>
      </c>
      <c r="B2" s="45" t="str">
        <f t="shared" ref="B2:B65" si="0">C2&amp;D2</f>
        <v>Allenopithecus_nigroviridis40</v>
      </c>
      <c r="C2" s="6" t="s">
        <v>210</v>
      </c>
      <c r="D2" s="7">
        <v>40</v>
      </c>
      <c r="E2" s="14" t="s">
        <v>211</v>
      </c>
    </row>
    <row r="3" spans="1:7" ht="10.5" customHeight="1">
      <c r="A3" s="45" t="str">
        <f>IF(COUNTIF($B$2:B3,B3)=1,"ok","dup")</f>
        <v>ok</v>
      </c>
      <c r="B3" s="45" t="str">
        <f t="shared" si="0"/>
        <v>Alouatta_caraya8.05</v>
      </c>
      <c r="C3" s="6" t="s">
        <v>38</v>
      </c>
      <c r="D3" s="7">
        <v>8.0500000000000007</v>
      </c>
      <c r="E3" s="14" t="s">
        <v>212</v>
      </c>
    </row>
    <row r="4" spans="1:7" ht="10.5" customHeight="1">
      <c r="A4" s="45" t="str">
        <f>IF(COUNTIF($B$2:B4,B4)=1,"ok","dup")</f>
        <v>ok</v>
      </c>
      <c r="B4" s="45" t="str">
        <f t="shared" si="0"/>
        <v>Alouatta_caraya7</v>
      </c>
      <c r="C4" s="6" t="s">
        <v>38</v>
      </c>
      <c r="D4" s="7">
        <v>7</v>
      </c>
      <c r="E4" s="14" t="s">
        <v>213</v>
      </c>
    </row>
    <row r="5" spans="1:7" ht="10.5" customHeight="1">
      <c r="A5" s="45" t="str">
        <f>IF(COUNTIF($B$2:B5,B5)=1,"ok","dup")</f>
        <v>dup</v>
      </c>
      <c r="B5" s="45" t="str">
        <f t="shared" si="0"/>
        <v>Alouatta_caraya8.05</v>
      </c>
      <c r="C5" s="6" t="s">
        <v>38</v>
      </c>
      <c r="D5" s="7">
        <v>8.0500000000000007</v>
      </c>
      <c r="E5" s="14" t="s">
        <v>211</v>
      </c>
    </row>
    <row r="6" spans="1:7" ht="10.5" customHeight="1">
      <c r="A6" s="45" t="str">
        <f>IF(COUNTIF($B$2:B6,B6)=1,"ok","dup")</f>
        <v>ok</v>
      </c>
      <c r="B6" s="45" t="str">
        <f t="shared" si="0"/>
        <v>Alouatta_caraya5</v>
      </c>
      <c r="C6" s="6" t="s">
        <v>38</v>
      </c>
      <c r="D6" s="7">
        <v>5</v>
      </c>
      <c r="E6" s="14" t="s">
        <v>214</v>
      </c>
      <c r="F6" s="14" t="s">
        <v>215</v>
      </c>
    </row>
    <row r="7" spans="1:7" ht="10.5" customHeight="1">
      <c r="A7" s="45" t="str">
        <f>IF(COUNTIF($B$2:B7,B7)=1,"ok","dup")</f>
        <v>ok</v>
      </c>
      <c r="B7" s="45" t="str">
        <f t="shared" si="0"/>
        <v>Alouatta_palliata12.2</v>
      </c>
      <c r="C7" s="6" t="s">
        <v>39</v>
      </c>
      <c r="D7" s="7">
        <v>12.2</v>
      </c>
      <c r="E7" s="14" t="s">
        <v>216</v>
      </c>
      <c r="F7" s="14" t="s">
        <v>217</v>
      </c>
    </row>
    <row r="8" spans="1:7">
      <c r="A8" s="45" t="str">
        <f>IF(COUNTIF($B$2:B8,B8)=1,"ok","dup")</f>
        <v>ok</v>
      </c>
      <c r="B8" s="45" t="str">
        <f t="shared" si="0"/>
        <v>Alouatta_palliata15.5</v>
      </c>
      <c r="C8" s="6" t="s">
        <v>39</v>
      </c>
      <c r="D8" s="7">
        <v>15.5</v>
      </c>
      <c r="E8" s="14" t="s">
        <v>216</v>
      </c>
      <c r="F8" s="14" t="s">
        <v>217</v>
      </c>
    </row>
    <row r="9" spans="1:7" ht="10.5" customHeight="1">
      <c r="A9" s="45" t="str">
        <f>IF(COUNTIF($B$2:B9,B9)=1,"ok","dup")</f>
        <v>ok</v>
      </c>
      <c r="B9" s="45" t="str">
        <f t="shared" si="0"/>
        <v>Alouatta_palliata9.1</v>
      </c>
      <c r="C9" s="6" t="s">
        <v>39</v>
      </c>
      <c r="D9" s="7">
        <v>9.1</v>
      </c>
      <c r="E9" s="14" t="s">
        <v>216</v>
      </c>
      <c r="F9" s="14" t="s">
        <v>217</v>
      </c>
    </row>
    <row r="10" spans="1:7" ht="10.5" customHeight="1">
      <c r="A10" s="45" t="str">
        <f>IF(COUNTIF($B$2:B10,B10)=1,"ok","dup")</f>
        <v>ok</v>
      </c>
      <c r="B10" s="45" t="str">
        <f t="shared" si="0"/>
        <v>Alouatta_palliata12.15</v>
      </c>
      <c r="C10" s="6" t="s">
        <v>39</v>
      </c>
      <c r="D10" s="7">
        <v>12.15</v>
      </c>
      <c r="E10" s="14" t="s">
        <v>212</v>
      </c>
    </row>
    <row r="11" spans="1:7" ht="10.5" customHeight="1">
      <c r="A11" s="45" t="str">
        <f>IF(COUNTIF($B$2:B11,B11)=1,"ok","dup")</f>
        <v>dup</v>
      </c>
      <c r="B11" s="45" t="str">
        <f t="shared" si="0"/>
        <v>Alouatta_palliata15.5</v>
      </c>
      <c r="C11" s="6" t="s">
        <v>39</v>
      </c>
      <c r="D11" s="7">
        <v>15.5</v>
      </c>
      <c r="E11" s="14" t="s">
        <v>212</v>
      </c>
    </row>
    <row r="12" spans="1:7" ht="10.5" customHeight="1">
      <c r="A12" s="45" t="str">
        <f>IF(COUNTIF($B$2:B12,B12)=1,"ok","dup")</f>
        <v>ok</v>
      </c>
      <c r="B12" s="45" t="str">
        <f t="shared" si="0"/>
        <v>Alouatta_palliata19</v>
      </c>
      <c r="C12" s="6" t="s">
        <v>39</v>
      </c>
      <c r="D12" s="7">
        <v>19</v>
      </c>
      <c r="E12" s="14" t="s">
        <v>212</v>
      </c>
    </row>
    <row r="13" spans="1:7" ht="10.5" customHeight="1">
      <c r="A13" s="45" t="str">
        <f>IF(COUNTIF($B$2:B13,B13)=1,"ok","dup")</f>
        <v>ok</v>
      </c>
      <c r="B13" s="45" t="str">
        <f t="shared" si="0"/>
        <v>Alouatta_palliata6</v>
      </c>
      <c r="C13" s="6" t="s">
        <v>39</v>
      </c>
      <c r="D13" s="7">
        <v>6</v>
      </c>
      <c r="E13" s="14" t="s">
        <v>212</v>
      </c>
      <c r="F13" s="46"/>
    </row>
    <row r="14" spans="1:7" ht="10.5" customHeight="1">
      <c r="A14" s="45" t="str">
        <f>IF(COUNTIF($B$2:B14,B14)=1,"ok","dup")</f>
        <v>dup</v>
      </c>
      <c r="B14" s="45" t="str">
        <f t="shared" si="0"/>
        <v>Alouatta_palliata9.1</v>
      </c>
      <c r="C14" s="6" t="s">
        <v>39</v>
      </c>
      <c r="D14" s="7">
        <v>9.1</v>
      </c>
      <c r="E14" s="14" t="s">
        <v>212</v>
      </c>
    </row>
    <row r="15" spans="1:7">
      <c r="A15" s="45" t="str">
        <f>IF(COUNTIF($B$2:B15,B15)=1,"ok","dup")</f>
        <v>ok</v>
      </c>
      <c r="B15" s="45" t="str">
        <f t="shared" si="0"/>
        <v>Alouatta_palliata14</v>
      </c>
      <c r="C15" s="6" t="s">
        <v>39</v>
      </c>
      <c r="D15" s="7">
        <v>14</v>
      </c>
      <c r="E15" s="14" t="s">
        <v>218</v>
      </c>
      <c r="F15" s="14" t="s">
        <v>219</v>
      </c>
    </row>
    <row r="16" spans="1:7">
      <c r="A16" s="45" t="str">
        <f>IF(COUNTIF($B$2:B16,B16)=1,"ok","dup")</f>
        <v>ok</v>
      </c>
      <c r="B16" s="45" t="str">
        <f t="shared" si="0"/>
        <v>Alouatta_palliata17</v>
      </c>
      <c r="C16" s="6" t="s">
        <v>39</v>
      </c>
      <c r="D16" s="7">
        <v>17</v>
      </c>
      <c r="E16" s="14" t="s">
        <v>213</v>
      </c>
    </row>
    <row r="17" spans="1:7" ht="10.5" customHeight="1">
      <c r="A17" s="45" t="str">
        <f>IF(COUNTIF($B$2:B17,B17)=1,"ok","dup")</f>
        <v>ok</v>
      </c>
      <c r="B17" s="45" t="str">
        <f t="shared" si="0"/>
        <v>Alouatta_palliata12.5</v>
      </c>
      <c r="C17" s="6" t="s">
        <v>39</v>
      </c>
      <c r="D17" s="7">
        <v>12.5</v>
      </c>
      <c r="E17" s="14" t="s">
        <v>211</v>
      </c>
    </row>
    <row r="18" spans="1:7" ht="10.5" customHeight="1">
      <c r="A18" s="45" t="str">
        <f>IF(COUNTIF($B$2:B18,B18)=1,"ok","dup")</f>
        <v>ok</v>
      </c>
      <c r="B18" s="45" t="str">
        <f t="shared" si="0"/>
        <v>Alouatta_palliata10</v>
      </c>
      <c r="C18" s="6" t="s">
        <v>39</v>
      </c>
      <c r="D18" s="7">
        <v>10</v>
      </c>
      <c r="E18" s="14" t="s">
        <v>220</v>
      </c>
      <c r="F18" s="14" t="s">
        <v>221</v>
      </c>
      <c r="G18" s="6" t="s">
        <v>222</v>
      </c>
    </row>
    <row r="19" spans="1:7" ht="10.5" customHeight="1">
      <c r="A19" s="45" t="str">
        <f>IF(COUNTIF($B$2:B19,B19)=1,"ok","dup")</f>
        <v>ok</v>
      </c>
      <c r="B19" s="45" t="str">
        <f t="shared" si="0"/>
        <v>Alouatta_palliata11</v>
      </c>
      <c r="C19" s="6" t="s">
        <v>39</v>
      </c>
      <c r="D19" s="7">
        <v>11</v>
      </c>
      <c r="E19" s="14" t="s">
        <v>220</v>
      </c>
      <c r="F19" s="14" t="s">
        <v>223</v>
      </c>
      <c r="G19" s="6" t="s">
        <v>222</v>
      </c>
    </row>
    <row r="20" spans="1:7" ht="10.5" customHeight="1">
      <c r="A20" s="45" t="str">
        <f>IF(COUNTIF($B$2:B20,B20)=1,"ok","dup")</f>
        <v>ok</v>
      </c>
      <c r="B20" s="45" t="str">
        <f t="shared" si="0"/>
        <v>Alouatta_palliata11.3</v>
      </c>
      <c r="C20" s="6" t="s">
        <v>39</v>
      </c>
      <c r="D20" s="7">
        <v>11.3</v>
      </c>
      <c r="E20" s="14" t="s">
        <v>220</v>
      </c>
      <c r="F20" s="14" t="s">
        <v>224</v>
      </c>
      <c r="G20" s="6" t="s">
        <v>225</v>
      </c>
    </row>
    <row r="21" spans="1:7">
      <c r="A21" s="45" t="str">
        <f>IF(COUNTIF($B$2:B21,B21)=1,"ok","dup")</f>
        <v>ok</v>
      </c>
      <c r="B21" s="45" t="str">
        <f t="shared" si="0"/>
        <v>Alouatta_palliata12</v>
      </c>
      <c r="C21" s="6" t="s">
        <v>39</v>
      </c>
      <c r="D21" s="7">
        <v>12</v>
      </c>
      <c r="E21" s="14" t="s">
        <v>220</v>
      </c>
      <c r="F21" s="14" t="s">
        <v>223</v>
      </c>
      <c r="G21" s="6" t="s">
        <v>226</v>
      </c>
    </row>
    <row r="22" spans="1:7" ht="10.5" customHeight="1">
      <c r="A22" s="45" t="str">
        <f>IF(COUNTIF($B$2:B22,B22)=1,"ok","dup")</f>
        <v>dup</v>
      </c>
      <c r="B22" s="45" t="str">
        <f t="shared" si="0"/>
        <v>Alouatta_palliata12.2</v>
      </c>
      <c r="C22" s="6" t="s">
        <v>39</v>
      </c>
      <c r="D22" s="7">
        <v>12.2</v>
      </c>
      <c r="E22" s="14" t="s">
        <v>220</v>
      </c>
      <c r="F22" s="14" t="s">
        <v>227</v>
      </c>
      <c r="G22" s="6" t="s">
        <v>228</v>
      </c>
    </row>
    <row r="23" spans="1:7" ht="10.5" customHeight="1">
      <c r="A23" s="45" t="str">
        <f>IF(COUNTIF($B$2:B23,B23)=1,"ok","dup")</f>
        <v>ok</v>
      </c>
      <c r="B23" s="45" t="str">
        <f t="shared" si="0"/>
        <v>Alouatta_palliata13.7</v>
      </c>
      <c r="C23" s="6" t="s">
        <v>39</v>
      </c>
      <c r="D23" s="7">
        <v>13.7</v>
      </c>
      <c r="E23" s="14" t="s">
        <v>220</v>
      </c>
      <c r="F23" s="14" t="s">
        <v>229</v>
      </c>
      <c r="G23" s="6" t="s">
        <v>225</v>
      </c>
    </row>
    <row r="24" spans="1:7">
      <c r="A24" s="45" t="str">
        <f>IF(COUNTIF($B$2:B24,B24)=1,"ok","dup")</f>
        <v>ok</v>
      </c>
      <c r="B24" s="45" t="str">
        <f t="shared" si="0"/>
        <v>Alouatta_palliata13.8</v>
      </c>
      <c r="C24" s="6" t="s">
        <v>39</v>
      </c>
      <c r="D24" s="7">
        <v>13.8</v>
      </c>
      <c r="E24" s="14" t="s">
        <v>220</v>
      </c>
      <c r="F24" s="14" t="s">
        <v>230</v>
      </c>
      <c r="G24" s="6" t="s">
        <v>225</v>
      </c>
    </row>
    <row r="25" spans="1:7" ht="10.5" customHeight="1">
      <c r="A25" s="45" t="str">
        <f>IF(COUNTIF($B$2:B25,B25)=1,"ok","dup")</f>
        <v>dup</v>
      </c>
      <c r="B25" s="45" t="str">
        <f t="shared" si="0"/>
        <v>Alouatta_palliata14</v>
      </c>
      <c r="C25" s="6" t="s">
        <v>39</v>
      </c>
      <c r="D25" s="7">
        <v>14</v>
      </c>
      <c r="E25" s="14" t="s">
        <v>220</v>
      </c>
      <c r="F25" s="14" t="s">
        <v>231</v>
      </c>
    </row>
    <row r="26" spans="1:7" ht="10.5" customHeight="1">
      <c r="A26" s="45" t="str">
        <f>IF(COUNTIF($B$2:B26,B26)=1,"ok","dup")</f>
        <v>dup</v>
      </c>
      <c r="B26" s="45" t="str">
        <f t="shared" si="0"/>
        <v>Alouatta_palliata15.5</v>
      </c>
      <c r="C26" s="6" t="s">
        <v>39</v>
      </c>
      <c r="D26" s="7">
        <v>15.5</v>
      </c>
      <c r="E26" s="14" t="s">
        <v>220</v>
      </c>
      <c r="F26" s="14" t="s">
        <v>227</v>
      </c>
      <c r="G26" s="6" t="s">
        <v>228</v>
      </c>
    </row>
    <row r="27" spans="1:7" ht="10.5" customHeight="1">
      <c r="A27" s="45" t="str">
        <f>IF(COUNTIF($B$2:B27,B27)=1,"ok","dup")</f>
        <v>dup</v>
      </c>
      <c r="B27" s="45" t="str">
        <f t="shared" si="0"/>
        <v>Alouatta_palliata15.5</v>
      </c>
      <c r="C27" s="6" t="s">
        <v>39</v>
      </c>
      <c r="D27" s="7">
        <v>15.5</v>
      </c>
      <c r="E27" s="14" t="s">
        <v>220</v>
      </c>
      <c r="F27" s="14" t="s">
        <v>232</v>
      </c>
      <c r="G27" s="6" t="s">
        <v>225</v>
      </c>
    </row>
    <row r="28" spans="1:7" ht="10.5" customHeight="1">
      <c r="A28" s="45" t="str">
        <f>IF(COUNTIF($B$2:B28,B28)=1,"ok","dup")</f>
        <v>ok</v>
      </c>
      <c r="B28" s="45" t="str">
        <f t="shared" si="0"/>
        <v>Alouatta_palliata16.1</v>
      </c>
      <c r="C28" s="6" t="s">
        <v>39</v>
      </c>
      <c r="D28" s="7">
        <v>16.100000000000001</v>
      </c>
      <c r="E28" s="14" t="s">
        <v>220</v>
      </c>
      <c r="F28" s="14" t="s">
        <v>233</v>
      </c>
      <c r="G28" s="6" t="s">
        <v>225</v>
      </c>
    </row>
    <row r="29" spans="1:7" ht="10.5" customHeight="1">
      <c r="A29" s="45" t="str">
        <f>IF(COUNTIF($B$2:B29,B29)=1,"ok","dup")</f>
        <v>dup</v>
      </c>
      <c r="B29" s="45" t="str">
        <f t="shared" si="0"/>
        <v>Alouatta_palliata17</v>
      </c>
      <c r="C29" s="6" t="s">
        <v>39</v>
      </c>
      <c r="D29" s="7">
        <v>17</v>
      </c>
      <c r="E29" s="14" t="s">
        <v>220</v>
      </c>
      <c r="F29" s="14" t="s">
        <v>234</v>
      </c>
      <c r="G29" s="6" t="s">
        <v>235</v>
      </c>
    </row>
    <row r="30" spans="1:7">
      <c r="A30" s="45" t="str">
        <f>IF(COUNTIF($B$2:B30,B30)=1,"ok","dup")</f>
        <v>dup</v>
      </c>
      <c r="B30" s="45" t="str">
        <f t="shared" si="0"/>
        <v>Alouatta_palliata17</v>
      </c>
      <c r="C30" s="6" t="s">
        <v>39</v>
      </c>
      <c r="D30" s="7">
        <v>17</v>
      </c>
      <c r="E30" s="14" t="s">
        <v>220</v>
      </c>
      <c r="F30" s="14" t="s">
        <v>236</v>
      </c>
    </row>
    <row r="31" spans="1:7">
      <c r="A31" s="45" t="str">
        <f>IF(COUNTIF($B$2:B31,B31)=1,"ok","dup")</f>
        <v>dup</v>
      </c>
      <c r="B31" s="45" t="str">
        <f t="shared" si="0"/>
        <v>Alouatta_palliata17</v>
      </c>
      <c r="C31" s="6" t="s">
        <v>39</v>
      </c>
      <c r="D31" s="7">
        <v>17</v>
      </c>
      <c r="E31" s="14" t="s">
        <v>220</v>
      </c>
      <c r="F31" s="14" t="s">
        <v>236</v>
      </c>
    </row>
    <row r="32" spans="1:7" ht="10.5" customHeight="1">
      <c r="A32" s="45" t="str">
        <f>IF(COUNTIF($B$2:B32,B32)=1,"ok","dup")</f>
        <v>ok</v>
      </c>
      <c r="B32" s="45" t="str">
        <f t="shared" si="0"/>
        <v>Alouatta_palliata17.4</v>
      </c>
      <c r="C32" s="6" t="s">
        <v>39</v>
      </c>
      <c r="D32" s="7">
        <v>17.399999999999999</v>
      </c>
      <c r="E32" s="14" t="s">
        <v>220</v>
      </c>
      <c r="F32" s="14" t="s">
        <v>237</v>
      </c>
      <c r="G32" s="6" t="s">
        <v>225</v>
      </c>
    </row>
    <row r="33" spans="1:7" ht="10.5" customHeight="1">
      <c r="A33" s="45" t="str">
        <f>IF(COUNTIF($B$2:B33,B33)=1,"ok","dup")</f>
        <v>ok</v>
      </c>
      <c r="B33" s="45" t="str">
        <f t="shared" si="0"/>
        <v>Alouatta_palliata18</v>
      </c>
      <c r="C33" s="6" t="s">
        <v>39</v>
      </c>
      <c r="D33" s="7">
        <v>18</v>
      </c>
      <c r="E33" s="14" t="s">
        <v>220</v>
      </c>
      <c r="F33" s="14" t="s">
        <v>221</v>
      </c>
      <c r="G33" s="6" t="s">
        <v>222</v>
      </c>
    </row>
    <row r="34" spans="1:7" ht="10.5" customHeight="1">
      <c r="A34" s="45" t="str">
        <f>IF(COUNTIF($B$2:B34,B34)=1,"ok","dup")</f>
        <v>ok</v>
      </c>
      <c r="B34" s="45" t="str">
        <f t="shared" si="0"/>
        <v>Alouatta_palliata18.5</v>
      </c>
      <c r="C34" s="6" t="s">
        <v>39</v>
      </c>
      <c r="D34" s="7">
        <v>18.5</v>
      </c>
      <c r="E34" s="14" t="s">
        <v>220</v>
      </c>
      <c r="F34" s="14" t="s">
        <v>238</v>
      </c>
      <c r="G34" s="6" t="s">
        <v>239</v>
      </c>
    </row>
    <row r="35" spans="1:7" ht="10.5" customHeight="1">
      <c r="A35" s="45" t="str">
        <f>IF(COUNTIF($B$2:B35,B35)=1,"ok","dup")</f>
        <v>ok</v>
      </c>
      <c r="B35" s="45" t="str">
        <f t="shared" si="0"/>
        <v>Alouatta_palliata18.9</v>
      </c>
      <c r="C35" s="6" t="s">
        <v>39</v>
      </c>
      <c r="D35" s="7">
        <v>18.899999999999999</v>
      </c>
      <c r="E35" s="14" t="s">
        <v>220</v>
      </c>
      <c r="F35" s="14" t="s">
        <v>240</v>
      </c>
      <c r="G35" s="6" t="s">
        <v>225</v>
      </c>
    </row>
    <row r="36" spans="1:7">
      <c r="A36" s="45" t="str">
        <f>IF(COUNTIF($B$2:B36,B36)=1,"ok","dup")</f>
        <v>ok</v>
      </c>
      <c r="B36" s="45" t="str">
        <f t="shared" si="0"/>
        <v>Alouatta_palliata20.8</v>
      </c>
      <c r="C36" s="6" t="s">
        <v>39</v>
      </c>
      <c r="D36" s="7">
        <v>20.8</v>
      </c>
      <c r="E36" s="14" t="s">
        <v>220</v>
      </c>
      <c r="F36" s="14" t="s">
        <v>241</v>
      </c>
      <c r="G36" s="6" t="s">
        <v>225</v>
      </c>
    </row>
    <row r="37" spans="1:7" ht="10.5" customHeight="1">
      <c r="A37" s="45" t="str">
        <f>IF(COUNTIF($B$2:B37,B37)=1,"ok","dup")</f>
        <v>ok</v>
      </c>
      <c r="B37" s="45" t="str">
        <f t="shared" si="0"/>
        <v>Alouatta_palliata25</v>
      </c>
      <c r="C37" s="6" t="s">
        <v>39</v>
      </c>
      <c r="D37" s="7">
        <v>25</v>
      </c>
      <c r="E37" s="14" t="s">
        <v>220</v>
      </c>
      <c r="F37" s="14" t="s">
        <v>242</v>
      </c>
    </row>
    <row r="38" spans="1:7">
      <c r="A38" s="45" t="str">
        <f>IF(COUNTIF($B$2:B38,B38)=1,"ok","dup")</f>
        <v>ok</v>
      </c>
      <c r="B38" s="45" t="str">
        <f t="shared" si="0"/>
        <v>Alouatta_palliata26</v>
      </c>
      <c r="C38" s="6" t="s">
        <v>39</v>
      </c>
      <c r="D38" s="7">
        <v>26</v>
      </c>
      <c r="E38" s="14" t="s">
        <v>220</v>
      </c>
      <c r="F38" s="14" t="s">
        <v>243</v>
      </c>
    </row>
    <row r="39" spans="1:7" ht="10.5" customHeight="1">
      <c r="A39" s="45" t="str">
        <f>IF(COUNTIF($B$2:B39,B39)=1,"ok","dup")</f>
        <v>ok</v>
      </c>
      <c r="B39" s="45" t="str">
        <f t="shared" si="0"/>
        <v>Alouatta_palliata3</v>
      </c>
      <c r="C39" s="6" t="s">
        <v>39</v>
      </c>
      <c r="D39" s="7">
        <v>3</v>
      </c>
      <c r="E39" s="14" t="s">
        <v>220</v>
      </c>
      <c r="F39" s="14" t="s">
        <v>231</v>
      </c>
    </row>
    <row r="40" spans="1:7" ht="10.5" customHeight="1">
      <c r="A40" s="45" t="str">
        <f>IF(COUNTIF($B$2:B40,B40)=1,"ok","dup")</f>
        <v>ok</v>
      </c>
      <c r="B40" s="45" t="str">
        <f t="shared" si="0"/>
        <v>Alouatta_palliata4.2</v>
      </c>
      <c r="C40" s="6" t="s">
        <v>39</v>
      </c>
      <c r="D40" s="7">
        <v>4.2</v>
      </c>
      <c r="E40" s="14" t="s">
        <v>220</v>
      </c>
      <c r="F40" s="14" t="s">
        <v>244</v>
      </c>
      <c r="G40" s="6" t="s">
        <v>225</v>
      </c>
    </row>
    <row r="41" spans="1:7" ht="10.5" customHeight="1">
      <c r="A41" s="45" t="str">
        <f>IF(COUNTIF($B$2:B41,B41)=1,"ok","dup")</f>
        <v>ok</v>
      </c>
      <c r="B41" s="45" t="str">
        <f t="shared" si="0"/>
        <v>Alouatta_palliata40</v>
      </c>
      <c r="C41" s="6" t="s">
        <v>39</v>
      </c>
      <c r="D41" s="7">
        <v>40</v>
      </c>
      <c r="E41" s="14" t="s">
        <v>220</v>
      </c>
      <c r="F41" s="14" t="s">
        <v>245</v>
      </c>
    </row>
    <row r="42" spans="1:7" ht="10.5" customHeight="1">
      <c r="A42" s="45" t="str">
        <f>IF(COUNTIF($B$2:B42,B42)=1,"ok","dup")</f>
        <v>ok</v>
      </c>
      <c r="B42" s="45" t="str">
        <f t="shared" si="0"/>
        <v>Alouatta_palliata59</v>
      </c>
      <c r="C42" s="6" t="s">
        <v>39</v>
      </c>
      <c r="D42" s="7">
        <v>59</v>
      </c>
      <c r="E42" s="14" t="s">
        <v>220</v>
      </c>
      <c r="F42" s="14" t="s">
        <v>246</v>
      </c>
    </row>
    <row r="43" spans="1:7">
      <c r="A43" s="45" t="str">
        <f>IF(COUNTIF($B$2:B43,B43)=1,"ok","dup")</f>
        <v>dup</v>
      </c>
      <c r="B43" s="45" t="str">
        <f t="shared" si="0"/>
        <v>Alouatta_palliata6</v>
      </c>
      <c r="C43" s="6" t="s">
        <v>39</v>
      </c>
      <c r="D43" s="7">
        <v>6</v>
      </c>
      <c r="E43" s="14" t="s">
        <v>220</v>
      </c>
      <c r="F43" s="14" t="s">
        <v>246</v>
      </c>
    </row>
    <row r="44" spans="1:7" ht="10.5" customHeight="1">
      <c r="A44" s="45" t="str">
        <f>IF(COUNTIF($B$2:B44,B44)=1,"ok","dup")</f>
        <v>ok</v>
      </c>
      <c r="B44" s="45" t="str">
        <f t="shared" si="0"/>
        <v>Alouatta_palliata7</v>
      </c>
      <c r="C44" s="6" t="s">
        <v>39</v>
      </c>
      <c r="D44" s="7">
        <v>7</v>
      </c>
      <c r="E44" s="14" t="s">
        <v>220</v>
      </c>
      <c r="F44" s="14" t="s">
        <v>223</v>
      </c>
      <c r="G44" s="6" t="s">
        <v>222</v>
      </c>
    </row>
    <row r="45" spans="1:7" ht="10.5" customHeight="1">
      <c r="A45" s="45" t="str">
        <f>IF(COUNTIF($B$2:B45,B45)=1,"ok","dup")</f>
        <v>dup</v>
      </c>
      <c r="B45" s="45" t="str">
        <f t="shared" si="0"/>
        <v>Alouatta_palliata7</v>
      </c>
      <c r="C45" s="6" t="s">
        <v>39</v>
      </c>
      <c r="D45" s="7">
        <v>7</v>
      </c>
      <c r="E45" s="14" t="s">
        <v>220</v>
      </c>
      <c r="F45" s="14" t="s">
        <v>247</v>
      </c>
    </row>
    <row r="46" spans="1:7">
      <c r="A46" s="45" t="str">
        <f>IF(COUNTIF($B$2:B46,B46)=1,"ok","dup")</f>
        <v>dup</v>
      </c>
      <c r="B46" s="45" t="str">
        <f t="shared" si="0"/>
        <v>Alouatta_palliata7</v>
      </c>
      <c r="C46" s="6" t="s">
        <v>39</v>
      </c>
      <c r="D46" s="7">
        <v>7</v>
      </c>
      <c r="E46" s="14" t="s">
        <v>220</v>
      </c>
      <c r="F46" s="14" t="s">
        <v>246</v>
      </c>
    </row>
    <row r="47" spans="1:7" ht="10.5" customHeight="1">
      <c r="A47" s="45" t="str">
        <f>IF(COUNTIF($B$2:B47,B47)=1,"ok","dup")</f>
        <v>ok</v>
      </c>
      <c r="B47" s="45" t="str">
        <f t="shared" si="0"/>
        <v>Alouatta_palliata8</v>
      </c>
      <c r="C47" s="6" t="s">
        <v>39</v>
      </c>
      <c r="D47" s="7">
        <v>8</v>
      </c>
      <c r="E47" s="14" t="s">
        <v>220</v>
      </c>
      <c r="F47" s="14" t="s">
        <v>248</v>
      </c>
      <c r="G47" s="6" t="s">
        <v>225</v>
      </c>
    </row>
    <row r="48" spans="1:7">
      <c r="A48" s="45" t="str">
        <f>IF(COUNTIF($B$2:B48,B48)=1,"ok","dup")</f>
        <v>dup</v>
      </c>
      <c r="B48" s="45" t="str">
        <f t="shared" si="0"/>
        <v>Alouatta_palliata8</v>
      </c>
      <c r="C48" s="6" t="s">
        <v>39</v>
      </c>
      <c r="D48" s="7">
        <v>8</v>
      </c>
      <c r="E48" s="14" t="s">
        <v>220</v>
      </c>
      <c r="F48" s="14" t="s">
        <v>249</v>
      </c>
    </row>
    <row r="49" spans="1:7">
      <c r="A49" s="45" t="str">
        <f>IF(COUNTIF($B$2:B49,B49)=1,"ok","dup")</f>
        <v>ok</v>
      </c>
      <c r="B49" s="45" t="str">
        <f t="shared" si="0"/>
        <v>Alouatta_palliata8.1</v>
      </c>
      <c r="C49" s="6" t="s">
        <v>39</v>
      </c>
      <c r="D49" s="7">
        <v>8.1</v>
      </c>
      <c r="E49" s="14" t="s">
        <v>220</v>
      </c>
      <c r="F49" s="14" t="s">
        <v>250</v>
      </c>
      <c r="G49" s="6" t="s">
        <v>225</v>
      </c>
    </row>
    <row r="50" spans="1:7">
      <c r="A50" s="45" t="str">
        <f>IF(COUNTIF($B$2:B50,B50)=1,"ok","dup")</f>
        <v>ok</v>
      </c>
      <c r="B50" s="45" t="str">
        <f t="shared" si="0"/>
        <v>Alouatta_palliata9</v>
      </c>
      <c r="C50" s="6" t="s">
        <v>39</v>
      </c>
      <c r="D50" s="7">
        <v>9</v>
      </c>
      <c r="E50" s="14" t="s">
        <v>220</v>
      </c>
      <c r="F50" s="14" t="s">
        <v>249</v>
      </c>
    </row>
    <row r="51" spans="1:7">
      <c r="A51" s="45" t="str">
        <f>IF(COUNTIF($B$2:B51,B51)=1,"ok","dup")</f>
        <v>dup</v>
      </c>
      <c r="B51" s="45" t="str">
        <f t="shared" si="0"/>
        <v>Alouatta_palliata9.1</v>
      </c>
      <c r="C51" s="6" t="s">
        <v>39</v>
      </c>
      <c r="D51" s="7">
        <v>9.1</v>
      </c>
      <c r="E51" s="14" t="s">
        <v>220</v>
      </c>
      <c r="F51" s="14" t="s">
        <v>227</v>
      </c>
      <c r="G51" s="6" t="s">
        <v>228</v>
      </c>
    </row>
    <row r="52" spans="1:7">
      <c r="A52" s="45" t="str">
        <f>IF(COUNTIF($B$2:B52,B52)=1,"ok","dup")</f>
        <v>ok</v>
      </c>
      <c r="B52" s="45" t="str">
        <f t="shared" si="0"/>
        <v>Alouatta_palliata9.3</v>
      </c>
      <c r="C52" s="6" t="s">
        <v>39</v>
      </c>
      <c r="D52" s="7">
        <v>9.3000000000000007</v>
      </c>
      <c r="E52" s="14" t="s">
        <v>220</v>
      </c>
      <c r="F52" s="14" t="s">
        <v>251</v>
      </c>
      <c r="G52" s="6" t="s">
        <v>225</v>
      </c>
    </row>
    <row r="53" spans="1:7">
      <c r="A53" s="45" t="str">
        <f>IF(COUNTIF($B$2:B53,B53)=1,"ok","dup")</f>
        <v>ok</v>
      </c>
      <c r="B53" s="45" t="str">
        <f t="shared" si="0"/>
        <v>Alouatta_pigra5.3</v>
      </c>
      <c r="C53" s="6" t="s">
        <v>252</v>
      </c>
      <c r="D53" s="7">
        <v>5.3</v>
      </c>
      <c r="E53" s="14" t="s">
        <v>212</v>
      </c>
    </row>
    <row r="54" spans="1:7">
      <c r="A54" s="45" t="str">
        <f>IF(COUNTIF($B$2:B54,B54)=1,"ok","dup")</f>
        <v>ok</v>
      </c>
      <c r="B54" s="45" t="str">
        <f t="shared" si="0"/>
        <v>Alouatta_pigra5.5</v>
      </c>
      <c r="C54" s="6" t="s">
        <v>252</v>
      </c>
      <c r="D54" s="7">
        <v>5.5</v>
      </c>
      <c r="E54" s="14" t="s">
        <v>212</v>
      </c>
    </row>
    <row r="55" spans="1:7">
      <c r="A55" s="45" t="str">
        <f>IF(COUNTIF($B$2:B55,B55)=1,"ok","dup")</f>
        <v>ok</v>
      </c>
      <c r="B55" s="45" t="str">
        <f t="shared" si="0"/>
        <v>Alouatta_pigra7</v>
      </c>
      <c r="C55" s="6" t="s">
        <v>252</v>
      </c>
      <c r="D55" s="7">
        <v>7</v>
      </c>
      <c r="E55" s="14" t="s">
        <v>211</v>
      </c>
    </row>
    <row r="56" spans="1:7">
      <c r="A56" s="45" t="str">
        <f>IF(COUNTIF($B$2:B56,B56)=1,"ok","dup")</f>
        <v>ok</v>
      </c>
      <c r="B56" s="45" t="str">
        <f t="shared" si="0"/>
        <v>Alouatta_seniculus7.1</v>
      </c>
      <c r="C56" s="6" t="s">
        <v>41</v>
      </c>
      <c r="D56" s="7">
        <v>7.1</v>
      </c>
      <c r="E56" s="14" t="s">
        <v>216</v>
      </c>
      <c r="F56" s="14" t="s">
        <v>217</v>
      </c>
    </row>
    <row r="57" spans="1:7">
      <c r="A57" s="45" t="str">
        <f>IF(COUNTIF($B$2:B57,B57)=1,"ok","dup")</f>
        <v>ok</v>
      </c>
      <c r="B57" s="45" t="str">
        <f t="shared" si="0"/>
        <v>Alouatta_seniculus9</v>
      </c>
      <c r="C57" s="6" t="s">
        <v>41</v>
      </c>
      <c r="D57" s="7">
        <v>9</v>
      </c>
      <c r="E57" s="14" t="s">
        <v>216</v>
      </c>
      <c r="F57" s="14" t="s">
        <v>217</v>
      </c>
    </row>
    <row r="58" spans="1:7">
      <c r="A58" s="45" t="str">
        <f>IF(COUNTIF($B$2:B58,B58)=1,"ok","dup")</f>
        <v>ok</v>
      </c>
      <c r="B58" s="45" t="str">
        <f t="shared" si="0"/>
        <v>Alouatta_seniculus9.5</v>
      </c>
      <c r="C58" s="6" t="s">
        <v>41</v>
      </c>
      <c r="D58" s="7">
        <v>9.5</v>
      </c>
      <c r="E58" s="14" t="s">
        <v>216</v>
      </c>
      <c r="F58" s="14" t="s">
        <v>217</v>
      </c>
    </row>
    <row r="59" spans="1:7">
      <c r="A59" s="45" t="str">
        <f>IF(COUNTIF($B$2:B59,B59)=1,"ok","dup")</f>
        <v>ok</v>
      </c>
      <c r="B59" s="45" t="str">
        <f t="shared" si="0"/>
        <v>Alouatta_seniculus4.3</v>
      </c>
      <c r="C59" s="6" t="s">
        <v>41</v>
      </c>
      <c r="D59" s="7">
        <v>4.3</v>
      </c>
      <c r="E59" s="14" t="s">
        <v>212</v>
      </c>
    </row>
    <row r="60" spans="1:7">
      <c r="A60" s="45" t="str">
        <f>IF(COUNTIF($B$2:B60,B60)=1,"ok","dup")</f>
        <v>ok</v>
      </c>
      <c r="B60" s="45" t="str">
        <f t="shared" si="0"/>
        <v>Alouatta_seniculus6</v>
      </c>
      <c r="C60" s="6" t="s">
        <v>41</v>
      </c>
      <c r="D60" s="7">
        <v>6</v>
      </c>
      <c r="E60" s="14" t="s">
        <v>212</v>
      </c>
    </row>
    <row r="61" spans="1:7">
      <c r="A61" s="45" t="str">
        <f>IF(COUNTIF($B$2:B61,B61)=1,"ok","dup")</f>
        <v>ok</v>
      </c>
      <c r="B61" s="45" t="str">
        <f t="shared" si="0"/>
        <v>Alouatta_seniculus6.3</v>
      </c>
      <c r="C61" s="6" t="s">
        <v>41</v>
      </c>
      <c r="D61" s="7">
        <v>6.3</v>
      </c>
      <c r="E61" s="14" t="s">
        <v>212</v>
      </c>
    </row>
    <row r="62" spans="1:7">
      <c r="A62" s="45" t="str">
        <f>IF(COUNTIF($B$2:B62,B62)=1,"ok","dup")</f>
        <v>ok</v>
      </c>
      <c r="B62" s="45" t="str">
        <f t="shared" si="0"/>
        <v>Alouatta_seniculus6.95</v>
      </c>
      <c r="C62" s="6" t="s">
        <v>41</v>
      </c>
      <c r="D62" s="7">
        <v>6.9499999999999993</v>
      </c>
      <c r="E62" s="14" t="s">
        <v>212</v>
      </c>
    </row>
    <row r="63" spans="1:7">
      <c r="A63" s="45" t="str">
        <f>IF(COUNTIF($B$2:B63,B63)=1,"ok","dup")</f>
        <v>dup</v>
      </c>
      <c r="B63" s="45" t="str">
        <f t="shared" si="0"/>
        <v>Alouatta_seniculus7.1</v>
      </c>
      <c r="C63" s="6" t="s">
        <v>41</v>
      </c>
      <c r="D63" s="7">
        <v>7.1000000000000005</v>
      </c>
      <c r="E63" s="14" t="s">
        <v>212</v>
      </c>
    </row>
    <row r="64" spans="1:7">
      <c r="A64" s="45" t="str">
        <f>IF(COUNTIF($B$2:B64,B64)=1,"ok","dup")</f>
        <v>ok</v>
      </c>
      <c r="B64" s="45" t="str">
        <f t="shared" si="0"/>
        <v>Alouatta_seniculus7.4</v>
      </c>
      <c r="C64" s="6" t="s">
        <v>41</v>
      </c>
      <c r="D64" s="7">
        <v>7.4</v>
      </c>
      <c r="E64" s="14" t="s">
        <v>212</v>
      </c>
    </row>
    <row r="65" spans="1:7">
      <c r="A65" s="45" t="str">
        <f>IF(COUNTIF($B$2:B65,B65)=1,"ok","dup")</f>
        <v>dup</v>
      </c>
      <c r="B65" s="45" t="str">
        <f t="shared" si="0"/>
        <v>Alouatta_seniculus9</v>
      </c>
      <c r="C65" s="6" t="s">
        <v>41</v>
      </c>
      <c r="D65" s="7">
        <v>9</v>
      </c>
      <c r="E65" s="14" t="s">
        <v>212</v>
      </c>
    </row>
    <row r="66" spans="1:7">
      <c r="A66" s="45" t="str">
        <f>IF(COUNTIF($B$2:B66,B66)=1,"ok","dup")</f>
        <v>dup</v>
      </c>
      <c r="B66" s="45" t="str">
        <f t="shared" ref="B66:B129" si="1">C66&amp;D66</f>
        <v>Alouatta_seniculus9.5</v>
      </c>
      <c r="C66" s="6" t="s">
        <v>41</v>
      </c>
      <c r="D66" s="7">
        <v>9.5</v>
      </c>
      <c r="E66" s="14" t="s">
        <v>212</v>
      </c>
    </row>
    <row r="67" spans="1:7">
      <c r="A67" s="45" t="str">
        <f>IF(COUNTIF($B$2:B67,B67)=1,"ok","dup")</f>
        <v>dup</v>
      </c>
      <c r="B67" s="45" t="str">
        <f t="shared" si="1"/>
        <v>Alouatta_seniculus9</v>
      </c>
      <c r="C67" s="6" t="s">
        <v>41</v>
      </c>
      <c r="D67" s="7">
        <v>9</v>
      </c>
      <c r="E67" s="14" t="s">
        <v>218</v>
      </c>
      <c r="F67" s="14" t="s">
        <v>253</v>
      </c>
    </row>
    <row r="68" spans="1:7">
      <c r="A68" s="45" t="str">
        <f>IF(COUNTIF($B$2:B68,B68)=1,"ok","dup")</f>
        <v>ok</v>
      </c>
      <c r="B68" s="45" t="str">
        <f t="shared" si="1"/>
        <v>Alouatta_seniculus8.5</v>
      </c>
      <c r="C68" s="6" t="s">
        <v>41</v>
      </c>
      <c r="D68" s="7">
        <v>8.5</v>
      </c>
      <c r="E68" s="14" t="s">
        <v>213</v>
      </c>
    </row>
    <row r="69" spans="1:7">
      <c r="A69" s="45" t="str">
        <f>IF(COUNTIF($B$2:B69,B69)=1,"ok","dup")</f>
        <v>ok</v>
      </c>
      <c r="B69" s="45" t="str">
        <f t="shared" si="1"/>
        <v>Alouatta_seniculus4.6</v>
      </c>
      <c r="C69" s="6" t="s">
        <v>41</v>
      </c>
      <c r="D69" s="7">
        <v>4.5999999999999996</v>
      </c>
      <c r="E69" s="14" t="s">
        <v>211</v>
      </c>
    </row>
    <row r="70" spans="1:7">
      <c r="A70" s="45" t="str">
        <f>IF(COUNTIF($B$2:B70,B70)=1,"ok","dup")</f>
        <v>ok</v>
      </c>
      <c r="B70" s="45" t="str">
        <f t="shared" si="1"/>
        <v>Aotus_azarai3</v>
      </c>
      <c r="C70" s="6" t="s">
        <v>254</v>
      </c>
      <c r="D70" s="7">
        <v>3</v>
      </c>
      <c r="E70" s="14" t="s">
        <v>211</v>
      </c>
      <c r="G70" s="6" t="s">
        <v>255</v>
      </c>
    </row>
    <row r="71" spans="1:7">
      <c r="A71" s="45" t="str">
        <f>IF(COUNTIF($B$2:B71,B71)=1,"ok","dup")</f>
        <v>ok</v>
      </c>
      <c r="B71" s="45" t="str">
        <f t="shared" si="1"/>
        <v>Aotus_lemurinus3.5</v>
      </c>
      <c r="C71" s="6" t="s">
        <v>256</v>
      </c>
      <c r="D71" s="7">
        <v>3.5</v>
      </c>
      <c r="E71" s="14" t="s">
        <v>211</v>
      </c>
    </row>
    <row r="72" spans="1:7">
      <c r="A72" s="45" t="str">
        <f>IF(COUNTIF($B$2:B72,B72)=1,"ok","dup")</f>
        <v>ok</v>
      </c>
      <c r="B72" s="45" t="str">
        <f t="shared" si="1"/>
        <v>Aotus_trivirgatus3.1</v>
      </c>
      <c r="C72" s="6" t="s">
        <v>44</v>
      </c>
      <c r="D72" s="7">
        <v>3.1</v>
      </c>
      <c r="E72" s="14" t="s">
        <v>212</v>
      </c>
    </row>
    <row r="73" spans="1:7">
      <c r="A73" s="45" t="str">
        <f>IF(COUNTIF($B$2:B73,B73)=1,"ok","dup")</f>
        <v>ok</v>
      </c>
      <c r="B73" s="45" t="str">
        <f t="shared" si="1"/>
        <v>Aotus_trivirgatus3.5</v>
      </c>
      <c r="C73" s="6" t="s">
        <v>44</v>
      </c>
      <c r="D73" s="7">
        <v>3.5</v>
      </c>
      <c r="E73" s="14" t="s">
        <v>212</v>
      </c>
    </row>
    <row r="74" spans="1:7">
      <c r="A74" s="45" t="str">
        <f>IF(COUNTIF($B$2:B74,B74)=1,"ok","dup")</f>
        <v>ok</v>
      </c>
      <c r="B74" s="45" t="str">
        <f t="shared" si="1"/>
        <v>Aotus_trivirgatus1.5</v>
      </c>
      <c r="C74" s="6" t="s">
        <v>44</v>
      </c>
      <c r="D74" s="7">
        <v>1.5</v>
      </c>
      <c r="E74" s="14" t="s">
        <v>213</v>
      </c>
    </row>
    <row r="75" spans="1:7">
      <c r="A75" s="45" t="str">
        <f>IF(COUNTIF($B$2:B75,B75)=1,"ok","dup")</f>
        <v>dup</v>
      </c>
      <c r="B75" s="45" t="str">
        <f t="shared" si="1"/>
        <v>Aotus_trivirgatus3.5</v>
      </c>
      <c r="C75" s="6" t="s">
        <v>44</v>
      </c>
      <c r="D75" s="7">
        <v>3.5</v>
      </c>
      <c r="E75" s="14" t="s">
        <v>211</v>
      </c>
    </row>
    <row r="76" spans="1:7">
      <c r="A76" s="45" t="str">
        <f>IF(COUNTIF($B$2:B76,B76)=1,"ok","dup")</f>
        <v>dup</v>
      </c>
      <c r="B76" s="45" t="str">
        <f t="shared" si="1"/>
        <v>Aotus_trivirgatus1.5</v>
      </c>
      <c r="C76" s="6" t="s">
        <v>44</v>
      </c>
      <c r="D76" s="7">
        <v>1.5</v>
      </c>
      <c r="E76" s="14" t="s">
        <v>220</v>
      </c>
      <c r="F76" s="14" t="s">
        <v>257</v>
      </c>
      <c r="G76" s="6" t="s">
        <v>235</v>
      </c>
    </row>
    <row r="77" spans="1:7">
      <c r="A77" s="45" t="str">
        <f>IF(COUNTIF($B$2:B77,B77)=1,"ok","dup")</f>
        <v>ok</v>
      </c>
      <c r="B77" s="45" t="str">
        <f t="shared" si="1"/>
        <v>Aotus_trivirgatus2</v>
      </c>
      <c r="C77" s="6" t="s">
        <v>44</v>
      </c>
      <c r="D77" s="7">
        <v>2</v>
      </c>
      <c r="E77" s="14" t="s">
        <v>220</v>
      </c>
      <c r="F77" s="14" t="s">
        <v>258</v>
      </c>
    </row>
    <row r="78" spans="1:7">
      <c r="A78" s="45" t="str">
        <f>IF(COUNTIF($B$2:B78,B78)=1,"ok","dup")</f>
        <v>ok</v>
      </c>
      <c r="B78" s="45" t="str">
        <f t="shared" si="1"/>
        <v>Aotus_trivirgatus3</v>
      </c>
      <c r="C78" s="6" t="s">
        <v>44</v>
      </c>
      <c r="D78" s="7">
        <v>3</v>
      </c>
      <c r="E78" s="14" t="s">
        <v>220</v>
      </c>
      <c r="F78" s="14" t="s">
        <v>259</v>
      </c>
    </row>
    <row r="79" spans="1:7">
      <c r="A79" s="45" t="str">
        <f>IF(COUNTIF($B$2:B79,B79)=1,"ok","dup")</f>
        <v>dup</v>
      </c>
      <c r="B79" s="45" t="str">
        <f t="shared" si="1"/>
        <v>Aotus_trivirgatus3</v>
      </c>
      <c r="C79" s="6" t="s">
        <v>44</v>
      </c>
      <c r="D79" s="7">
        <v>3</v>
      </c>
      <c r="E79" s="14" t="s">
        <v>220</v>
      </c>
      <c r="F79" s="14" t="s">
        <v>259</v>
      </c>
    </row>
    <row r="80" spans="1:7">
      <c r="A80" s="45" t="str">
        <f>IF(COUNTIF($B$2:B80,B80)=1,"ok","dup")</f>
        <v>dup</v>
      </c>
      <c r="B80" s="45" t="str">
        <f t="shared" si="1"/>
        <v>Aotus_trivirgatus3</v>
      </c>
      <c r="C80" s="6" t="s">
        <v>44</v>
      </c>
      <c r="D80" s="7">
        <v>3</v>
      </c>
      <c r="E80" s="14" t="s">
        <v>220</v>
      </c>
      <c r="F80" s="14" t="s">
        <v>259</v>
      </c>
    </row>
    <row r="81" spans="1:6">
      <c r="A81" s="45" t="str">
        <f>IF(COUNTIF($B$2:B81,B81)=1,"ok","dup")</f>
        <v>ok</v>
      </c>
      <c r="B81" s="45" t="str">
        <f t="shared" si="1"/>
        <v>Aotus_trivirgatus4</v>
      </c>
      <c r="C81" s="6" t="s">
        <v>44</v>
      </c>
      <c r="D81" s="7">
        <v>4</v>
      </c>
      <c r="E81" s="14" t="s">
        <v>220</v>
      </c>
      <c r="F81" s="14" t="s">
        <v>259</v>
      </c>
    </row>
    <row r="82" spans="1:6">
      <c r="A82" s="45" t="str">
        <f>IF(COUNTIF($B$2:B82,B82)=1,"ok","dup")</f>
        <v>dup</v>
      </c>
      <c r="B82" s="45" t="str">
        <f t="shared" si="1"/>
        <v>Aotus_trivirgatus4</v>
      </c>
      <c r="C82" s="6" t="s">
        <v>44</v>
      </c>
      <c r="D82" s="7">
        <v>4</v>
      </c>
      <c r="E82" s="14" t="s">
        <v>220</v>
      </c>
      <c r="F82" s="14" t="s">
        <v>259</v>
      </c>
    </row>
    <row r="83" spans="1:6">
      <c r="A83" s="45" t="str">
        <f>IF(COUNTIF($B$2:B83,B83)=1,"ok","dup")</f>
        <v>dup</v>
      </c>
      <c r="B83" s="45" t="str">
        <f t="shared" si="1"/>
        <v>Aotus_trivirgatus4</v>
      </c>
      <c r="C83" s="6" t="s">
        <v>44</v>
      </c>
      <c r="D83" s="7">
        <v>4</v>
      </c>
      <c r="E83" s="14" t="s">
        <v>220</v>
      </c>
      <c r="F83" s="14" t="s">
        <v>260</v>
      </c>
    </row>
    <row r="84" spans="1:6">
      <c r="A84" s="45" t="str">
        <f>IF(COUNTIF($B$2:B84,B84)=1,"ok","dup")</f>
        <v>dup</v>
      </c>
      <c r="B84" s="45" t="str">
        <f t="shared" si="1"/>
        <v>Aotus_trivirgatus4</v>
      </c>
      <c r="C84" s="6" t="s">
        <v>44</v>
      </c>
      <c r="D84" s="7">
        <v>4</v>
      </c>
      <c r="E84" s="14" t="s">
        <v>220</v>
      </c>
      <c r="F84" s="14" t="s">
        <v>259</v>
      </c>
    </row>
    <row r="85" spans="1:6">
      <c r="A85" s="45" t="str">
        <f>IF(COUNTIF($B$2:B85,B85)=1,"ok","dup")</f>
        <v>dup</v>
      </c>
      <c r="B85" s="45" t="str">
        <f t="shared" si="1"/>
        <v>Aotus_trivirgatus4</v>
      </c>
      <c r="C85" s="6" t="s">
        <v>44</v>
      </c>
      <c r="D85" s="7">
        <v>4</v>
      </c>
      <c r="E85" s="14" t="s">
        <v>220</v>
      </c>
      <c r="F85" s="14" t="s">
        <v>258</v>
      </c>
    </row>
    <row r="86" spans="1:6">
      <c r="A86" s="45" t="str">
        <f>IF(COUNTIF($B$2:B86,B86)=1,"ok","dup")</f>
        <v>dup</v>
      </c>
      <c r="B86" s="45" t="str">
        <f t="shared" si="1"/>
        <v>Aotus_trivirgatus4</v>
      </c>
      <c r="C86" s="6" t="s">
        <v>44</v>
      </c>
      <c r="D86" s="7">
        <v>4</v>
      </c>
      <c r="E86" s="14" t="s">
        <v>220</v>
      </c>
      <c r="F86" s="14" t="s">
        <v>258</v>
      </c>
    </row>
    <row r="87" spans="1:6">
      <c r="A87" s="45" t="str">
        <f>IF(COUNTIF($B$2:B87,B87)=1,"ok","dup")</f>
        <v>ok</v>
      </c>
      <c r="B87" s="45" t="str">
        <f t="shared" si="1"/>
        <v>Aotus_trivirgatus5</v>
      </c>
      <c r="C87" s="6" t="s">
        <v>44</v>
      </c>
      <c r="D87" s="7">
        <v>5</v>
      </c>
      <c r="E87" s="14" t="s">
        <v>220</v>
      </c>
      <c r="F87" s="14" t="s">
        <v>259</v>
      </c>
    </row>
    <row r="88" spans="1:6">
      <c r="A88" s="45" t="str">
        <f>IF(COUNTIF($B$2:B88,B88)=1,"ok","dup")</f>
        <v>dup</v>
      </c>
      <c r="B88" s="45" t="str">
        <f t="shared" si="1"/>
        <v>Aotus_trivirgatus5</v>
      </c>
      <c r="C88" s="6" t="s">
        <v>44</v>
      </c>
      <c r="D88" s="7">
        <v>5</v>
      </c>
      <c r="E88" s="14" t="s">
        <v>220</v>
      </c>
      <c r="F88" s="14" t="s">
        <v>259</v>
      </c>
    </row>
    <row r="89" spans="1:6">
      <c r="A89" s="45" t="str">
        <f>IF(COUNTIF($B$2:B89,B89)=1,"ok","dup")</f>
        <v>dup</v>
      </c>
      <c r="B89" s="45" t="str">
        <f t="shared" si="1"/>
        <v>Aotus_trivirgatus5</v>
      </c>
      <c r="C89" s="6" t="s">
        <v>44</v>
      </c>
      <c r="D89" s="7">
        <v>5</v>
      </c>
      <c r="E89" s="14" t="s">
        <v>220</v>
      </c>
      <c r="F89" s="14" t="s">
        <v>259</v>
      </c>
    </row>
    <row r="90" spans="1:6">
      <c r="A90" s="45" t="str">
        <f>IF(COUNTIF($B$2:B90,B90)=1,"ok","dup")</f>
        <v>dup</v>
      </c>
      <c r="B90" s="45" t="str">
        <f t="shared" si="1"/>
        <v>Aotus_trivirgatus5</v>
      </c>
      <c r="C90" s="6" t="s">
        <v>44</v>
      </c>
      <c r="D90" s="7">
        <v>5</v>
      </c>
      <c r="E90" s="14" t="s">
        <v>220</v>
      </c>
      <c r="F90" s="14" t="s">
        <v>259</v>
      </c>
    </row>
    <row r="91" spans="1:6">
      <c r="A91" s="45" t="str">
        <f>IF(COUNTIF($B$2:B91,B91)=1,"ok","dup")</f>
        <v>ok</v>
      </c>
      <c r="B91" s="45" t="str">
        <f t="shared" si="1"/>
        <v>Aotus_trivirgatus6</v>
      </c>
      <c r="C91" s="6" t="s">
        <v>44</v>
      </c>
      <c r="D91" s="7">
        <v>6</v>
      </c>
      <c r="E91" s="14" t="s">
        <v>220</v>
      </c>
      <c r="F91" s="14" t="s">
        <v>261</v>
      </c>
    </row>
    <row r="92" spans="1:6">
      <c r="A92" s="45" t="str">
        <f>IF(COUNTIF($B$2:B92,B92)=1,"ok","dup")</f>
        <v>ok</v>
      </c>
      <c r="B92" s="45" t="str">
        <f t="shared" si="1"/>
        <v>Arctocebus_calabarensis1</v>
      </c>
      <c r="C92" s="6" t="s">
        <v>262</v>
      </c>
      <c r="D92" s="7">
        <v>1</v>
      </c>
      <c r="E92" s="14" t="s">
        <v>213</v>
      </c>
    </row>
    <row r="93" spans="1:6">
      <c r="A93" s="45" t="str">
        <f>IF(COUNTIF($B$2:B93,B93)=1,"ok","dup")</f>
        <v>ok</v>
      </c>
      <c r="B93" s="45" t="str">
        <f t="shared" si="1"/>
        <v>Arctocebus_calabarensis1.5</v>
      </c>
      <c r="C93" s="6" t="s">
        <v>262</v>
      </c>
      <c r="D93" s="7">
        <v>1.5</v>
      </c>
      <c r="E93" s="14" t="s">
        <v>211</v>
      </c>
    </row>
    <row r="94" spans="1:6">
      <c r="A94" s="45" t="str">
        <f>IF(COUNTIF($B$2:B94,B94)=1,"ok","dup")</f>
        <v>ok</v>
      </c>
      <c r="B94" s="45" t="str">
        <f t="shared" si="1"/>
        <v>Ateles_belzebuth18</v>
      </c>
      <c r="C94" s="6" t="s">
        <v>263</v>
      </c>
      <c r="D94" s="7">
        <v>18</v>
      </c>
      <c r="E94" s="14" t="s">
        <v>216</v>
      </c>
      <c r="F94" s="14" t="s">
        <v>264</v>
      </c>
    </row>
    <row r="95" spans="1:6">
      <c r="A95" s="45" t="str">
        <f>IF(COUNTIF($B$2:B95,B95)=1,"ok","dup")</f>
        <v>dup</v>
      </c>
      <c r="B95" s="45" t="str">
        <f t="shared" si="1"/>
        <v>Ateles_belzebuth18</v>
      </c>
      <c r="C95" s="6" t="s">
        <v>263</v>
      </c>
      <c r="D95" s="7">
        <v>18</v>
      </c>
      <c r="E95" s="14" t="s">
        <v>212</v>
      </c>
    </row>
    <row r="96" spans="1:6">
      <c r="A96" s="45" t="str">
        <f>IF(COUNTIF($B$2:B96,B96)=1,"ok","dup")</f>
        <v>ok</v>
      </c>
      <c r="B96" s="45" t="str">
        <f t="shared" si="1"/>
        <v>Ateles_belzebuth19.5</v>
      </c>
      <c r="C96" s="6" t="s">
        <v>263</v>
      </c>
      <c r="D96" s="7">
        <v>19.5</v>
      </c>
      <c r="E96" s="14" t="s">
        <v>212</v>
      </c>
    </row>
    <row r="97" spans="1:7">
      <c r="A97" s="45" t="str">
        <f>IF(COUNTIF($B$2:B97,B97)=1,"ok","dup")</f>
        <v>ok</v>
      </c>
      <c r="B97" s="45" t="str">
        <f t="shared" si="1"/>
        <v>Ateles_belzebuth12</v>
      </c>
      <c r="C97" s="6" t="s">
        <v>263</v>
      </c>
      <c r="D97" s="7">
        <v>12</v>
      </c>
      <c r="E97" s="14" t="s">
        <v>218</v>
      </c>
      <c r="F97" s="14" t="s">
        <v>265</v>
      </c>
    </row>
    <row r="98" spans="1:7">
      <c r="A98" s="45" t="str">
        <f>IF(COUNTIF($B$2:B98,B98)=1,"ok","dup")</f>
        <v>ok</v>
      </c>
      <c r="B98" s="45" t="str">
        <f t="shared" si="1"/>
        <v>Ateles_belzebuth20</v>
      </c>
      <c r="C98" s="6" t="s">
        <v>263</v>
      </c>
      <c r="D98" s="7">
        <v>20</v>
      </c>
      <c r="E98" s="14" t="s">
        <v>213</v>
      </c>
    </row>
    <row r="99" spans="1:7">
      <c r="A99" s="45" t="str">
        <f>IF(COUNTIF($B$2:B99,B99)=1,"ok","dup")</f>
        <v>ok</v>
      </c>
      <c r="B99" s="45" t="str">
        <f t="shared" si="1"/>
        <v>Ateles_belzebuth12.5</v>
      </c>
      <c r="C99" s="6" t="s">
        <v>263</v>
      </c>
      <c r="D99" s="7">
        <v>12.5</v>
      </c>
      <c r="E99" s="14" t="s">
        <v>211</v>
      </c>
    </row>
    <row r="100" spans="1:7">
      <c r="A100" s="45" t="str">
        <f>IF(COUNTIF($B$2:B100,B100)=1,"ok","dup")</f>
        <v>ok</v>
      </c>
      <c r="B100" s="45" t="str">
        <f t="shared" si="1"/>
        <v>Ateles_fusciceps5</v>
      </c>
      <c r="C100" s="6" t="s">
        <v>266</v>
      </c>
      <c r="D100" s="7">
        <v>5</v>
      </c>
      <c r="E100" s="14" t="s">
        <v>214</v>
      </c>
      <c r="F100" s="14" t="s">
        <v>267</v>
      </c>
    </row>
    <row r="101" spans="1:7">
      <c r="A101" s="45" t="str">
        <f>IF(COUNTIF($B$2:B101,B101)=1,"ok","dup")</f>
        <v>ok</v>
      </c>
      <c r="B101" s="45" t="str">
        <f t="shared" si="1"/>
        <v>Ateles_geoffroyi15</v>
      </c>
      <c r="C101" s="6" t="s">
        <v>45</v>
      </c>
      <c r="D101" s="7">
        <v>15</v>
      </c>
      <c r="E101" s="14" t="s">
        <v>212</v>
      </c>
    </row>
    <row r="102" spans="1:7">
      <c r="A102" s="45" t="str">
        <f>IF(COUNTIF($B$2:B102,B102)=1,"ok","dup")</f>
        <v>ok</v>
      </c>
      <c r="B102" s="45" t="str">
        <f t="shared" si="1"/>
        <v>Ateles_geoffroyi20</v>
      </c>
      <c r="C102" s="6" t="s">
        <v>45</v>
      </c>
      <c r="D102" s="7">
        <v>20</v>
      </c>
      <c r="E102" s="14" t="s">
        <v>218</v>
      </c>
      <c r="F102" s="14" t="s">
        <v>219</v>
      </c>
    </row>
    <row r="103" spans="1:7">
      <c r="A103" s="45" t="str">
        <f>IF(COUNTIF($B$2:B103,B103)=1,"ok","dup")</f>
        <v>dup</v>
      </c>
      <c r="B103" s="45" t="str">
        <f t="shared" si="1"/>
        <v>Ateles_geoffroyi20</v>
      </c>
      <c r="C103" s="6" t="s">
        <v>45</v>
      </c>
      <c r="D103" s="7">
        <v>20</v>
      </c>
      <c r="E103" s="14" t="s">
        <v>213</v>
      </c>
    </row>
    <row r="104" spans="1:7">
      <c r="A104" s="45" t="str">
        <f>IF(COUNTIF($B$2:B104,B104)=1,"ok","dup")</f>
        <v>ok</v>
      </c>
      <c r="B104" s="45" t="str">
        <f t="shared" si="1"/>
        <v>Ateles_geoffroyi19.75</v>
      </c>
      <c r="C104" s="6" t="s">
        <v>45</v>
      </c>
      <c r="D104" s="7">
        <v>19.75</v>
      </c>
      <c r="E104" s="14" t="s">
        <v>211</v>
      </c>
    </row>
    <row r="105" spans="1:7">
      <c r="A105" s="45" t="str">
        <f>IF(COUNTIF($B$2:B105,B105)=1,"ok","dup")</f>
        <v>dup</v>
      </c>
      <c r="B105" s="45" t="str">
        <f t="shared" si="1"/>
        <v>Ateles_geoffroyi20</v>
      </c>
      <c r="C105" s="6" t="s">
        <v>45</v>
      </c>
      <c r="D105" s="7">
        <v>20</v>
      </c>
      <c r="E105" s="14" t="s">
        <v>220</v>
      </c>
      <c r="F105" s="14" t="s">
        <v>268</v>
      </c>
      <c r="G105" s="6" t="s">
        <v>235</v>
      </c>
    </row>
    <row r="106" spans="1:7">
      <c r="A106" s="45" t="str">
        <f>IF(COUNTIF($B$2:B106,B106)=1,"ok","dup")</f>
        <v>ok</v>
      </c>
      <c r="B106" s="45" t="str">
        <f t="shared" si="1"/>
        <v>Ateles_geoffroyi22</v>
      </c>
      <c r="C106" s="6" t="s">
        <v>45</v>
      </c>
      <c r="D106" s="7">
        <v>22</v>
      </c>
      <c r="E106" s="14" t="s">
        <v>220</v>
      </c>
      <c r="F106" s="14" t="s">
        <v>269</v>
      </c>
    </row>
    <row r="107" spans="1:7">
      <c r="A107" s="45" t="str">
        <f>IF(COUNTIF($B$2:B107,B107)=1,"ok","dup")</f>
        <v>ok</v>
      </c>
      <c r="B107" s="45" t="str">
        <f t="shared" si="1"/>
        <v>Ateles_geoffroyi26</v>
      </c>
      <c r="C107" s="6" t="s">
        <v>45</v>
      </c>
      <c r="D107" s="7">
        <v>26</v>
      </c>
      <c r="E107" s="14" t="s">
        <v>220</v>
      </c>
      <c r="F107" s="14" t="s">
        <v>270</v>
      </c>
    </row>
    <row r="108" spans="1:7">
      <c r="A108" s="45" t="str">
        <f>IF(COUNTIF($B$2:B108,B108)=1,"ok","dup")</f>
        <v>ok</v>
      </c>
      <c r="B108" s="45" t="str">
        <f t="shared" si="1"/>
        <v>Ateles_geoffroyi35</v>
      </c>
      <c r="C108" s="6" t="s">
        <v>45</v>
      </c>
      <c r="D108" s="7">
        <v>35</v>
      </c>
      <c r="E108" s="14" t="s">
        <v>220</v>
      </c>
      <c r="F108" s="14" t="s">
        <v>271</v>
      </c>
    </row>
    <row r="109" spans="1:7">
      <c r="A109" s="45" t="str">
        <f>IF(COUNTIF($B$2:B109,B109)=1,"ok","dup")</f>
        <v>dup</v>
      </c>
      <c r="B109" s="45" t="str">
        <f t="shared" si="1"/>
        <v>Ateles_geoffroyi35</v>
      </c>
      <c r="C109" s="6" t="s">
        <v>45</v>
      </c>
      <c r="D109" s="7">
        <v>35</v>
      </c>
      <c r="E109" s="14" t="s">
        <v>220</v>
      </c>
      <c r="F109" s="14" t="s">
        <v>271</v>
      </c>
    </row>
    <row r="110" spans="1:7">
      <c r="A110" s="45" t="str">
        <f>IF(COUNTIF($B$2:B110,B110)=1,"ok","dup")</f>
        <v>ok</v>
      </c>
      <c r="B110" s="45" t="str">
        <f t="shared" si="1"/>
        <v>Ateles_geoffroyi36</v>
      </c>
      <c r="C110" s="6" t="s">
        <v>45</v>
      </c>
      <c r="D110" s="7">
        <v>36</v>
      </c>
      <c r="E110" s="14" t="s">
        <v>220</v>
      </c>
      <c r="F110" s="14" t="s">
        <v>271</v>
      </c>
    </row>
    <row r="111" spans="1:7">
      <c r="A111" s="45" t="str">
        <f>IF(COUNTIF($B$2:B111,B111)=1,"ok","dup")</f>
        <v>ok</v>
      </c>
      <c r="B111" s="45" t="str">
        <f t="shared" si="1"/>
        <v>Ateles_geoffroyi39</v>
      </c>
      <c r="C111" s="6" t="s">
        <v>45</v>
      </c>
      <c r="D111" s="7">
        <v>39</v>
      </c>
      <c r="E111" s="14" t="s">
        <v>220</v>
      </c>
      <c r="F111" s="14" t="s">
        <v>271</v>
      </c>
    </row>
    <row r="112" spans="1:7">
      <c r="A112" s="45" t="str">
        <f>IF(COUNTIF($B$2:B112,B112)=1,"ok","dup")</f>
        <v>ok</v>
      </c>
      <c r="B112" s="45" t="str">
        <f t="shared" si="1"/>
        <v>Ateles_geoffroyi4.5</v>
      </c>
      <c r="C112" s="6" t="s">
        <v>45</v>
      </c>
      <c r="D112" s="7">
        <v>4.5</v>
      </c>
      <c r="E112" s="14" t="s">
        <v>220</v>
      </c>
      <c r="F112" s="14" t="s">
        <v>272</v>
      </c>
      <c r="G112" s="6" t="s">
        <v>239</v>
      </c>
    </row>
    <row r="113" spans="1:6">
      <c r="A113" s="45" t="str">
        <f>IF(COUNTIF($B$2:B113,B113)=1,"ok","dup")</f>
        <v>ok</v>
      </c>
      <c r="B113" s="45" t="str">
        <f t="shared" si="1"/>
        <v>Ateles_geoffroyi40</v>
      </c>
      <c r="C113" s="6" t="s">
        <v>45</v>
      </c>
      <c r="D113" s="7">
        <v>40</v>
      </c>
      <c r="E113" s="14" t="s">
        <v>220</v>
      </c>
      <c r="F113" s="14" t="s">
        <v>271</v>
      </c>
    </row>
    <row r="114" spans="1:6">
      <c r="A114" s="45" t="str">
        <f>IF(COUNTIF($B$2:B114,B114)=1,"ok","dup")</f>
        <v>ok</v>
      </c>
      <c r="B114" s="45" t="str">
        <f t="shared" si="1"/>
        <v>Ateles_geoffroyi41</v>
      </c>
      <c r="C114" s="6" t="s">
        <v>45</v>
      </c>
      <c r="D114" s="7">
        <v>41</v>
      </c>
      <c r="E114" s="14" t="s">
        <v>220</v>
      </c>
      <c r="F114" s="14" t="s">
        <v>271</v>
      </c>
    </row>
    <row r="115" spans="1:6">
      <c r="A115" s="45" t="str">
        <f>IF(COUNTIF($B$2:B115,B115)=1,"ok","dup")</f>
        <v>ok</v>
      </c>
      <c r="B115" s="45" t="str">
        <f t="shared" si="1"/>
        <v>Ateles_geoffroyi42</v>
      </c>
      <c r="C115" s="6" t="s">
        <v>45</v>
      </c>
      <c r="D115" s="7">
        <v>42</v>
      </c>
      <c r="E115" s="14" t="s">
        <v>220</v>
      </c>
      <c r="F115" s="14" t="s">
        <v>273</v>
      </c>
    </row>
    <row r="116" spans="1:6">
      <c r="A116" s="45" t="str">
        <f>IF(COUNTIF($B$2:B116,B116)=1,"ok","dup")</f>
        <v>ok</v>
      </c>
      <c r="B116" s="45" t="str">
        <f t="shared" si="1"/>
        <v>Ateles_geoffroyi44</v>
      </c>
      <c r="C116" s="6" t="s">
        <v>45</v>
      </c>
      <c r="D116" s="7">
        <v>44</v>
      </c>
      <c r="E116" s="14" t="s">
        <v>220</v>
      </c>
      <c r="F116" s="14" t="s">
        <v>271</v>
      </c>
    </row>
    <row r="117" spans="1:6">
      <c r="A117" s="45" t="str">
        <f>IF(COUNTIF($B$2:B117,B117)=1,"ok","dup")</f>
        <v>ok</v>
      </c>
      <c r="B117" s="45" t="str">
        <f t="shared" si="1"/>
        <v>Ateles_geoffroyi8</v>
      </c>
      <c r="C117" s="6" t="s">
        <v>45</v>
      </c>
      <c r="D117" s="7">
        <v>8</v>
      </c>
      <c r="E117" s="14" t="s">
        <v>214</v>
      </c>
      <c r="F117" s="14" t="s">
        <v>274</v>
      </c>
    </row>
    <row r="118" spans="1:6">
      <c r="A118" s="45" t="str">
        <f>IF(COUNTIF($B$2:B118,B118)=1,"ok","dup")</f>
        <v>ok</v>
      </c>
      <c r="B118" s="45" t="str">
        <f t="shared" si="1"/>
        <v>Ateles_paniscus18</v>
      </c>
      <c r="C118" s="6" t="s">
        <v>46</v>
      </c>
      <c r="D118" s="7">
        <v>18</v>
      </c>
      <c r="E118" s="14" t="s">
        <v>216</v>
      </c>
      <c r="F118" s="14" t="s">
        <v>264</v>
      </c>
    </row>
    <row r="119" spans="1:6">
      <c r="A119" s="45" t="str">
        <f>IF(COUNTIF($B$2:B119,B119)=1,"ok","dup")</f>
        <v>dup</v>
      </c>
      <c r="B119" s="45" t="str">
        <f t="shared" si="1"/>
        <v>Ateles_paniscus18</v>
      </c>
      <c r="C119" s="6" t="s">
        <v>46</v>
      </c>
      <c r="D119" s="7">
        <v>18</v>
      </c>
      <c r="E119" s="14" t="s">
        <v>212</v>
      </c>
    </row>
    <row r="120" spans="1:6">
      <c r="A120" s="45" t="str">
        <f>IF(COUNTIF($B$2:B120,B120)=1,"ok","dup")</f>
        <v>ok</v>
      </c>
      <c r="B120" s="45" t="str">
        <f t="shared" si="1"/>
        <v>Ateles_paniscus38.5</v>
      </c>
      <c r="C120" s="6" t="s">
        <v>46</v>
      </c>
      <c r="D120" s="7">
        <v>38.5</v>
      </c>
      <c r="E120" s="14" t="s">
        <v>218</v>
      </c>
      <c r="F120" s="14" t="s">
        <v>275</v>
      </c>
    </row>
    <row r="121" spans="1:6">
      <c r="A121" s="45" t="str">
        <f>IF(COUNTIF($B$2:B121,B121)=1,"ok","dup")</f>
        <v>ok</v>
      </c>
      <c r="B121" s="45" t="str">
        <f t="shared" si="1"/>
        <v>Ateles_paniscus20</v>
      </c>
      <c r="C121" s="6" t="s">
        <v>46</v>
      </c>
      <c r="D121" s="7">
        <v>20</v>
      </c>
      <c r="E121" s="14" t="s">
        <v>213</v>
      </c>
    </row>
    <row r="122" spans="1:6">
      <c r="A122" s="45" t="str">
        <f>IF(COUNTIF($B$2:B122,B122)=1,"ok","dup")</f>
        <v>dup</v>
      </c>
      <c r="B122" s="45" t="str">
        <f t="shared" si="1"/>
        <v>Ateles_paniscus18</v>
      </c>
      <c r="C122" s="6" t="s">
        <v>46</v>
      </c>
      <c r="D122" s="7">
        <v>18</v>
      </c>
      <c r="E122" s="14" t="s">
        <v>211</v>
      </c>
    </row>
    <row r="123" spans="1:6">
      <c r="A123" s="45" t="str">
        <f>IF(COUNTIF($B$2:B123,B123)=1,"ok","dup")</f>
        <v>ok</v>
      </c>
      <c r="B123" s="45" t="str">
        <f t="shared" si="1"/>
        <v>Avahi_laniger2.5</v>
      </c>
      <c r="C123" s="6" t="s">
        <v>47</v>
      </c>
      <c r="D123" s="7">
        <v>2.5</v>
      </c>
      <c r="E123" s="14" t="s">
        <v>276</v>
      </c>
      <c r="F123" s="14" t="s">
        <v>277</v>
      </c>
    </row>
    <row r="124" spans="1:6">
      <c r="A124" s="45" t="str">
        <f>IF(COUNTIF($B$2:B124,B124)=1,"ok","dup")</f>
        <v>ok</v>
      </c>
      <c r="B124" s="45" t="str">
        <f t="shared" si="1"/>
        <v>Avahi_laniger2</v>
      </c>
      <c r="C124" s="6" t="s">
        <v>47</v>
      </c>
      <c r="D124" s="7">
        <v>2</v>
      </c>
      <c r="E124" s="14" t="s">
        <v>218</v>
      </c>
      <c r="F124" s="14" t="s">
        <v>278</v>
      </c>
    </row>
    <row r="125" spans="1:6">
      <c r="A125" s="45" t="str">
        <f>IF(COUNTIF($B$2:B125,B125)=1,"ok","dup")</f>
        <v>ok</v>
      </c>
      <c r="B125" s="45" t="str">
        <f t="shared" si="1"/>
        <v>Avahi_laniger3.5</v>
      </c>
      <c r="C125" s="6" t="s">
        <v>47</v>
      </c>
      <c r="D125" s="7">
        <v>3.5</v>
      </c>
      <c r="E125" s="14" t="s">
        <v>211</v>
      </c>
    </row>
    <row r="126" spans="1:6">
      <c r="A126" s="45" t="str">
        <f>IF(COUNTIF($B$2:B126,B126)=1,"ok","dup")</f>
        <v>ok</v>
      </c>
      <c r="B126" s="45" t="str">
        <f t="shared" si="1"/>
        <v>Brachyteles_arachnoides24.5</v>
      </c>
      <c r="C126" s="6" t="s">
        <v>279</v>
      </c>
      <c r="D126" s="7">
        <v>24.5</v>
      </c>
      <c r="E126" s="14" t="s">
        <v>216</v>
      </c>
      <c r="F126" s="14" t="s">
        <v>280</v>
      </c>
    </row>
    <row r="127" spans="1:6">
      <c r="A127" s="45" t="str">
        <f>IF(COUNTIF($B$2:B127,B127)=1,"ok","dup")</f>
        <v>ok</v>
      </c>
      <c r="B127" s="45" t="str">
        <f t="shared" si="1"/>
        <v>Brachyteles_arachnoides45</v>
      </c>
      <c r="C127" s="6" t="s">
        <v>279</v>
      </c>
      <c r="D127" s="7">
        <v>45</v>
      </c>
      <c r="E127" s="14" t="s">
        <v>216</v>
      </c>
      <c r="F127" s="14" t="s">
        <v>281</v>
      </c>
    </row>
    <row r="128" spans="1:6">
      <c r="A128" s="45" t="str">
        <f>IF(COUNTIF($B$2:B128,B128)=1,"ok","dup")</f>
        <v>ok</v>
      </c>
      <c r="B128" s="45" t="str">
        <f t="shared" si="1"/>
        <v>Brachyteles_arachnoides20</v>
      </c>
      <c r="C128" s="6" t="s">
        <v>279</v>
      </c>
      <c r="D128" s="7">
        <v>20</v>
      </c>
      <c r="E128" s="14" t="s">
        <v>212</v>
      </c>
    </row>
    <row r="129" spans="1:6">
      <c r="A129" s="45" t="str">
        <f>IF(COUNTIF($B$2:B129,B129)=1,"ok","dup")</f>
        <v>ok</v>
      </c>
      <c r="B129" s="45" t="str">
        <f t="shared" si="1"/>
        <v>Brachyteles_arachnoides22</v>
      </c>
      <c r="C129" s="6" t="s">
        <v>279</v>
      </c>
      <c r="D129" s="7">
        <v>22</v>
      </c>
      <c r="E129" s="14" t="s">
        <v>212</v>
      </c>
    </row>
    <row r="130" spans="1:6">
      <c r="A130" s="45" t="str">
        <f>IF(COUNTIF($B$2:B130,B130)=1,"ok","dup")</f>
        <v>ok</v>
      </c>
      <c r="B130" s="45" t="str">
        <f t="shared" ref="B130:B193" si="2">C130&amp;D130</f>
        <v>Brachyteles_arachnoides25</v>
      </c>
      <c r="C130" s="6" t="s">
        <v>279</v>
      </c>
      <c r="D130" s="7">
        <v>25</v>
      </c>
      <c r="E130" s="14" t="s">
        <v>212</v>
      </c>
    </row>
    <row r="131" spans="1:6">
      <c r="A131" s="45" t="str">
        <f>IF(COUNTIF($B$2:B131,B131)=1,"ok","dup")</f>
        <v>ok</v>
      </c>
      <c r="B131" s="45" t="str">
        <f t="shared" si="2"/>
        <v>Brachyteles_arachnoides26</v>
      </c>
      <c r="C131" s="6" t="s">
        <v>279</v>
      </c>
      <c r="D131" s="7">
        <v>26</v>
      </c>
      <c r="E131" s="14" t="s">
        <v>218</v>
      </c>
      <c r="F131" s="14" t="s">
        <v>280</v>
      </c>
    </row>
    <row r="132" spans="1:6">
      <c r="A132" s="45" t="str">
        <f>IF(COUNTIF($B$2:B132,B132)=1,"ok","dup")</f>
        <v>dup</v>
      </c>
      <c r="B132" s="45" t="str">
        <f t="shared" si="2"/>
        <v>Brachyteles_arachnoides26</v>
      </c>
      <c r="C132" s="6" t="s">
        <v>279</v>
      </c>
      <c r="D132" s="7">
        <v>26</v>
      </c>
      <c r="E132" s="14" t="s">
        <v>211</v>
      </c>
    </row>
    <row r="133" spans="1:6">
      <c r="A133" s="45" t="str">
        <f>IF(COUNTIF($B$2:B133,B133)=1,"ok","dup")</f>
        <v>ok</v>
      </c>
      <c r="B133" s="45" t="str">
        <f t="shared" si="2"/>
        <v>Bunopithecus_hoolock3.2</v>
      </c>
      <c r="C133" s="6" t="s">
        <v>282</v>
      </c>
      <c r="D133" s="7">
        <v>3.2</v>
      </c>
      <c r="E133" s="14" t="s">
        <v>212</v>
      </c>
    </row>
    <row r="134" spans="1:6">
      <c r="A134" s="45" t="str">
        <f>IF(COUNTIF($B$2:B134,B134)=1,"ok","dup")</f>
        <v>ok</v>
      </c>
      <c r="B134" s="45" t="str">
        <f t="shared" si="2"/>
        <v>Bunopithecus_hoolock3.5</v>
      </c>
      <c r="C134" s="6" t="s">
        <v>282</v>
      </c>
      <c r="D134" s="7">
        <v>3.5</v>
      </c>
      <c r="E134" s="14" t="s">
        <v>213</v>
      </c>
    </row>
    <row r="135" spans="1:6">
      <c r="A135" s="45" t="str">
        <f>IF(COUNTIF($B$2:B135,B135)=1,"ok","dup")</f>
        <v>dup</v>
      </c>
      <c r="B135" s="45" t="str">
        <f t="shared" si="2"/>
        <v>Bunopithecus_hoolock3.5</v>
      </c>
      <c r="C135" s="6" t="s">
        <v>282</v>
      </c>
      <c r="D135" s="7">
        <v>3.5</v>
      </c>
      <c r="E135" s="14" t="s">
        <v>211</v>
      </c>
    </row>
    <row r="136" spans="1:6">
      <c r="A136" s="45" t="str">
        <f>IF(COUNTIF($B$2:B136,B136)=1,"ok","dup")</f>
        <v>ok</v>
      </c>
      <c r="B136" s="45" t="str">
        <f t="shared" si="2"/>
        <v>Cacajao_calvus17.5</v>
      </c>
      <c r="C136" s="6" t="s">
        <v>283</v>
      </c>
      <c r="D136" s="7">
        <v>17.5</v>
      </c>
      <c r="E136" s="14" t="s">
        <v>212</v>
      </c>
    </row>
    <row r="137" spans="1:6">
      <c r="A137" s="45" t="str">
        <f>IF(COUNTIF($B$2:B137,B137)=1,"ok","dup")</f>
        <v>ok</v>
      </c>
      <c r="B137" s="45" t="str">
        <f t="shared" si="2"/>
        <v>Cacajao_calvus12.5</v>
      </c>
      <c r="C137" s="6" t="s">
        <v>283</v>
      </c>
      <c r="D137" s="7">
        <v>12.5</v>
      </c>
      <c r="E137" s="14" t="s">
        <v>211</v>
      </c>
    </row>
    <row r="138" spans="1:6">
      <c r="A138" s="45" t="str">
        <f>IF(COUNTIF($B$2:B138,B138)=1,"ok","dup")</f>
        <v>ok</v>
      </c>
      <c r="B138" s="45" t="str">
        <f t="shared" si="2"/>
        <v>Callicebus_moloch3.2</v>
      </c>
      <c r="C138" s="6" t="s">
        <v>49</v>
      </c>
      <c r="D138" s="7">
        <v>3.2</v>
      </c>
      <c r="E138" s="14" t="s">
        <v>216</v>
      </c>
      <c r="F138" s="14" t="s">
        <v>284</v>
      </c>
    </row>
    <row r="139" spans="1:6">
      <c r="A139" s="45" t="str">
        <f>IF(COUNTIF($B$2:B139,B139)=1,"ok","dup")</f>
        <v>ok</v>
      </c>
      <c r="B139" s="45" t="str">
        <f t="shared" si="2"/>
        <v>Callicebus_moloch4.2</v>
      </c>
      <c r="C139" s="6" t="s">
        <v>49</v>
      </c>
      <c r="D139" s="7">
        <v>4.2</v>
      </c>
      <c r="E139" s="14" t="s">
        <v>216</v>
      </c>
      <c r="F139" s="14" t="s">
        <v>284</v>
      </c>
    </row>
    <row r="140" spans="1:6">
      <c r="A140" s="45" t="str">
        <f>IF(COUNTIF($B$2:B140,B140)=1,"ok","dup")</f>
        <v>ok</v>
      </c>
      <c r="B140" s="45" t="str">
        <f t="shared" si="2"/>
        <v>Callicebus_moloch2.6</v>
      </c>
      <c r="C140" s="6" t="s">
        <v>49</v>
      </c>
      <c r="D140" s="7">
        <v>2.6</v>
      </c>
      <c r="E140" s="14" t="s">
        <v>212</v>
      </c>
    </row>
    <row r="141" spans="1:6">
      <c r="A141" s="45" t="str">
        <f>IF(COUNTIF($B$2:B141,B141)=1,"ok","dup")</f>
        <v>dup</v>
      </c>
      <c r="B141" s="45" t="str">
        <f t="shared" si="2"/>
        <v>Callicebus_moloch2.6</v>
      </c>
      <c r="C141" s="6" t="s">
        <v>49</v>
      </c>
      <c r="D141" s="7">
        <v>2.6</v>
      </c>
      <c r="E141" s="14" t="s">
        <v>212</v>
      </c>
    </row>
    <row r="142" spans="1:6">
      <c r="A142" s="45" t="str">
        <f>IF(COUNTIF($B$2:B142,B142)=1,"ok","dup")</f>
        <v>ok</v>
      </c>
      <c r="B142" s="45" t="str">
        <f t="shared" si="2"/>
        <v>Callicebus_moloch2.8</v>
      </c>
      <c r="C142" s="6" t="s">
        <v>49</v>
      </c>
      <c r="D142" s="7">
        <v>2.8</v>
      </c>
      <c r="E142" s="14" t="s">
        <v>212</v>
      </c>
    </row>
    <row r="143" spans="1:6">
      <c r="A143" s="45" t="str">
        <f>IF(COUNTIF($B$2:B143,B143)=1,"ok","dup")</f>
        <v>dup</v>
      </c>
      <c r="B143" s="45" t="str">
        <f t="shared" si="2"/>
        <v>Callicebus_moloch3.2</v>
      </c>
      <c r="C143" s="6" t="s">
        <v>49</v>
      </c>
      <c r="D143" s="7">
        <v>3.2</v>
      </c>
      <c r="E143" s="14" t="s">
        <v>212</v>
      </c>
    </row>
    <row r="144" spans="1:6">
      <c r="A144" s="45" t="str">
        <f>IF(COUNTIF($B$2:B144,B144)=1,"ok","dup")</f>
        <v>dup</v>
      </c>
      <c r="B144" s="45" t="str">
        <f t="shared" si="2"/>
        <v>Callicebus_moloch4.2</v>
      </c>
      <c r="C144" s="6" t="s">
        <v>49</v>
      </c>
      <c r="D144" s="7">
        <v>4.2</v>
      </c>
      <c r="E144" s="14" t="s">
        <v>218</v>
      </c>
      <c r="F144" s="14" t="s">
        <v>285</v>
      </c>
    </row>
    <row r="145" spans="1:7">
      <c r="A145" s="45" t="str">
        <f>IF(COUNTIF($B$2:B145,B145)=1,"ok","dup")</f>
        <v>ok</v>
      </c>
      <c r="B145" s="45" t="str">
        <f t="shared" si="2"/>
        <v>Callicebus_moloch3</v>
      </c>
      <c r="C145" s="6" t="s">
        <v>49</v>
      </c>
      <c r="D145" s="7">
        <v>3</v>
      </c>
      <c r="E145" s="14" t="s">
        <v>213</v>
      </c>
    </row>
    <row r="146" spans="1:7">
      <c r="A146" s="45" t="str">
        <f>IF(COUNTIF($B$2:B146,B146)=1,"ok","dup")</f>
        <v>ok</v>
      </c>
      <c r="B146" s="45" t="str">
        <f t="shared" si="2"/>
        <v>Callicebus_moloch3.5</v>
      </c>
      <c r="C146" s="6" t="s">
        <v>49</v>
      </c>
      <c r="D146" s="7">
        <v>3.5</v>
      </c>
      <c r="E146" s="14" t="s">
        <v>211</v>
      </c>
    </row>
    <row r="147" spans="1:7">
      <c r="A147" s="45" t="str">
        <f>IF(COUNTIF($B$2:B147,B147)=1,"ok","dup")</f>
        <v>ok</v>
      </c>
      <c r="B147" s="45" t="str">
        <f t="shared" si="2"/>
        <v>Callicebus_moloch2</v>
      </c>
      <c r="C147" s="6" t="s">
        <v>49</v>
      </c>
      <c r="D147" s="7">
        <v>2</v>
      </c>
      <c r="E147" s="14" t="s">
        <v>220</v>
      </c>
      <c r="F147" s="14" t="s">
        <v>286</v>
      </c>
      <c r="G147" s="6" t="s">
        <v>222</v>
      </c>
    </row>
    <row r="148" spans="1:7">
      <c r="A148" s="45" t="str">
        <f>IF(COUNTIF($B$2:B148,B148)=1,"ok","dup")</f>
        <v>dup</v>
      </c>
      <c r="B148" s="45" t="str">
        <f t="shared" si="2"/>
        <v>Callicebus_moloch2</v>
      </c>
      <c r="C148" s="6" t="s">
        <v>49</v>
      </c>
      <c r="D148" s="7">
        <v>2</v>
      </c>
      <c r="E148" s="14" t="s">
        <v>220</v>
      </c>
      <c r="F148" s="14" t="s">
        <v>287</v>
      </c>
    </row>
    <row r="149" spans="1:7">
      <c r="A149" s="45" t="str">
        <f>IF(COUNTIF($B$2:B149,B149)=1,"ok","dup")</f>
        <v>dup</v>
      </c>
      <c r="B149" s="45" t="str">
        <f t="shared" si="2"/>
        <v>Callicebus_moloch3</v>
      </c>
      <c r="C149" s="6" t="s">
        <v>49</v>
      </c>
      <c r="D149" s="7">
        <v>3</v>
      </c>
      <c r="E149" s="14" t="s">
        <v>220</v>
      </c>
      <c r="F149" s="14" t="s">
        <v>288</v>
      </c>
      <c r="G149" s="6" t="s">
        <v>239</v>
      </c>
    </row>
    <row r="150" spans="1:7">
      <c r="A150" s="45" t="str">
        <f>IF(COUNTIF($B$2:B150,B150)=1,"ok","dup")</f>
        <v>dup</v>
      </c>
      <c r="B150" s="45" t="str">
        <f t="shared" si="2"/>
        <v>Callicebus_moloch3</v>
      </c>
      <c r="C150" s="6" t="s">
        <v>49</v>
      </c>
      <c r="D150" s="7">
        <v>3</v>
      </c>
      <c r="E150" s="14" t="s">
        <v>220</v>
      </c>
      <c r="F150" s="14" t="s">
        <v>286</v>
      </c>
      <c r="G150" s="6" t="s">
        <v>235</v>
      </c>
    </row>
    <row r="151" spans="1:7">
      <c r="A151" s="45" t="str">
        <f>IF(COUNTIF($B$2:B151,B151)=1,"ok","dup")</f>
        <v>dup</v>
      </c>
      <c r="B151" s="45" t="str">
        <f t="shared" si="2"/>
        <v>Callicebus_moloch3</v>
      </c>
      <c r="C151" s="6" t="s">
        <v>49</v>
      </c>
      <c r="D151" s="7">
        <v>3</v>
      </c>
      <c r="E151" s="14" t="s">
        <v>220</v>
      </c>
      <c r="F151" s="14" t="s">
        <v>286</v>
      </c>
      <c r="G151" s="6" t="s">
        <v>226</v>
      </c>
    </row>
    <row r="152" spans="1:7">
      <c r="A152" s="45" t="str">
        <f>IF(COUNTIF($B$2:B152,B152)=1,"ok","dup")</f>
        <v>dup</v>
      </c>
      <c r="B152" s="45" t="str">
        <f t="shared" si="2"/>
        <v>Callicebus_moloch3</v>
      </c>
      <c r="C152" s="6" t="s">
        <v>49</v>
      </c>
      <c r="D152" s="7">
        <v>3</v>
      </c>
      <c r="E152" s="14" t="s">
        <v>220</v>
      </c>
      <c r="F152" s="14" t="s">
        <v>287</v>
      </c>
    </row>
    <row r="153" spans="1:7">
      <c r="A153" s="45" t="str">
        <f>IF(COUNTIF($B$2:B153,B153)=1,"ok","dup")</f>
        <v>dup</v>
      </c>
      <c r="B153" s="45" t="str">
        <f t="shared" si="2"/>
        <v>Callicebus_moloch3</v>
      </c>
      <c r="C153" s="6" t="s">
        <v>49</v>
      </c>
      <c r="D153" s="7">
        <v>3</v>
      </c>
      <c r="E153" s="14" t="s">
        <v>220</v>
      </c>
      <c r="F153" s="14" t="s">
        <v>287</v>
      </c>
    </row>
    <row r="154" spans="1:7">
      <c r="A154" s="45" t="str">
        <f>IF(COUNTIF($B$2:B154,B154)=1,"ok","dup")</f>
        <v>dup</v>
      </c>
      <c r="B154" s="45" t="str">
        <f t="shared" si="2"/>
        <v>Callicebus_moloch3</v>
      </c>
      <c r="C154" s="6" t="s">
        <v>49</v>
      </c>
      <c r="D154" s="7">
        <v>3</v>
      </c>
      <c r="E154" s="14" t="s">
        <v>220</v>
      </c>
      <c r="F154" s="14" t="s">
        <v>287</v>
      </c>
    </row>
    <row r="155" spans="1:7">
      <c r="A155" s="45" t="str">
        <f>IF(COUNTIF($B$2:B155,B155)=1,"ok","dup")</f>
        <v>dup</v>
      </c>
      <c r="B155" s="45" t="str">
        <f t="shared" si="2"/>
        <v>Callicebus_moloch3</v>
      </c>
      <c r="C155" s="6" t="s">
        <v>49</v>
      </c>
      <c r="D155" s="7">
        <v>3</v>
      </c>
      <c r="E155" s="14" t="s">
        <v>220</v>
      </c>
      <c r="F155" s="14" t="s">
        <v>287</v>
      </c>
    </row>
    <row r="156" spans="1:7">
      <c r="A156" s="45" t="str">
        <f>IF(COUNTIF($B$2:B156,B156)=1,"ok","dup")</f>
        <v>dup</v>
      </c>
      <c r="B156" s="45" t="str">
        <f t="shared" si="2"/>
        <v>Callicebus_moloch3</v>
      </c>
      <c r="C156" s="6" t="s">
        <v>49</v>
      </c>
      <c r="D156" s="7">
        <v>3</v>
      </c>
      <c r="E156" s="14" t="s">
        <v>220</v>
      </c>
      <c r="F156" s="14" t="s">
        <v>287</v>
      </c>
    </row>
    <row r="157" spans="1:7">
      <c r="A157" s="45" t="str">
        <f>IF(COUNTIF($B$2:B157,B157)=1,"ok","dup")</f>
        <v>dup</v>
      </c>
      <c r="B157" s="45" t="str">
        <f t="shared" si="2"/>
        <v>Callicebus_moloch3.2</v>
      </c>
      <c r="C157" s="6" t="s">
        <v>49</v>
      </c>
      <c r="D157" s="7">
        <v>3.2</v>
      </c>
      <c r="E157" s="14" t="s">
        <v>220</v>
      </c>
      <c r="F157" s="14" t="s">
        <v>289</v>
      </c>
      <c r="G157" s="6" t="s">
        <v>228</v>
      </c>
    </row>
    <row r="158" spans="1:7">
      <c r="A158" s="45" t="str">
        <f>IF(COUNTIF($B$2:B158,B158)=1,"ok","dup")</f>
        <v>ok</v>
      </c>
      <c r="B158" s="45" t="str">
        <f t="shared" si="2"/>
        <v>Callicebus_moloch4</v>
      </c>
      <c r="C158" s="6" t="s">
        <v>49</v>
      </c>
      <c r="D158" s="7">
        <v>4</v>
      </c>
      <c r="E158" s="14" t="s">
        <v>220</v>
      </c>
      <c r="F158" s="14" t="s">
        <v>286</v>
      </c>
      <c r="G158" s="6" t="s">
        <v>222</v>
      </c>
    </row>
    <row r="159" spans="1:7">
      <c r="A159" s="45" t="str">
        <f>IF(COUNTIF($B$2:B159,B159)=1,"ok","dup")</f>
        <v>dup</v>
      </c>
      <c r="B159" s="45" t="str">
        <f t="shared" si="2"/>
        <v>Callicebus_moloch4</v>
      </c>
      <c r="C159" s="6" t="s">
        <v>49</v>
      </c>
      <c r="D159" s="7">
        <v>4</v>
      </c>
      <c r="E159" s="14" t="s">
        <v>220</v>
      </c>
      <c r="F159" s="14" t="s">
        <v>287</v>
      </c>
    </row>
    <row r="160" spans="1:7">
      <c r="A160" s="45" t="str">
        <f>IF(COUNTIF($B$2:B160,B160)=1,"ok","dup")</f>
        <v>dup</v>
      </c>
      <c r="B160" s="45" t="str">
        <f t="shared" si="2"/>
        <v>Callicebus_moloch4</v>
      </c>
      <c r="C160" s="6" t="s">
        <v>49</v>
      </c>
      <c r="D160" s="7">
        <v>4</v>
      </c>
      <c r="E160" s="14" t="s">
        <v>220</v>
      </c>
      <c r="F160" s="14" t="s">
        <v>287</v>
      </c>
    </row>
    <row r="161" spans="1:7">
      <c r="A161" s="45" t="str">
        <f>IF(COUNTIF($B$2:B161,B161)=1,"ok","dup")</f>
        <v>dup</v>
      </c>
      <c r="B161" s="45" t="str">
        <f t="shared" si="2"/>
        <v>Callicebus_moloch4</v>
      </c>
      <c r="C161" s="6" t="s">
        <v>49</v>
      </c>
      <c r="D161" s="7">
        <v>4</v>
      </c>
      <c r="E161" s="14" t="s">
        <v>220</v>
      </c>
      <c r="F161" s="14" t="s">
        <v>290</v>
      </c>
    </row>
    <row r="162" spans="1:7">
      <c r="A162" s="45" t="str">
        <f>IF(COUNTIF($B$2:B162,B162)=1,"ok","dup")</f>
        <v>dup</v>
      </c>
      <c r="B162" s="45" t="str">
        <f t="shared" si="2"/>
        <v>Callicebus_moloch4</v>
      </c>
      <c r="C162" s="6" t="s">
        <v>49</v>
      </c>
      <c r="D162" s="7">
        <v>4</v>
      </c>
      <c r="E162" s="14" t="s">
        <v>220</v>
      </c>
      <c r="F162" s="14" t="s">
        <v>290</v>
      </c>
    </row>
    <row r="163" spans="1:7">
      <c r="A163" s="45" t="str">
        <f>IF(COUNTIF($B$2:B163,B163)=1,"ok","dup")</f>
        <v>dup</v>
      </c>
      <c r="B163" s="45" t="str">
        <f t="shared" si="2"/>
        <v>Callicebus_moloch4</v>
      </c>
      <c r="C163" s="6" t="s">
        <v>49</v>
      </c>
      <c r="D163" s="7">
        <v>4</v>
      </c>
      <c r="E163" s="14" t="s">
        <v>220</v>
      </c>
      <c r="F163" s="14" t="s">
        <v>290</v>
      </c>
    </row>
    <row r="164" spans="1:7">
      <c r="A164" s="45" t="str">
        <f>IF(COUNTIF($B$2:B164,B164)=1,"ok","dup")</f>
        <v>dup</v>
      </c>
      <c r="B164" s="45" t="str">
        <f t="shared" si="2"/>
        <v>Callicebus_moloch4.2</v>
      </c>
      <c r="C164" s="6" t="s">
        <v>49</v>
      </c>
      <c r="D164" s="7">
        <v>4.2</v>
      </c>
      <c r="E164" s="14" t="s">
        <v>220</v>
      </c>
      <c r="F164" s="14" t="s">
        <v>289</v>
      </c>
      <c r="G164" s="6" t="s">
        <v>228</v>
      </c>
    </row>
    <row r="165" spans="1:7">
      <c r="A165" s="45" t="str">
        <f>IF(COUNTIF($B$2:B165,B165)=1,"ok","dup")</f>
        <v>ok</v>
      </c>
      <c r="B165" s="45" t="str">
        <f t="shared" si="2"/>
        <v>Callicebus_moloch5</v>
      </c>
      <c r="C165" s="6" t="s">
        <v>49</v>
      </c>
      <c r="D165" s="7">
        <v>5</v>
      </c>
      <c r="E165" s="14" t="s">
        <v>220</v>
      </c>
      <c r="F165" s="14" t="s">
        <v>287</v>
      </c>
    </row>
    <row r="166" spans="1:7">
      <c r="A166" s="45" t="str">
        <f>IF(COUNTIF($B$2:B166,B166)=1,"ok","dup")</f>
        <v>ok</v>
      </c>
      <c r="B166" s="45" t="str">
        <f t="shared" si="2"/>
        <v>Callicebus_personatus3.2</v>
      </c>
      <c r="C166" s="6" t="s">
        <v>291</v>
      </c>
      <c r="D166" s="7">
        <v>3.2</v>
      </c>
      <c r="E166" s="14" t="s">
        <v>212</v>
      </c>
    </row>
    <row r="167" spans="1:7">
      <c r="A167" s="45" t="str">
        <f>IF(COUNTIF($B$2:B167,B167)=1,"ok","dup")</f>
        <v>ok</v>
      </c>
      <c r="B167" s="45" t="str">
        <f t="shared" si="2"/>
        <v>Callicebus_personatus3.7</v>
      </c>
      <c r="C167" s="6" t="s">
        <v>291</v>
      </c>
      <c r="D167" s="7">
        <v>3.7</v>
      </c>
      <c r="E167" s="14" t="s">
        <v>211</v>
      </c>
    </row>
    <row r="168" spans="1:7">
      <c r="A168" s="45" t="str">
        <f>IF(COUNTIF($B$2:B168,B168)=1,"ok","dup")</f>
        <v>ok</v>
      </c>
      <c r="B168" s="45" t="str">
        <f t="shared" si="2"/>
        <v>Callicebus_torquatus3.9</v>
      </c>
      <c r="C168" s="6" t="s">
        <v>292</v>
      </c>
      <c r="D168" s="7">
        <v>3.9</v>
      </c>
      <c r="E168" s="14" t="s">
        <v>216</v>
      </c>
      <c r="F168" s="14" t="s">
        <v>284</v>
      </c>
    </row>
    <row r="169" spans="1:7">
      <c r="A169" s="45" t="str">
        <f>IF(COUNTIF($B$2:B169,B169)=1,"ok","dup")</f>
        <v>ok</v>
      </c>
      <c r="B169" s="45" t="str">
        <f t="shared" si="2"/>
        <v>Callicebus_torquatus3</v>
      </c>
      <c r="C169" s="6" t="s">
        <v>292</v>
      </c>
      <c r="D169" s="7">
        <v>3</v>
      </c>
      <c r="E169" s="14" t="s">
        <v>212</v>
      </c>
    </row>
    <row r="170" spans="1:7">
      <c r="A170" s="45" t="str">
        <f>IF(COUNTIF($B$2:B170,B170)=1,"ok","dup")</f>
        <v>ok</v>
      </c>
      <c r="B170" s="45" t="str">
        <f t="shared" si="2"/>
        <v>Callicebus_torquatus3.4</v>
      </c>
      <c r="C170" s="6" t="s">
        <v>292</v>
      </c>
      <c r="D170" s="7">
        <v>3.4</v>
      </c>
      <c r="E170" s="14" t="s">
        <v>212</v>
      </c>
    </row>
    <row r="171" spans="1:7">
      <c r="A171" s="45" t="str">
        <f>IF(COUNTIF($B$2:B171,B171)=1,"ok","dup")</f>
        <v>ok</v>
      </c>
      <c r="B171" s="45" t="str">
        <f t="shared" si="2"/>
        <v>Callicebus_torquatus4</v>
      </c>
      <c r="C171" s="6" t="s">
        <v>292</v>
      </c>
      <c r="D171" s="7">
        <v>4</v>
      </c>
      <c r="E171" s="14" t="s">
        <v>218</v>
      </c>
      <c r="F171" s="14" t="s">
        <v>293</v>
      </c>
    </row>
    <row r="172" spans="1:7">
      <c r="A172" s="45" t="str">
        <f>IF(COUNTIF($B$2:B172,B172)=1,"ok","dup")</f>
        <v>dup</v>
      </c>
      <c r="B172" s="45" t="str">
        <f t="shared" si="2"/>
        <v>Callicebus_torquatus4</v>
      </c>
      <c r="C172" s="6" t="s">
        <v>292</v>
      </c>
      <c r="D172" s="7">
        <v>4</v>
      </c>
      <c r="E172" s="14" t="s">
        <v>211</v>
      </c>
    </row>
    <row r="173" spans="1:7">
      <c r="A173" s="45" t="str">
        <f>IF(COUNTIF($B$2:B173,B173)=1,"ok","dup")</f>
        <v>ok</v>
      </c>
      <c r="B173" s="45" t="str">
        <f t="shared" si="2"/>
        <v>Callimico_goeldii6</v>
      </c>
      <c r="C173" s="6" t="s">
        <v>50</v>
      </c>
      <c r="D173" s="7">
        <v>6</v>
      </c>
      <c r="E173" s="14" t="s">
        <v>212</v>
      </c>
    </row>
    <row r="174" spans="1:7">
      <c r="A174" s="45" t="str">
        <f>IF(COUNTIF($B$2:B174,B174)=1,"ok","dup")</f>
        <v>ok</v>
      </c>
      <c r="B174" s="45" t="str">
        <f t="shared" si="2"/>
        <v>Callimico_goeldii8.5</v>
      </c>
      <c r="C174" s="6" t="s">
        <v>50</v>
      </c>
      <c r="D174" s="7">
        <v>8.5</v>
      </c>
      <c r="E174" s="14" t="s">
        <v>212</v>
      </c>
    </row>
    <row r="175" spans="1:7">
      <c r="A175" s="45" t="str">
        <f>IF(COUNTIF($B$2:B175,B175)=1,"ok","dup")</f>
        <v>ok</v>
      </c>
      <c r="B175" s="45" t="str">
        <f t="shared" si="2"/>
        <v>Callimico_goeldii5</v>
      </c>
      <c r="C175" s="6" t="s">
        <v>50</v>
      </c>
      <c r="D175" s="7">
        <v>5</v>
      </c>
      <c r="E175" s="14" t="s">
        <v>211</v>
      </c>
    </row>
    <row r="176" spans="1:7">
      <c r="A176" s="45" t="str">
        <f>IF(COUNTIF($B$2:B176,B176)=1,"ok","dup")</f>
        <v>ok</v>
      </c>
      <c r="B176" s="45" t="str">
        <f t="shared" si="2"/>
        <v>Callithrix_argentata6.2</v>
      </c>
      <c r="C176" s="6" t="s">
        <v>294</v>
      </c>
      <c r="D176" s="7">
        <v>6.1999999999999993</v>
      </c>
      <c r="E176" s="14" t="s">
        <v>295</v>
      </c>
    </row>
    <row r="177" spans="1:7">
      <c r="A177" s="45" t="str">
        <f>IF(COUNTIF($B$2:B177,B177)=1,"ok","dup")</f>
        <v>ok</v>
      </c>
      <c r="B177" s="45" t="str">
        <f t="shared" si="2"/>
        <v>Callithrix_geoffroyi9</v>
      </c>
      <c r="C177" s="6" t="s">
        <v>296</v>
      </c>
      <c r="D177" s="7">
        <v>9</v>
      </c>
      <c r="E177" s="14" t="s">
        <v>211</v>
      </c>
    </row>
    <row r="178" spans="1:7">
      <c r="A178" s="45" t="str">
        <f>IF(COUNTIF($B$2:B178,B178)=1,"ok","dup")</f>
        <v>ok</v>
      </c>
      <c r="B178" s="45" t="str">
        <f t="shared" si="2"/>
        <v>Callithrix_humeralifera11.5</v>
      </c>
      <c r="C178" s="6" t="s">
        <v>297</v>
      </c>
      <c r="D178" s="7">
        <v>11.5</v>
      </c>
      <c r="E178" s="14" t="s">
        <v>211</v>
      </c>
    </row>
    <row r="179" spans="1:7">
      <c r="A179" s="45" t="str">
        <f>IF(COUNTIF($B$2:B179,B179)=1,"ok","dup")</f>
        <v>ok</v>
      </c>
      <c r="B179" s="45" t="str">
        <f t="shared" si="2"/>
        <v>Callithrix_jacchus8.9</v>
      </c>
      <c r="C179" s="6" t="s">
        <v>51</v>
      </c>
      <c r="D179" s="7">
        <v>8.9</v>
      </c>
      <c r="E179" s="14" t="s">
        <v>211</v>
      </c>
    </row>
    <row r="180" spans="1:7">
      <c r="A180" s="45" t="str">
        <f>IF(COUNTIF($B$2:B180,B180)=1,"ok","dup")</f>
        <v>ok</v>
      </c>
      <c r="B180" s="45" t="str">
        <f t="shared" si="2"/>
        <v>Callithrix_jacchus10</v>
      </c>
      <c r="C180" s="6" t="s">
        <v>51</v>
      </c>
      <c r="D180" s="7">
        <v>10</v>
      </c>
      <c r="E180" s="14" t="s">
        <v>220</v>
      </c>
      <c r="F180" s="14" t="s">
        <v>298</v>
      </c>
    </row>
    <row r="181" spans="1:7">
      <c r="A181" s="45" t="str">
        <f>IF(COUNTIF($B$2:B181,B181)=1,"ok","dup")</f>
        <v>dup</v>
      </c>
      <c r="B181" s="45" t="str">
        <f t="shared" si="2"/>
        <v>Callithrix_jacchus10</v>
      </c>
      <c r="C181" s="6" t="s">
        <v>51</v>
      </c>
      <c r="D181" s="7">
        <v>10</v>
      </c>
      <c r="E181" s="14" t="s">
        <v>220</v>
      </c>
      <c r="F181" s="14" t="s">
        <v>299</v>
      </c>
    </row>
    <row r="182" spans="1:7">
      <c r="A182" s="45" t="str">
        <f>IF(COUNTIF($B$2:B182,B182)=1,"ok","dup")</f>
        <v>ok</v>
      </c>
      <c r="B182" s="45" t="str">
        <f t="shared" si="2"/>
        <v>Callithrix_jacchus11</v>
      </c>
      <c r="C182" s="6" t="s">
        <v>51</v>
      </c>
      <c r="D182" s="7">
        <v>11</v>
      </c>
      <c r="E182" s="14" t="s">
        <v>220</v>
      </c>
      <c r="F182" s="14" t="s">
        <v>298</v>
      </c>
    </row>
    <row r="183" spans="1:7">
      <c r="A183" s="45" t="str">
        <f>IF(COUNTIF($B$2:B183,B183)=1,"ok","dup")</f>
        <v>dup</v>
      </c>
      <c r="B183" s="45" t="str">
        <f t="shared" si="2"/>
        <v>Callithrix_jacchus11</v>
      </c>
      <c r="C183" s="6" t="s">
        <v>51</v>
      </c>
      <c r="D183" s="7">
        <v>11</v>
      </c>
      <c r="E183" s="14" t="s">
        <v>220</v>
      </c>
      <c r="F183" s="14" t="s">
        <v>299</v>
      </c>
    </row>
    <row r="184" spans="1:7">
      <c r="A184" s="45" t="str">
        <f>IF(COUNTIF($B$2:B184,B184)=1,"ok","dup")</f>
        <v>ok</v>
      </c>
      <c r="B184" s="45" t="str">
        <f t="shared" si="2"/>
        <v>Callithrix_jacchus12</v>
      </c>
      <c r="C184" s="6" t="s">
        <v>51</v>
      </c>
      <c r="D184" s="7">
        <v>12</v>
      </c>
      <c r="E184" s="14" t="s">
        <v>220</v>
      </c>
      <c r="F184" s="14" t="s">
        <v>300</v>
      </c>
    </row>
    <row r="185" spans="1:7">
      <c r="A185" s="45" t="str">
        <f>IF(COUNTIF($B$2:B185,B185)=1,"ok","dup")</f>
        <v>dup</v>
      </c>
      <c r="B185" s="45" t="str">
        <f t="shared" si="2"/>
        <v>Callithrix_jacchus12</v>
      </c>
      <c r="C185" s="6" t="s">
        <v>51</v>
      </c>
      <c r="D185" s="7">
        <v>12</v>
      </c>
      <c r="E185" s="14" t="s">
        <v>220</v>
      </c>
      <c r="F185" s="14" t="s">
        <v>300</v>
      </c>
    </row>
    <row r="186" spans="1:7">
      <c r="A186" s="45" t="str">
        <f>IF(COUNTIF($B$2:B186,B186)=1,"ok","dup")</f>
        <v>ok</v>
      </c>
      <c r="B186" s="45" t="str">
        <f t="shared" si="2"/>
        <v>Callithrix_jacchus3</v>
      </c>
      <c r="C186" s="6" t="s">
        <v>51</v>
      </c>
      <c r="D186" s="7">
        <v>3</v>
      </c>
      <c r="E186" s="14" t="s">
        <v>220</v>
      </c>
      <c r="F186" s="14" t="s">
        <v>301</v>
      </c>
      <c r="G186" s="6" t="s">
        <v>222</v>
      </c>
    </row>
    <row r="187" spans="1:7">
      <c r="A187" s="45" t="str">
        <f>IF(COUNTIF($B$2:B187,B187)=1,"ok","dup")</f>
        <v>dup</v>
      </c>
      <c r="B187" s="45" t="str">
        <f t="shared" si="2"/>
        <v>Callithrix_jacchus3</v>
      </c>
      <c r="C187" s="6" t="s">
        <v>51</v>
      </c>
      <c r="D187" s="7">
        <v>3</v>
      </c>
      <c r="E187" s="14" t="s">
        <v>220</v>
      </c>
      <c r="F187" s="14" t="s">
        <v>299</v>
      </c>
      <c r="G187" s="6" t="s">
        <v>222</v>
      </c>
    </row>
    <row r="188" spans="1:7">
      <c r="A188" s="45" t="str">
        <f>IF(COUNTIF($B$2:B188,B188)=1,"ok","dup")</f>
        <v>ok</v>
      </c>
      <c r="B188" s="45" t="str">
        <f t="shared" si="2"/>
        <v>Callithrix_jacchus5</v>
      </c>
      <c r="C188" s="6" t="s">
        <v>51</v>
      </c>
      <c r="D188" s="7">
        <v>5</v>
      </c>
      <c r="E188" s="14" t="s">
        <v>220</v>
      </c>
      <c r="F188" s="14" t="s">
        <v>299</v>
      </c>
      <c r="G188" s="6" t="s">
        <v>222</v>
      </c>
    </row>
    <row r="189" spans="1:7">
      <c r="A189" s="45" t="str">
        <f>IF(COUNTIF($B$2:B189,B189)=1,"ok","dup")</f>
        <v>dup</v>
      </c>
      <c r="B189" s="45" t="str">
        <f t="shared" si="2"/>
        <v>Callithrix_jacchus5</v>
      </c>
      <c r="C189" s="6" t="s">
        <v>51</v>
      </c>
      <c r="D189" s="7">
        <v>5</v>
      </c>
      <c r="E189" s="14" t="s">
        <v>220</v>
      </c>
      <c r="F189" s="14" t="s">
        <v>298</v>
      </c>
    </row>
    <row r="190" spans="1:7">
      <c r="A190" s="45" t="str">
        <f>IF(COUNTIF($B$2:B190,B190)=1,"ok","dup")</f>
        <v>ok</v>
      </c>
      <c r="B190" s="45" t="str">
        <f t="shared" si="2"/>
        <v>Callithrix_jacchus6</v>
      </c>
      <c r="C190" s="6" t="s">
        <v>51</v>
      </c>
      <c r="D190" s="7">
        <v>6</v>
      </c>
      <c r="E190" s="14" t="s">
        <v>220</v>
      </c>
      <c r="F190" s="14" t="s">
        <v>300</v>
      </c>
    </row>
    <row r="191" spans="1:7">
      <c r="A191" s="45" t="str">
        <f>IF(COUNTIF($B$2:B191,B191)=1,"ok","dup")</f>
        <v>ok</v>
      </c>
      <c r="B191" s="45" t="str">
        <f t="shared" si="2"/>
        <v>Callithrix_jacchus7</v>
      </c>
      <c r="C191" s="6" t="s">
        <v>51</v>
      </c>
      <c r="D191" s="7">
        <v>7</v>
      </c>
      <c r="E191" s="14" t="s">
        <v>220</v>
      </c>
      <c r="F191" s="14" t="s">
        <v>301</v>
      </c>
      <c r="G191" s="6" t="s">
        <v>222</v>
      </c>
    </row>
    <row r="192" spans="1:7">
      <c r="A192" s="45" t="str">
        <f>IF(COUNTIF($B$2:B192,B192)=1,"ok","dup")</f>
        <v>ok</v>
      </c>
      <c r="B192" s="45" t="str">
        <f t="shared" si="2"/>
        <v>Callithrix_jacchus8</v>
      </c>
      <c r="C192" s="6" t="s">
        <v>51</v>
      </c>
      <c r="D192" s="7">
        <v>8</v>
      </c>
      <c r="E192" s="14" t="s">
        <v>220</v>
      </c>
      <c r="F192" s="14" t="s">
        <v>300</v>
      </c>
    </row>
    <row r="193" spans="1:6">
      <c r="A193" s="45" t="str">
        <f>IF(COUNTIF($B$2:B193,B193)=1,"ok","dup")</f>
        <v>ok</v>
      </c>
      <c r="B193" s="45" t="str">
        <f t="shared" si="2"/>
        <v>Callithrix_penicillata6.6</v>
      </c>
      <c r="C193" s="6" t="s">
        <v>302</v>
      </c>
      <c r="D193" s="7">
        <v>6.6</v>
      </c>
      <c r="E193" s="14" t="s">
        <v>211</v>
      </c>
    </row>
    <row r="194" spans="1:6">
      <c r="A194" s="45" t="str">
        <f>IF(COUNTIF($B$2:B194,B194)=1,"ok","dup")</f>
        <v>ok</v>
      </c>
      <c r="B194" s="45" t="str">
        <f t="shared" ref="B194:B257" si="3">C194&amp;D194</f>
        <v>Callithrix_pygmaea6</v>
      </c>
      <c r="C194" s="6" t="s">
        <v>52</v>
      </c>
      <c r="D194" s="7">
        <v>6</v>
      </c>
      <c r="E194" s="14" t="s">
        <v>212</v>
      </c>
    </row>
    <row r="195" spans="1:6">
      <c r="A195" s="45" t="str">
        <f>IF(COUNTIF($B$2:B195,B195)=1,"ok","dup")</f>
        <v>ok</v>
      </c>
      <c r="B195" s="45" t="str">
        <f t="shared" si="3"/>
        <v>Callithrix_pygmaea6.4</v>
      </c>
      <c r="C195" s="6" t="s">
        <v>52</v>
      </c>
      <c r="D195" s="7">
        <v>6.4</v>
      </c>
      <c r="E195" s="14" t="s">
        <v>211</v>
      </c>
    </row>
    <row r="196" spans="1:6">
      <c r="A196" s="45" t="str">
        <f>IF(COUNTIF($B$2:B196,B196)=1,"ok","dup")</f>
        <v>ok</v>
      </c>
      <c r="B196" s="45" t="str">
        <f t="shared" si="3"/>
        <v>Callithrix_pygmaea3</v>
      </c>
      <c r="C196" s="6" t="s">
        <v>52</v>
      </c>
      <c r="D196" s="7">
        <v>3</v>
      </c>
      <c r="E196" s="14" t="s">
        <v>220</v>
      </c>
      <c r="F196" s="14" t="s">
        <v>303</v>
      </c>
    </row>
    <row r="197" spans="1:6">
      <c r="A197" s="45" t="str">
        <f>IF(COUNTIF($B$2:B197,B197)=1,"ok","dup")</f>
        <v>dup</v>
      </c>
      <c r="B197" s="45" t="str">
        <f t="shared" si="3"/>
        <v>Callithrix_pygmaea3</v>
      </c>
      <c r="C197" s="6" t="s">
        <v>52</v>
      </c>
      <c r="D197" s="7">
        <v>3</v>
      </c>
      <c r="E197" s="14" t="s">
        <v>220</v>
      </c>
      <c r="F197" s="14" t="s">
        <v>303</v>
      </c>
    </row>
    <row r="198" spans="1:6">
      <c r="A198" s="45" t="str">
        <f>IF(COUNTIF($B$2:B198,B198)=1,"ok","dup")</f>
        <v>dup</v>
      </c>
      <c r="B198" s="45" t="str">
        <f t="shared" si="3"/>
        <v>Callithrix_pygmaea3</v>
      </c>
      <c r="C198" s="6" t="s">
        <v>52</v>
      </c>
      <c r="D198" s="7">
        <v>3</v>
      </c>
      <c r="E198" s="14" t="s">
        <v>220</v>
      </c>
      <c r="F198" s="14" t="s">
        <v>303</v>
      </c>
    </row>
    <row r="199" spans="1:6">
      <c r="A199" s="45" t="str">
        <f>IF(COUNTIF($B$2:B199,B199)=1,"ok","dup")</f>
        <v>ok</v>
      </c>
      <c r="B199" s="45" t="str">
        <f t="shared" si="3"/>
        <v>Callithrix_pygmaea4</v>
      </c>
      <c r="C199" s="6" t="s">
        <v>52</v>
      </c>
      <c r="D199" s="7">
        <v>4</v>
      </c>
      <c r="E199" s="14" t="s">
        <v>220</v>
      </c>
      <c r="F199" s="14" t="s">
        <v>304</v>
      </c>
    </row>
    <row r="200" spans="1:6">
      <c r="A200" s="45" t="str">
        <f>IF(COUNTIF($B$2:B200,B200)=1,"ok","dup")</f>
        <v>dup</v>
      </c>
      <c r="B200" s="45" t="str">
        <f t="shared" si="3"/>
        <v>Callithrix_pygmaea4</v>
      </c>
      <c r="C200" s="6" t="s">
        <v>52</v>
      </c>
      <c r="D200" s="7">
        <v>4</v>
      </c>
      <c r="E200" s="14" t="s">
        <v>220</v>
      </c>
      <c r="F200" s="14" t="s">
        <v>303</v>
      </c>
    </row>
    <row r="201" spans="1:6">
      <c r="A201" s="45" t="str">
        <f>IF(COUNTIF($B$2:B201,B201)=1,"ok","dup")</f>
        <v>dup</v>
      </c>
      <c r="B201" s="45" t="str">
        <f t="shared" si="3"/>
        <v>Callithrix_pygmaea4</v>
      </c>
      <c r="C201" s="6" t="s">
        <v>52</v>
      </c>
      <c r="D201" s="7">
        <v>4</v>
      </c>
      <c r="E201" s="14" t="s">
        <v>220</v>
      </c>
      <c r="F201" s="14" t="s">
        <v>303</v>
      </c>
    </row>
    <row r="202" spans="1:6">
      <c r="A202" s="45" t="str">
        <f>IF(COUNTIF($B$2:B202,B202)=1,"ok","dup")</f>
        <v>ok</v>
      </c>
      <c r="B202" s="45" t="str">
        <f t="shared" si="3"/>
        <v>Callithrix_pygmaea5</v>
      </c>
      <c r="C202" s="6" t="s">
        <v>52</v>
      </c>
      <c r="D202" s="7">
        <v>5</v>
      </c>
      <c r="E202" s="14" t="s">
        <v>220</v>
      </c>
      <c r="F202" s="14" t="s">
        <v>303</v>
      </c>
    </row>
    <row r="203" spans="1:6">
      <c r="A203" s="45" t="str">
        <f>IF(COUNTIF($B$2:B203,B203)=1,"ok","dup")</f>
        <v>dup</v>
      </c>
      <c r="B203" s="45" t="str">
        <f t="shared" si="3"/>
        <v>Callithrix_pygmaea5</v>
      </c>
      <c r="C203" s="6" t="s">
        <v>52</v>
      </c>
      <c r="D203" s="7">
        <v>5</v>
      </c>
      <c r="E203" s="14" t="s">
        <v>220</v>
      </c>
      <c r="F203" s="14" t="s">
        <v>303</v>
      </c>
    </row>
    <row r="204" spans="1:6">
      <c r="A204" s="45" t="str">
        <f>IF(COUNTIF($B$2:B204,B204)=1,"ok","dup")</f>
        <v>dup</v>
      </c>
      <c r="B204" s="45" t="str">
        <f t="shared" si="3"/>
        <v>Callithrix_pygmaea5</v>
      </c>
      <c r="C204" s="6" t="s">
        <v>52</v>
      </c>
      <c r="D204" s="7">
        <v>5</v>
      </c>
      <c r="E204" s="14" t="s">
        <v>220</v>
      </c>
      <c r="F204" s="14" t="s">
        <v>303</v>
      </c>
    </row>
    <row r="205" spans="1:6">
      <c r="A205" s="45" t="str">
        <f>IF(COUNTIF($B$2:B205,B205)=1,"ok","dup")</f>
        <v>dup</v>
      </c>
      <c r="B205" s="45" t="str">
        <f t="shared" si="3"/>
        <v>Callithrix_pygmaea6</v>
      </c>
      <c r="C205" s="6" t="s">
        <v>52</v>
      </c>
      <c r="D205" s="7">
        <v>6</v>
      </c>
      <c r="E205" s="14" t="s">
        <v>220</v>
      </c>
      <c r="F205" s="14" t="s">
        <v>303</v>
      </c>
    </row>
    <row r="206" spans="1:6">
      <c r="A206" s="45" t="str">
        <f>IF(COUNTIF($B$2:B206,B206)=1,"ok","dup")</f>
        <v>dup</v>
      </c>
      <c r="B206" s="45" t="str">
        <f t="shared" si="3"/>
        <v>Callithrix_pygmaea6</v>
      </c>
      <c r="C206" s="6" t="s">
        <v>52</v>
      </c>
      <c r="D206" s="7">
        <v>6</v>
      </c>
      <c r="E206" s="14" t="s">
        <v>220</v>
      </c>
      <c r="F206" s="14" t="s">
        <v>303</v>
      </c>
    </row>
    <row r="207" spans="1:6">
      <c r="A207" s="45" t="str">
        <f>IF(COUNTIF($B$2:B207,B207)=1,"ok","dup")</f>
        <v>dup</v>
      </c>
      <c r="B207" s="45" t="str">
        <f t="shared" si="3"/>
        <v>Callithrix_pygmaea6</v>
      </c>
      <c r="C207" s="6" t="s">
        <v>52</v>
      </c>
      <c r="D207" s="7">
        <v>6</v>
      </c>
      <c r="E207" s="14" t="s">
        <v>220</v>
      </c>
      <c r="F207" s="14" t="s">
        <v>303</v>
      </c>
    </row>
    <row r="208" spans="1:6">
      <c r="A208" s="45" t="str">
        <f>IF(COUNTIF($B$2:B208,B208)=1,"ok","dup")</f>
        <v>dup</v>
      </c>
      <c r="B208" s="45" t="str">
        <f t="shared" si="3"/>
        <v>Callithrix_pygmaea6</v>
      </c>
      <c r="C208" s="6" t="s">
        <v>52</v>
      </c>
      <c r="D208" s="7">
        <v>6</v>
      </c>
      <c r="E208" s="14" t="s">
        <v>220</v>
      </c>
      <c r="F208" s="14" t="s">
        <v>303</v>
      </c>
    </row>
    <row r="209" spans="1:6">
      <c r="A209" s="45" t="str">
        <f>IF(COUNTIF($B$2:B209,B209)=1,"ok","dup")</f>
        <v>dup</v>
      </c>
      <c r="B209" s="45" t="str">
        <f t="shared" si="3"/>
        <v>Callithrix_pygmaea6</v>
      </c>
      <c r="C209" s="6" t="s">
        <v>52</v>
      </c>
      <c r="D209" s="7">
        <v>6</v>
      </c>
      <c r="E209" s="14" t="s">
        <v>220</v>
      </c>
      <c r="F209" s="14" t="s">
        <v>303</v>
      </c>
    </row>
    <row r="210" spans="1:6">
      <c r="A210" s="45" t="str">
        <f>IF(COUNTIF($B$2:B210,B210)=1,"ok","dup")</f>
        <v>ok</v>
      </c>
      <c r="B210" s="45" t="str">
        <f t="shared" si="3"/>
        <v>Callithrix_pygmaea7</v>
      </c>
      <c r="C210" s="6" t="s">
        <v>52</v>
      </c>
      <c r="D210" s="7">
        <v>7</v>
      </c>
      <c r="E210" s="14" t="s">
        <v>220</v>
      </c>
      <c r="F210" s="14" t="s">
        <v>303</v>
      </c>
    </row>
    <row r="211" spans="1:6">
      <c r="A211" s="45" t="str">
        <f>IF(COUNTIF($B$2:B211,B211)=1,"ok","dup")</f>
        <v>ok</v>
      </c>
      <c r="B211" s="45" t="str">
        <f t="shared" si="3"/>
        <v>Callithrix_pygmaea8</v>
      </c>
      <c r="C211" s="6" t="s">
        <v>52</v>
      </c>
      <c r="D211" s="7">
        <v>8</v>
      </c>
      <c r="E211" s="14" t="s">
        <v>220</v>
      </c>
      <c r="F211" s="14" t="s">
        <v>305</v>
      </c>
    </row>
    <row r="212" spans="1:6">
      <c r="A212" s="45" t="str">
        <f>IF(COUNTIF($B$2:B212,B212)=1,"ok","dup")</f>
        <v>dup</v>
      </c>
      <c r="B212" s="45" t="str">
        <f t="shared" si="3"/>
        <v>Callithrix_pygmaea8</v>
      </c>
      <c r="C212" s="6" t="s">
        <v>52</v>
      </c>
      <c r="D212" s="7">
        <v>8</v>
      </c>
      <c r="E212" s="14" t="s">
        <v>220</v>
      </c>
      <c r="F212" s="14" t="s">
        <v>303</v>
      </c>
    </row>
    <row r="213" spans="1:6">
      <c r="A213" s="45" t="str">
        <f>IF(COUNTIF($B$2:B213,B213)=1,"ok","dup")</f>
        <v>dup</v>
      </c>
      <c r="B213" s="45" t="str">
        <f t="shared" si="3"/>
        <v>Callithrix_pygmaea8</v>
      </c>
      <c r="C213" s="6" t="s">
        <v>52</v>
      </c>
      <c r="D213" s="7">
        <v>8</v>
      </c>
      <c r="E213" s="14" t="s">
        <v>220</v>
      </c>
      <c r="F213" s="14" t="s">
        <v>303</v>
      </c>
    </row>
    <row r="214" spans="1:6">
      <c r="A214" s="45" t="str">
        <f>IF(COUNTIF($B$2:B214,B214)=1,"ok","dup")</f>
        <v>ok</v>
      </c>
      <c r="B214" s="45" t="str">
        <f t="shared" si="3"/>
        <v>Cebus_albifrons15</v>
      </c>
      <c r="C214" s="6" t="s">
        <v>53</v>
      </c>
      <c r="D214" s="7">
        <v>15</v>
      </c>
      <c r="E214" s="14" t="s">
        <v>216</v>
      </c>
      <c r="F214" s="14" t="s">
        <v>306</v>
      </c>
    </row>
    <row r="215" spans="1:6">
      <c r="A215" s="45" t="str">
        <f>IF(COUNTIF($B$2:B215,B215)=1,"ok","dup")</f>
        <v>ok</v>
      </c>
      <c r="B215" s="45" t="str">
        <f t="shared" si="3"/>
        <v>Cebus_albifrons14.5</v>
      </c>
      <c r="C215" s="6" t="s">
        <v>53</v>
      </c>
      <c r="D215" s="7">
        <v>14.5</v>
      </c>
      <c r="E215" s="14" t="s">
        <v>212</v>
      </c>
    </row>
    <row r="216" spans="1:6">
      <c r="A216" s="45" t="str">
        <f>IF(COUNTIF($B$2:B216,B216)=1,"ok","dup")</f>
        <v>dup</v>
      </c>
      <c r="B216" s="45" t="str">
        <f t="shared" si="3"/>
        <v>Cebus_albifrons15</v>
      </c>
      <c r="C216" s="6" t="s">
        <v>53</v>
      </c>
      <c r="D216" s="7">
        <v>15</v>
      </c>
      <c r="E216" s="14" t="s">
        <v>212</v>
      </c>
    </row>
    <row r="217" spans="1:6">
      <c r="A217" s="45" t="str">
        <f>IF(COUNTIF($B$2:B217,B217)=1,"ok","dup")</f>
        <v>ok</v>
      </c>
      <c r="B217" s="45" t="str">
        <f t="shared" si="3"/>
        <v>Cebus_albifrons35</v>
      </c>
      <c r="C217" s="6" t="s">
        <v>53</v>
      </c>
      <c r="D217" s="7">
        <v>35</v>
      </c>
      <c r="E217" s="14" t="s">
        <v>212</v>
      </c>
    </row>
    <row r="218" spans="1:6">
      <c r="A218" s="45" t="str">
        <f>IF(COUNTIF($B$2:B218,B218)=1,"ok","dup")</f>
        <v>dup</v>
      </c>
      <c r="B218" s="45" t="str">
        <f t="shared" si="3"/>
        <v>Cebus_albifrons15</v>
      </c>
      <c r="C218" s="6" t="s">
        <v>53</v>
      </c>
      <c r="D218" s="7">
        <v>15</v>
      </c>
      <c r="E218" s="14" t="s">
        <v>218</v>
      </c>
      <c r="F218" s="14" t="s">
        <v>307</v>
      </c>
    </row>
    <row r="219" spans="1:6">
      <c r="A219" s="45" t="str">
        <f>IF(COUNTIF($B$2:B219,B219)=1,"ok","dup")</f>
        <v>ok</v>
      </c>
      <c r="B219" s="45" t="str">
        <f t="shared" si="3"/>
        <v>Cebus_albifrons20</v>
      </c>
      <c r="C219" s="6" t="s">
        <v>53</v>
      </c>
      <c r="D219" s="7">
        <v>20</v>
      </c>
      <c r="E219" s="14" t="s">
        <v>211</v>
      </c>
    </row>
    <row r="220" spans="1:6">
      <c r="A220" s="45" t="str">
        <f>IF(COUNTIF($B$2:B220,B220)=1,"ok","dup")</f>
        <v>ok</v>
      </c>
      <c r="B220" s="45" t="str">
        <f t="shared" si="3"/>
        <v>Cebus_apella10</v>
      </c>
      <c r="C220" s="6" t="s">
        <v>54</v>
      </c>
      <c r="D220" s="7">
        <v>10</v>
      </c>
      <c r="E220" s="14" t="s">
        <v>216</v>
      </c>
      <c r="F220" s="14" t="s">
        <v>264</v>
      </c>
    </row>
    <row r="221" spans="1:6">
      <c r="A221" s="45" t="str">
        <f>IF(COUNTIF($B$2:B221,B221)=1,"ok","dup")</f>
        <v>dup</v>
      </c>
      <c r="B221" s="45" t="str">
        <f t="shared" si="3"/>
        <v>Cebus_apella10</v>
      </c>
      <c r="C221" s="6" t="s">
        <v>54</v>
      </c>
      <c r="D221" s="7">
        <v>10</v>
      </c>
      <c r="E221" s="14" t="s">
        <v>212</v>
      </c>
    </row>
    <row r="222" spans="1:6">
      <c r="A222" s="45" t="str">
        <f>IF(COUNTIF($B$2:B222,B222)=1,"ok","dup")</f>
        <v>ok</v>
      </c>
      <c r="B222" s="45" t="str">
        <f t="shared" si="3"/>
        <v>Cebus_apella16</v>
      </c>
      <c r="C222" s="6" t="s">
        <v>54</v>
      </c>
      <c r="D222" s="7">
        <v>16</v>
      </c>
      <c r="E222" s="14" t="s">
        <v>212</v>
      </c>
    </row>
    <row r="223" spans="1:6">
      <c r="A223" s="45" t="str">
        <f>IF(COUNTIF($B$2:B223,B223)=1,"ok","dup")</f>
        <v>ok</v>
      </c>
      <c r="B223" s="45" t="str">
        <f t="shared" si="3"/>
        <v>Cebus_apella16.3</v>
      </c>
      <c r="C223" s="6" t="s">
        <v>54</v>
      </c>
      <c r="D223" s="7">
        <v>16.3</v>
      </c>
      <c r="E223" s="14" t="s">
        <v>212</v>
      </c>
    </row>
    <row r="224" spans="1:6">
      <c r="A224" s="45" t="str">
        <f>IF(COUNTIF($B$2:B224,B224)=1,"ok","dup")</f>
        <v>dup</v>
      </c>
      <c r="B224" s="45" t="str">
        <f t="shared" si="3"/>
        <v>Cebus_apella10</v>
      </c>
      <c r="C224" s="6" t="s">
        <v>54</v>
      </c>
      <c r="D224" s="7">
        <v>10</v>
      </c>
      <c r="E224" s="14" t="s">
        <v>218</v>
      </c>
      <c r="F224" s="14" t="s">
        <v>307</v>
      </c>
    </row>
    <row r="225" spans="1:7">
      <c r="A225" s="45" t="str">
        <f>IF(COUNTIF($B$2:B225,B225)=1,"ok","dup")</f>
        <v>ok</v>
      </c>
      <c r="B225" s="45" t="str">
        <f t="shared" si="3"/>
        <v>Cebus_apella11</v>
      </c>
      <c r="C225" s="6" t="s">
        <v>54</v>
      </c>
      <c r="D225" s="7">
        <v>11</v>
      </c>
      <c r="E225" s="14" t="s">
        <v>211</v>
      </c>
    </row>
    <row r="226" spans="1:7">
      <c r="A226" s="45" t="str">
        <f>IF(COUNTIF($B$2:B226,B226)=1,"ok","dup")</f>
        <v>ok</v>
      </c>
      <c r="B226" s="45" t="str">
        <f t="shared" si="3"/>
        <v>Cebus_apella7</v>
      </c>
      <c r="C226" s="6" t="s">
        <v>54</v>
      </c>
      <c r="D226" s="7">
        <v>7</v>
      </c>
      <c r="E226" s="14" t="s">
        <v>214</v>
      </c>
      <c r="F226" s="14" t="s">
        <v>308</v>
      </c>
    </row>
    <row r="227" spans="1:7">
      <c r="A227" s="45" t="str">
        <f>IF(COUNTIF($B$2:B227,B227)=1,"ok","dup")</f>
        <v>ok</v>
      </c>
      <c r="B227" s="45" t="str">
        <f t="shared" si="3"/>
        <v>Cebus_capucinus17.5</v>
      </c>
      <c r="C227" s="6" t="s">
        <v>309</v>
      </c>
      <c r="D227" s="7">
        <v>17.5</v>
      </c>
      <c r="E227" s="14" t="s">
        <v>216</v>
      </c>
      <c r="F227" s="14" t="s">
        <v>264</v>
      </c>
    </row>
    <row r="228" spans="1:7">
      <c r="A228" s="45" t="str">
        <f>IF(COUNTIF($B$2:B228,B228)=1,"ok","dup")</f>
        <v>ok</v>
      </c>
      <c r="B228" s="45" t="str">
        <f t="shared" si="3"/>
        <v>Cebus_capucinus13</v>
      </c>
      <c r="C228" s="6" t="s">
        <v>309</v>
      </c>
      <c r="D228" s="7">
        <v>13</v>
      </c>
      <c r="E228" s="14" t="s">
        <v>212</v>
      </c>
    </row>
    <row r="229" spans="1:7">
      <c r="A229" s="45" t="str">
        <f>IF(COUNTIF($B$2:B229,B229)=1,"ok","dup")</f>
        <v>ok</v>
      </c>
      <c r="B229" s="45" t="str">
        <f t="shared" si="3"/>
        <v>Cebus_capucinus15</v>
      </c>
      <c r="C229" s="6" t="s">
        <v>309</v>
      </c>
      <c r="D229" s="7">
        <v>15</v>
      </c>
      <c r="E229" s="14" t="s">
        <v>212</v>
      </c>
    </row>
    <row r="230" spans="1:7">
      <c r="A230" s="45" t="str">
        <f>IF(COUNTIF($B$2:B230,B230)=1,"ok","dup")</f>
        <v>dup</v>
      </c>
      <c r="B230" s="45" t="str">
        <f t="shared" si="3"/>
        <v>Cebus_capucinus17.5</v>
      </c>
      <c r="C230" s="6" t="s">
        <v>309</v>
      </c>
      <c r="D230" s="7">
        <v>17.5</v>
      </c>
      <c r="E230" s="14" t="s">
        <v>212</v>
      </c>
    </row>
    <row r="231" spans="1:7">
      <c r="A231" s="45" t="str">
        <f>IF(COUNTIF($B$2:B231,B231)=1,"ok","dup")</f>
        <v>ok</v>
      </c>
      <c r="B231" s="45" t="str">
        <f t="shared" si="3"/>
        <v>Cebus_capucinus10</v>
      </c>
      <c r="C231" s="6" t="s">
        <v>309</v>
      </c>
      <c r="D231" s="7">
        <v>10</v>
      </c>
      <c r="E231" s="14" t="s">
        <v>213</v>
      </c>
    </row>
    <row r="232" spans="1:7">
      <c r="A232" s="45" t="str">
        <f>IF(COUNTIF($B$2:B232,B232)=1,"ok","dup")</f>
        <v>dup</v>
      </c>
      <c r="B232" s="45" t="str">
        <f t="shared" si="3"/>
        <v>Cebus_capucinus15</v>
      </c>
      <c r="C232" s="6" t="s">
        <v>309</v>
      </c>
      <c r="D232" s="7">
        <v>15</v>
      </c>
      <c r="E232" s="14" t="s">
        <v>211</v>
      </c>
    </row>
    <row r="233" spans="1:7">
      <c r="A233" s="45" t="str">
        <f>IF(COUNTIF($B$2:B233,B233)=1,"ok","dup")</f>
        <v>dup</v>
      </c>
      <c r="B233" s="45" t="str">
        <f t="shared" si="3"/>
        <v>Cebus_capucinus10</v>
      </c>
      <c r="C233" s="6" t="s">
        <v>309</v>
      </c>
      <c r="D233" s="7">
        <v>10</v>
      </c>
      <c r="E233" s="14" t="s">
        <v>220</v>
      </c>
      <c r="F233" s="14" t="s">
        <v>310</v>
      </c>
      <c r="G233" s="6" t="s">
        <v>235</v>
      </c>
    </row>
    <row r="234" spans="1:7">
      <c r="A234" s="45" t="str">
        <f>IF(COUNTIF($B$2:B234,B234)=1,"ok","dup")</f>
        <v>dup</v>
      </c>
      <c r="B234" s="45" t="str">
        <f t="shared" si="3"/>
        <v>Cebus_capucinus10</v>
      </c>
      <c r="C234" s="6" t="s">
        <v>309</v>
      </c>
      <c r="D234" s="7">
        <v>10</v>
      </c>
      <c r="E234" s="14" t="s">
        <v>220</v>
      </c>
      <c r="F234" s="14" t="s">
        <v>311</v>
      </c>
    </row>
    <row r="235" spans="1:7">
      <c r="A235" s="45" t="str">
        <f>IF(COUNTIF($B$2:B235,B235)=1,"ok","dup")</f>
        <v>dup</v>
      </c>
      <c r="B235" s="45" t="str">
        <f t="shared" si="3"/>
        <v>Cebus_capucinus13</v>
      </c>
      <c r="C235" s="6" t="s">
        <v>309</v>
      </c>
      <c r="D235" s="7">
        <v>13</v>
      </c>
      <c r="E235" s="14" t="s">
        <v>220</v>
      </c>
      <c r="F235" s="14" t="s">
        <v>311</v>
      </c>
    </row>
    <row r="236" spans="1:7">
      <c r="A236" s="45" t="str">
        <f>IF(COUNTIF($B$2:B236,B236)=1,"ok","dup")</f>
        <v>dup</v>
      </c>
      <c r="B236" s="45" t="str">
        <f t="shared" si="3"/>
        <v>Cebus_capucinus15</v>
      </c>
      <c r="C236" s="6" t="s">
        <v>309</v>
      </c>
      <c r="D236" s="7">
        <v>15</v>
      </c>
      <c r="E236" s="14" t="s">
        <v>220</v>
      </c>
      <c r="F236" s="14" t="s">
        <v>311</v>
      </c>
    </row>
    <row r="237" spans="1:7">
      <c r="A237" s="45" t="str">
        <f>IF(COUNTIF($B$2:B237,B237)=1,"ok","dup")</f>
        <v>ok</v>
      </c>
      <c r="B237" s="45" t="str">
        <f t="shared" si="3"/>
        <v>Cebus_capucinus16</v>
      </c>
      <c r="C237" s="6" t="s">
        <v>309</v>
      </c>
      <c r="D237" s="7">
        <v>16</v>
      </c>
      <c r="E237" s="14" t="s">
        <v>220</v>
      </c>
      <c r="F237" s="14" t="s">
        <v>312</v>
      </c>
    </row>
    <row r="238" spans="1:7">
      <c r="A238" s="45" t="str">
        <f>IF(COUNTIF($B$2:B238,B238)=1,"ok","dup")</f>
        <v>dup</v>
      </c>
      <c r="B238" s="45" t="str">
        <f t="shared" si="3"/>
        <v>Cebus_capucinus16</v>
      </c>
      <c r="C238" s="6" t="s">
        <v>309</v>
      </c>
      <c r="D238" s="7">
        <v>16</v>
      </c>
      <c r="E238" s="14" t="s">
        <v>220</v>
      </c>
      <c r="F238" s="14" t="s">
        <v>311</v>
      </c>
    </row>
    <row r="239" spans="1:7">
      <c r="A239" s="45" t="str">
        <f>IF(COUNTIF($B$2:B239,B239)=1,"ok","dup")</f>
        <v>ok</v>
      </c>
      <c r="B239" s="45" t="str">
        <f t="shared" si="3"/>
        <v>Cebus_capucinus17</v>
      </c>
      <c r="C239" s="6" t="s">
        <v>309</v>
      </c>
      <c r="D239" s="7">
        <v>17</v>
      </c>
      <c r="E239" s="14" t="s">
        <v>220</v>
      </c>
      <c r="F239" s="14" t="s">
        <v>313</v>
      </c>
    </row>
    <row r="240" spans="1:7">
      <c r="A240" s="45" t="str">
        <f>IF(COUNTIF($B$2:B240,B240)=1,"ok","dup")</f>
        <v>dup</v>
      </c>
      <c r="B240" s="45" t="str">
        <f t="shared" si="3"/>
        <v>Cebus_capucinus17.5</v>
      </c>
      <c r="C240" s="6" t="s">
        <v>309</v>
      </c>
      <c r="D240" s="7">
        <v>17.5</v>
      </c>
      <c r="E240" s="14" t="s">
        <v>220</v>
      </c>
      <c r="F240" s="14" t="s">
        <v>314</v>
      </c>
      <c r="G240" s="6" t="s">
        <v>228</v>
      </c>
    </row>
    <row r="241" spans="1:7">
      <c r="A241" s="45" t="str">
        <f>IF(COUNTIF($B$2:B241,B241)=1,"ok","dup")</f>
        <v>ok</v>
      </c>
      <c r="B241" s="45" t="str">
        <f t="shared" si="3"/>
        <v>Cebus_capucinus20</v>
      </c>
      <c r="C241" s="6" t="s">
        <v>309</v>
      </c>
      <c r="D241" s="7">
        <v>20</v>
      </c>
      <c r="E241" s="14" t="s">
        <v>220</v>
      </c>
      <c r="F241" s="14" t="s">
        <v>313</v>
      </c>
    </row>
    <row r="242" spans="1:7">
      <c r="A242" s="45" t="str">
        <f>IF(COUNTIF($B$2:B242,B242)=1,"ok","dup")</f>
        <v>ok</v>
      </c>
      <c r="B242" s="45" t="str">
        <f t="shared" si="3"/>
        <v>Cebus_capucinus21</v>
      </c>
      <c r="C242" s="6" t="s">
        <v>309</v>
      </c>
      <c r="D242" s="7">
        <v>21</v>
      </c>
      <c r="E242" s="14" t="s">
        <v>220</v>
      </c>
      <c r="F242" s="14" t="s">
        <v>313</v>
      </c>
    </row>
    <row r="243" spans="1:7">
      <c r="A243" s="45" t="str">
        <f>IF(COUNTIF($B$2:B243,B243)=1,"ok","dup")</f>
        <v>ok</v>
      </c>
      <c r="B243" s="45" t="str">
        <f t="shared" si="3"/>
        <v>Cebus_capucinus26</v>
      </c>
      <c r="C243" s="6" t="s">
        <v>309</v>
      </c>
      <c r="D243" s="7">
        <v>26</v>
      </c>
      <c r="E243" s="14" t="s">
        <v>220</v>
      </c>
      <c r="F243" s="14" t="s">
        <v>312</v>
      </c>
    </row>
    <row r="244" spans="1:7">
      <c r="A244" s="45" t="str">
        <f>IF(COUNTIF($B$2:B244,B244)=1,"ok","dup")</f>
        <v>dup</v>
      </c>
      <c r="B244" s="45" t="str">
        <f t="shared" si="3"/>
        <v>Cebus_capucinus26</v>
      </c>
      <c r="C244" s="6" t="s">
        <v>309</v>
      </c>
      <c r="D244" s="7">
        <v>26</v>
      </c>
      <c r="E244" s="14" t="s">
        <v>220</v>
      </c>
      <c r="F244" s="14" t="s">
        <v>311</v>
      </c>
    </row>
    <row r="245" spans="1:7">
      <c r="A245" s="45" t="str">
        <f>IF(COUNTIF($B$2:B245,B245)=1,"ok","dup")</f>
        <v>ok</v>
      </c>
      <c r="B245" s="45" t="str">
        <f t="shared" si="3"/>
        <v>Cebus_capucinus27</v>
      </c>
      <c r="C245" s="6" t="s">
        <v>309</v>
      </c>
      <c r="D245" s="7">
        <v>27</v>
      </c>
      <c r="E245" s="14" t="s">
        <v>220</v>
      </c>
      <c r="F245" s="14" t="s">
        <v>311</v>
      </c>
    </row>
    <row r="246" spans="1:7">
      <c r="A246" s="45" t="str">
        <f>IF(COUNTIF($B$2:B246,B246)=1,"ok","dup")</f>
        <v>dup</v>
      </c>
      <c r="B246" s="45" t="str">
        <f t="shared" si="3"/>
        <v>Cebus_capucinus27</v>
      </c>
      <c r="C246" s="6" t="s">
        <v>309</v>
      </c>
      <c r="D246" s="7">
        <v>27</v>
      </c>
      <c r="E246" s="14" t="s">
        <v>220</v>
      </c>
      <c r="F246" s="14" t="s">
        <v>311</v>
      </c>
    </row>
    <row r="247" spans="1:7">
      <c r="A247" s="45" t="str">
        <f>IF(COUNTIF($B$2:B247,B247)=1,"ok","dup")</f>
        <v>ok</v>
      </c>
      <c r="B247" s="45" t="str">
        <f t="shared" si="3"/>
        <v>Cebus_capucinus30</v>
      </c>
      <c r="C247" s="6" t="s">
        <v>309</v>
      </c>
      <c r="D247" s="7">
        <v>30</v>
      </c>
      <c r="E247" s="14" t="s">
        <v>220</v>
      </c>
      <c r="F247" s="14" t="s">
        <v>311</v>
      </c>
    </row>
    <row r="248" spans="1:7">
      <c r="A248" s="45" t="str">
        <f>IF(COUNTIF($B$2:B248,B248)=1,"ok","dup")</f>
        <v>ok</v>
      </c>
      <c r="B248" s="45" t="str">
        <f t="shared" si="3"/>
        <v>Cebus_capucinus31</v>
      </c>
      <c r="C248" s="6" t="s">
        <v>309</v>
      </c>
      <c r="D248" s="7">
        <v>31</v>
      </c>
      <c r="E248" s="14" t="s">
        <v>220</v>
      </c>
      <c r="F248" s="14" t="s">
        <v>311</v>
      </c>
    </row>
    <row r="249" spans="1:7">
      <c r="A249" s="45" t="str">
        <f>IF(COUNTIF($B$2:B249,B249)=1,"ok","dup")</f>
        <v>dup</v>
      </c>
      <c r="B249" s="45" t="str">
        <f t="shared" si="3"/>
        <v>Cebus_capucinus31</v>
      </c>
      <c r="C249" s="6" t="s">
        <v>309</v>
      </c>
      <c r="D249" s="7">
        <v>31</v>
      </c>
      <c r="E249" s="14" t="s">
        <v>220</v>
      </c>
      <c r="F249" s="14" t="s">
        <v>311</v>
      </c>
    </row>
    <row r="250" spans="1:7">
      <c r="A250" s="45" t="str">
        <f>IF(COUNTIF($B$2:B250,B250)=1,"ok","dup")</f>
        <v>ok</v>
      </c>
      <c r="B250" s="45" t="str">
        <f t="shared" si="3"/>
        <v>Cebus_capucinus5</v>
      </c>
      <c r="C250" s="6" t="s">
        <v>309</v>
      </c>
      <c r="D250" s="7">
        <v>5</v>
      </c>
      <c r="E250" s="14" t="s">
        <v>220</v>
      </c>
      <c r="F250" s="14" t="s">
        <v>311</v>
      </c>
    </row>
    <row r="251" spans="1:7">
      <c r="A251" s="45" t="str">
        <f>IF(COUNTIF($B$2:B251,B251)=1,"ok","dup")</f>
        <v>ok</v>
      </c>
      <c r="B251" s="45" t="str">
        <f t="shared" si="3"/>
        <v>Cebus_capucinus6</v>
      </c>
      <c r="C251" s="6" t="s">
        <v>309</v>
      </c>
      <c r="D251" s="7">
        <v>6</v>
      </c>
      <c r="E251" s="14" t="s">
        <v>220</v>
      </c>
      <c r="F251" s="14" t="s">
        <v>315</v>
      </c>
      <c r="G251" s="6" t="s">
        <v>222</v>
      </c>
    </row>
    <row r="252" spans="1:7">
      <c r="A252" s="45" t="str">
        <f>IF(COUNTIF($B$2:B252,B252)=1,"ok","dup")</f>
        <v>ok</v>
      </c>
      <c r="B252" s="45" t="str">
        <f t="shared" si="3"/>
        <v>Cebus_capucinus8</v>
      </c>
      <c r="C252" s="6" t="s">
        <v>309</v>
      </c>
      <c r="D252" s="7">
        <v>8</v>
      </c>
      <c r="E252" s="14" t="s">
        <v>220</v>
      </c>
      <c r="F252" s="14" t="s">
        <v>311</v>
      </c>
    </row>
    <row r="253" spans="1:7">
      <c r="A253" s="45" t="str">
        <f>IF(COUNTIF($B$2:B253,B253)=1,"ok","dup")</f>
        <v>ok</v>
      </c>
      <c r="B253" s="45" t="str">
        <f t="shared" si="3"/>
        <v>Cebus_capucinus9</v>
      </c>
      <c r="C253" s="6" t="s">
        <v>309</v>
      </c>
      <c r="D253" s="7">
        <v>9</v>
      </c>
      <c r="E253" s="14" t="s">
        <v>220</v>
      </c>
      <c r="F253" s="14" t="s">
        <v>315</v>
      </c>
      <c r="G253" s="6" t="s">
        <v>222</v>
      </c>
    </row>
    <row r="254" spans="1:7">
      <c r="A254" s="45" t="str">
        <f>IF(COUNTIF($B$2:B254,B254)=1,"ok","dup")</f>
        <v>ok</v>
      </c>
      <c r="B254" s="45" t="str">
        <f t="shared" si="3"/>
        <v>Cebus_olivaceus20</v>
      </c>
      <c r="C254" s="6" t="s">
        <v>316</v>
      </c>
      <c r="D254" s="7">
        <v>20</v>
      </c>
      <c r="E254" s="14" t="s">
        <v>216</v>
      </c>
      <c r="F254" s="14" t="s">
        <v>317</v>
      </c>
    </row>
    <row r="255" spans="1:7">
      <c r="A255" s="45" t="str">
        <f>IF(COUNTIF($B$2:B255,B255)=1,"ok","dup")</f>
        <v>ok</v>
      </c>
      <c r="B255" s="45" t="str">
        <f t="shared" si="3"/>
        <v>Cebus_olivaceus18.3</v>
      </c>
      <c r="C255" s="6" t="s">
        <v>316</v>
      </c>
      <c r="D255" s="7">
        <v>18.3</v>
      </c>
      <c r="E255" s="14" t="s">
        <v>212</v>
      </c>
    </row>
    <row r="256" spans="1:7">
      <c r="A256" s="45" t="str">
        <f>IF(COUNTIF($B$2:B256,B256)=1,"ok","dup")</f>
        <v>dup</v>
      </c>
      <c r="B256" s="45" t="str">
        <f t="shared" si="3"/>
        <v>Cebus_olivaceus20</v>
      </c>
      <c r="C256" s="6" t="s">
        <v>316</v>
      </c>
      <c r="D256" s="7">
        <v>20</v>
      </c>
      <c r="E256" s="14" t="s">
        <v>212</v>
      </c>
    </row>
    <row r="257" spans="1:6">
      <c r="A257" s="45" t="str">
        <f>IF(COUNTIF($B$2:B257,B257)=1,"ok","dup")</f>
        <v>ok</v>
      </c>
      <c r="B257" s="45" t="str">
        <f t="shared" si="3"/>
        <v>Cebus_olivaceus19.3</v>
      </c>
      <c r="C257" s="6" t="s">
        <v>316</v>
      </c>
      <c r="D257" s="7">
        <v>19.3</v>
      </c>
      <c r="E257" s="14" t="s">
        <v>218</v>
      </c>
      <c r="F257" s="14" t="s">
        <v>318</v>
      </c>
    </row>
    <row r="258" spans="1:6">
      <c r="A258" s="45" t="str">
        <f>IF(COUNTIF($B$2:B258,B258)=1,"ok","dup")</f>
        <v>ok</v>
      </c>
      <c r="B258" s="45" t="str">
        <f t="shared" ref="B258:B321" si="4">C258&amp;D258</f>
        <v>Cebus_olivaceus33</v>
      </c>
      <c r="C258" s="6" t="s">
        <v>316</v>
      </c>
      <c r="D258" s="7">
        <v>33</v>
      </c>
      <c r="E258" s="14" t="s">
        <v>213</v>
      </c>
    </row>
    <row r="259" spans="1:6">
      <c r="A259" s="45" t="str">
        <f>IF(COUNTIF($B$2:B259,B259)=1,"ok","dup")</f>
        <v>ok</v>
      </c>
      <c r="B259" s="45" t="str">
        <f t="shared" si="4"/>
        <v>Cebus_olivaceus21.5</v>
      </c>
      <c r="C259" s="6" t="s">
        <v>316</v>
      </c>
      <c r="D259" s="7">
        <v>21.5</v>
      </c>
      <c r="E259" s="14" t="s">
        <v>211</v>
      </c>
    </row>
    <row r="260" spans="1:6">
      <c r="A260" s="45" t="str">
        <f>IF(COUNTIF($B$2:B260,B260)=1,"ok","dup")</f>
        <v>ok</v>
      </c>
      <c r="B260" s="45" t="str">
        <f t="shared" si="4"/>
        <v>Cercocebus_agilis15</v>
      </c>
      <c r="C260" s="6" t="s">
        <v>56</v>
      </c>
      <c r="D260" s="7">
        <v>15</v>
      </c>
      <c r="E260" s="14" t="s">
        <v>145</v>
      </c>
    </row>
    <row r="261" spans="1:6">
      <c r="A261" s="45" t="str">
        <f>IF(COUNTIF($B$2:B261,B261)=1,"ok","dup")</f>
        <v>ok</v>
      </c>
      <c r="B261" s="45" t="str">
        <f t="shared" si="4"/>
        <v>Cercocebus_galeritus19</v>
      </c>
      <c r="C261" s="6" t="s">
        <v>319</v>
      </c>
      <c r="D261" s="7">
        <v>19</v>
      </c>
      <c r="E261" s="14" t="s">
        <v>216</v>
      </c>
      <c r="F261" s="14" t="s">
        <v>320</v>
      </c>
    </row>
    <row r="262" spans="1:6">
      <c r="A262" s="45" t="str">
        <f>IF(COUNTIF($B$2:B262,B262)=1,"ok","dup")</f>
        <v>ok</v>
      </c>
      <c r="B262" s="45" t="str">
        <f t="shared" si="4"/>
        <v>Cercocebus_galeritus10.5</v>
      </c>
      <c r="C262" s="6" t="s">
        <v>319</v>
      </c>
      <c r="D262" s="7">
        <v>10.5</v>
      </c>
      <c r="E262" s="14" t="s">
        <v>212</v>
      </c>
    </row>
    <row r="263" spans="1:6">
      <c r="A263" s="45" t="str">
        <f>IF(COUNTIF($B$2:B263,B263)=1,"ok","dup")</f>
        <v>ok</v>
      </c>
      <c r="B263" s="45" t="str">
        <f t="shared" si="4"/>
        <v>Cercocebus_galeritus26</v>
      </c>
      <c r="C263" s="6" t="s">
        <v>319</v>
      </c>
      <c r="D263" s="7">
        <v>26</v>
      </c>
      <c r="E263" s="14" t="s">
        <v>212</v>
      </c>
    </row>
    <row r="264" spans="1:6">
      <c r="A264" s="45" t="str">
        <f>IF(COUNTIF($B$2:B264,B264)=1,"ok","dup")</f>
        <v>ok</v>
      </c>
      <c r="B264" s="45" t="str">
        <f t="shared" si="4"/>
        <v>Cercocebus_galeritus27</v>
      </c>
      <c r="C264" s="6" t="s">
        <v>319</v>
      </c>
      <c r="D264" s="7">
        <v>27</v>
      </c>
      <c r="E264" s="14" t="s">
        <v>218</v>
      </c>
      <c r="F264" s="14" t="s">
        <v>321</v>
      </c>
    </row>
    <row r="265" spans="1:6">
      <c r="A265" s="45" t="str">
        <f>IF(COUNTIF($B$2:B265,B265)=1,"ok","dup")</f>
        <v>dup</v>
      </c>
      <c r="B265" s="45" t="str">
        <f t="shared" si="4"/>
        <v>Cercocebus_galeritus26</v>
      </c>
      <c r="C265" s="6" t="s">
        <v>319</v>
      </c>
      <c r="D265" s="7">
        <v>26</v>
      </c>
      <c r="E265" s="14" t="s">
        <v>213</v>
      </c>
    </row>
    <row r="266" spans="1:6">
      <c r="A266" s="45" t="str">
        <f>IF(COUNTIF($B$2:B266,B266)=1,"ok","dup")</f>
        <v>ok</v>
      </c>
      <c r="B266" s="45" t="str">
        <f t="shared" si="4"/>
        <v>Cercocebus_galeritus26.5</v>
      </c>
      <c r="C266" s="6" t="s">
        <v>319</v>
      </c>
      <c r="D266" s="7">
        <v>26.5</v>
      </c>
      <c r="E266" s="14" t="s">
        <v>211</v>
      </c>
    </row>
    <row r="267" spans="1:6">
      <c r="A267" s="45" t="str">
        <f>IF(COUNTIF($B$2:B267,B267)=1,"ok","dup")</f>
        <v>ok</v>
      </c>
      <c r="B267" s="45" t="str">
        <f t="shared" si="4"/>
        <v>Cercocebus_torquatus18.5</v>
      </c>
      <c r="C267" s="6" t="s">
        <v>322</v>
      </c>
      <c r="D267" s="7">
        <v>18.5</v>
      </c>
      <c r="E267" s="14" t="s">
        <v>212</v>
      </c>
    </row>
    <row r="268" spans="1:6">
      <c r="A268" s="45" t="str">
        <f>IF(COUNTIF($B$2:B268,B268)=1,"ok","dup")</f>
        <v>ok</v>
      </c>
      <c r="B268" s="45" t="str">
        <f t="shared" si="4"/>
        <v>Cercocebus_torquatus35</v>
      </c>
      <c r="C268" s="6" t="s">
        <v>322</v>
      </c>
      <c r="D268" s="7">
        <v>35</v>
      </c>
      <c r="E268" s="14" t="s">
        <v>212</v>
      </c>
    </row>
    <row r="269" spans="1:6">
      <c r="A269" s="45" t="str">
        <f>IF(COUNTIF($B$2:B269,B269)=1,"ok","dup")</f>
        <v>ok</v>
      </c>
      <c r="B269" s="45" t="str">
        <f t="shared" si="4"/>
        <v>Cercocebus_torquatus37</v>
      </c>
      <c r="C269" s="6" t="s">
        <v>322</v>
      </c>
      <c r="D269" s="7">
        <v>37</v>
      </c>
      <c r="E269" s="14" t="s">
        <v>211</v>
      </c>
    </row>
    <row r="270" spans="1:6">
      <c r="A270" s="45" t="str">
        <f>IF(COUNTIF($B$2:B270,B270)=1,"ok","dup")</f>
        <v>ok</v>
      </c>
      <c r="B270" s="45" t="str">
        <f t="shared" si="4"/>
        <v>Cercocebus_torquatus_atys95</v>
      </c>
      <c r="C270" s="6" t="s">
        <v>57</v>
      </c>
      <c r="D270" s="7">
        <v>95</v>
      </c>
      <c r="E270" s="14" t="s">
        <v>211</v>
      </c>
    </row>
    <row r="271" spans="1:6">
      <c r="A271" s="45" t="str">
        <f>IF(COUNTIF($B$2:B271,B271)=1,"ok","dup")</f>
        <v>ok</v>
      </c>
      <c r="B271" s="45" t="str">
        <f t="shared" si="4"/>
        <v>Cercopithecus_ascanius26.3</v>
      </c>
      <c r="C271" s="6" t="s">
        <v>58</v>
      </c>
      <c r="D271" s="7">
        <v>26.3</v>
      </c>
      <c r="E271" s="14" t="s">
        <v>216</v>
      </c>
      <c r="F271" s="14" t="s">
        <v>323</v>
      </c>
    </row>
    <row r="272" spans="1:6">
      <c r="A272" s="45" t="str">
        <f>IF(COUNTIF($B$2:B272,B272)=1,"ok","dup")</f>
        <v>ok</v>
      </c>
      <c r="B272" s="45" t="str">
        <f t="shared" si="4"/>
        <v>Cercopithecus_ascanius32.5</v>
      </c>
      <c r="C272" s="6" t="s">
        <v>58</v>
      </c>
      <c r="D272" s="7">
        <v>32.5</v>
      </c>
      <c r="E272" s="14" t="s">
        <v>216</v>
      </c>
      <c r="F272" s="14" t="s">
        <v>323</v>
      </c>
    </row>
    <row r="273" spans="1:7">
      <c r="A273" s="45" t="str">
        <f>IF(COUNTIF($B$2:B273,B273)=1,"ok","dup")</f>
        <v>ok</v>
      </c>
      <c r="B273" s="45" t="str">
        <f t="shared" si="4"/>
        <v>Cercopithecus_ascanius20</v>
      </c>
      <c r="C273" s="6" t="s">
        <v>58</v>
      </c>
      <c r="D273" s="7">
        <v>20</v>
      </c>
      <c r="E273" s="14" t="s">
        <v>212</v>
      </c>
    </row>
    <row r="274" spans="1:7">
      <c r="A274" s="45" t="str">
        <f>IF(COUNTIF($B$2:B274,B274)=1,"ok","dup")</f>
        <v>ok</v>
      </c>
      <c r="B274" s="45" t="str">
        <f t="shared" si="4"/>
        <v>Cercopithecus_ascanius22</v>
      </c>
      <c r="C274" s="6" t="s">
        <v>58</v>
      </c>
      <c r="D274" s="7">
        <v>22</v>
      </c>
      <c r="E274" s="14" t="s">
        <v>212</v>
      </c>
    </row>
    <row r="275" spans="1:7">
      <c r="A275" s="45" t="str">
        <f>IF(COUNTIF($B$2:B275,B275)=1,"ok","dup")</f>
        <v>ok</v>
      </c>
      <c r="B275" s="45" t="str">
        <f t="shared" si="4"/>
        <v>Cercopithecus_ascanius23</v>
      </c>
      <c r="C275" s="6" t="s">
        <v>58</v>
      </c>
      <c r="D275" s="7">
        <v>23</v>
      </c>
      <c r="E275" s="14" t="s">
        <v>212</v>
      </c>
    </row>
    <row r="276" spans="1:7">
      <c r="A276" s="45" t="str">
        <f>IF(COUNTIF($B$2:B276,B276)=1,"ok","dup")</f>
        <v>dup</v>
      </c>
      <c r="B276" s="45" t="str">
        <f t="shared" si="4"/>
        <v>Cercopithecus_ascanius32.5</v>
      </c>
      <c r="C276" s="6" t="s">
        <v>58</v>
      </c>
      <c r="D276" s="7">
        <v>32.5</v>
      </c>
      <c r="E276" s="14" t="s">
        <v>212</v>
      </c>
    </row>
    <row r="277" spans="1:7">
      <c r="A277" s="45" t="str">
        <f>IF(COUNTIF($B$2:B277,B277)=1,"ok","dup")</f>
        <v>ok</v>
      </c>
      <c r="B277" s="45" t="str">
        <f t="shared" si="4"/>
        <v>Cercopithecus_ascanius33</v>
      </c>
      <c r="C277" s="6" t="s">
        <v>58</v>
      </c>
      <c r="D277" s="7">
        <v>33</v>
      </c>
      <c r="E277" s="14" t="s">
        <v>212</v>
      </c>
    </row>
    <row r="278" spans="1:7">
      <c r="A278" s="45" t="str">
        <f>IF(COUNTIF($B$2:B278,B278)=1,"ok","dup")</f>
        <v>ok</v>
      </c>
      <c r="B278" s="45" t="str">
        <f t="shared" si="4"/>
        <v>Cercopithecus_ascanius34</v>
      </c>
      <c r="C278" s="6" t="s">
        <v>58</v>
      </c>
      <c r="D278" s="7">
        <v>34</v>
      </c>
      <c r="E278" s="14" t="s">
        <v>212</v>
      </c>
    </row>
    <row r="279" spans="1:7">
      <c r="A279" s="45" t="str">
        <f>IF(COUNTIF($B$2:B279,B279)=1,"ok","dup")</f>
        <v>ok</v>
      </c>
      <c r="B279" s="45" t="str">
        <f t="shared" si="4"/>
        <v>Cercopithecus_ascanius37.5</v>
      </c>
      <c r="C279" s="6" t="s">
        <v>58</v>
      </c>
      <c r="D279" s="7">
        <v>37.5</v>
      </c>
      <c r="E279" s="14" t="s">
        <v>212</v>
      </c>
    </row>
    <row r="280" spans="1:7">
      <c r="A280" s="45" t="str">
        <f>IF(COUNTIF($B$2:B280,B280)=1,"ok","dup")</f>
        <v>dup</v>
      </c>
      <c r="B280" s="45" t="str">
        <f t="shared" si="4"/>
        <v>Cercopithecus_ascanius32.5</v>
      </c>
      <c r="C280" s="6" t="s">
        <v>58</v>
      </c>
      <c r="D280" s="7">
        <v>32.5</v>
      </c>
      <c r="E280" s="14" t="s">
        <v>218</v>
      </c>
      <c r="F280" s="14" t="s">
        <v>324</v>
      </c>
    </row>
    <row r="281" spans="1:7">
      <c r="A281" s="45" t="str">
        <f>IF(COUNTIF($B$2:B281,B281)=1,"ok","dup")</f>
        <v>ok</v>
      </c>
      <c r="B281" s="45" t="str">
        <f t="shared" si="4"/>
        <v>Cercopithecus_ascanius21</v>
      </c>
      <c r="C281" s="6" t="s">
        <v>58</v>
      </c>
      <c r="D281" s="7">
        <v>21</v>
      </c>
      <c r="E281" s="14" t="s">
        <v>211</v>
      </c>
    </row>
    <row r="282" spans="1:7">
      <c r="A282" s="45" t="str">
        <f>IF(COUNTIF($B$2:B282,B282)=1,"ok","dup")</f>
        <v>ok</v>
      </c>
      <c r="B282" s="45" t="str">
        <f t="shared" si="4"/>
        <v>Cercopithecus_ascanius14</v>
      </c>
      <c r="C282" s="6" t="s">
        <v>58</v>
      </c>
      <c r="D282" s="7">
        <v>14</v>
      </c>
      <c r="E282" s="14" t="s">
        <v>220</v>
      </c>
      <c r="F282" s="14" t="s">
        <v>325</v>
      </c>
    </row>
    <row r="283" spans="1:7">
      <c r="A283" s="45" t="str">
        <f>IF(COUNTIF($B$2:B283,B283)=1,"ok","dup")</f>
        <v>ok</v>
      </c>
      <c r="B283" s="45" t="str">
        <f t="shared" si="4"/>
        <v>Cercopithecus_ascanius16</v>
      </c>
      <c r="C283" s="6" t="s">
        <v>58</v>
      </c>
      <c r="D283" s="7">
        <v>16</v>
      </c>
      <c r="E283" s="14" t="s">
        <v>220</v>
      </c>
      <c r="F283" s="14" t="s">
        <v>325</v>
      </c>
    </row>
    <row r="284" spans="1:7">
      <c r="A284" s="45" t="str">
        <f>IF(COUNTIF($B$2:B284,B284)=1,"ok","dup")</f>
        <v>ok</v>
      </c>
      <c r="B284" s="45" t="str">
        <f t="shared" si="4"/>
        <v>Cercopithecus_ascanius17</v>
      </c>
      <c r="C284" s="6" t="s">
        <v>58</v>
      </c>
      <c r="D284" s="7">
        <v>17</v>
      </c>
      <c r="E284" s="14" t="s">
        <v>220</v>
      </c>
      <c r="F284" s="14" t="s">
        <v>326</v>
      </c>
    </row>
    <row r="285" spans="1:7">
      <c r="A285" s="45" t="str">
        <f>IF(COUNTIF($B$2:B285,B285)=1,"ok","dup")</f>
        <v>dup</v>
      </c>
      <c r="B285" s="45" t="str">
        <f t="shared" si="4"/>
        <v>Cercopithecus_ascanius22</v>
      </c>
      <c r="C285" s="6" t="s">
        <v>58</v>
      </c>
      <c r="D285" s="7">
        <v>22</v>
      </c>
      <c r="E285" s="14" t="s">
        <v>220</v>
      </c>
      <c r="F285" s="14" t="s">
        <v>323</v>
      </c>
    </row>
    <row r="286" spans="1:7">
      <c r="A286" s="45" t="str">
        <f>IF(COUNTIF($B$2:B286,B286)=1,"ok","dup")</f>
        <v>ok</v>
      </c>
      <c r="B286" s="45" t="str">
        <f t="shared" si="4"/>
        <v>Cercopithecus_ascanius24</v>
      </c>
      <c r="C286" s="6" t="s">
        <v>58</v>
      </c>
      <c r="D286" s="7">
        <v>24</v>
      </c>
      <c r="E286" s="14" t="s">
        <v>220</v>
      </c>
      <c r="F286" s="14" t="s">
        <v>325</v>
      </c>
    </row>
    <row r="287" spans="1:7">
      <c r="A287" s="45" t="str">
        <f>IF(COUNTIF($B$2:B287,B287)=1,"ok","dup")</f>
        <v>dup</v>
      </c>
      <c r="B287" s="45" t="str">
        <f t="shared" si="4"/>
        <v>Cercopithecus_ascanius26.3</v>
      </c>
      <c r="C287" s="6" t="s">
        <v>58</v>
      </c>
      <c r="D287" s="7">
        <v>26.3</v>
      </c>
      <c r="E287" s="14" t="s">
        <v>220</v>
      </c>
      <c r="F287" s="14" t="s">
        <v>327</v>
      </c>
      <c r="G287" s="6" t="s">
        <v>228</v>
      </c>
    </row>
    <row r="288" spans="1:7">
      <c r="A288" s="45" t="str">
        <f>IF(COUNTIF($B$2:B288,B288)=1,"ok","dup")</f>
        <v>ok</v>
      </c>
      <c r="B288" s="45" t="str">
        <f t="shared" si="4"/>
        <v>Cercopithecus_ascanius31</v>
      </c>
      <c r="C288" s="6" t="s">
        <v>58</v>
      </c>
      <c r="D288" s="7">
        <v>31</v>
      </c>
      <c r="E288" s="14" t="s">
        <v>220</v>
      </c>
      <c r="F288" s="14" t="s">
        <v>325</v>
      </c>
    </row>
    <row r="289" spans="1:7">
      <c r="A289" s="45" t="str">
        <f>IF(COUNTIF($B$2:B289,B289)=1,"ok","dup")</f>
        <v>dup</v>
      </c>
      <c r="B289" s="45" t="str">
        <f t="shared" si="4"/>
        <v>Cercopithecus_ascanius32.5</v>
      </c>
      <c r="C289" s="6" t="s">
        <v>58</v>
      </c>
      <c r="D289" s="7">
        <v>32.5</v>
      </c>
      <c r="E289" s="14" t="s">
        <v>220</v>
      </c>
      <c r="F289" s="14" t="s">
        <v>327</v>
      </c>
      <c r="G289" s="6" t="s">
        <v>228</v>
      </c>
    </row>
    <row r="290" spans="1:7">
      <c r="A290" s="45" t="str">
        <f>IF(COUNTIF($B$2:B290,B290)=1,"ok","dup")</f>
        <v>ok</v>
      </c>
      <c r="B290" s="45" t="str">
        <f t="shared" si="4"/>
        <v>Cercopithecus_ascanius34.4</v>
      </c>
      <c r="C290" s="6" t="s">
        <v>58</v>
      </c>
      <c r="D290" s="7">
        <v>34.4</v>
      </c>
      <c r="E290" s="14" t="s">
        <v>220</v>
      </c>
      <c r="F290" s="14" t="s">
        <v>328</v>
      </c>
      <c r="G290" s="6" t="s">
        <v>226</v>
      </c>
    </row>
    <row r="291" spans="1:7">
      <c r="A291" s="45" t="str">
        <f>IF(COUNTIF($B$2:B291,B291)=1,"ok","dup")</f>
        <v>ok</v>
      </c>
      <c r="B291" s="45" t="str">
        <f t="shared" si="4"/>
        <v>Cercopithecus_ascanius35</v>
      </c>
      <c r="C291" s="6" t="s">
        <v>58</v>
      </c>
      <c r="D291" s="7">
        <v>35</v>
      </c>
      <c r="E291" s="14" t="s">
        <v>220</v>
      </c>
      <c r="F291" s="14" t="s">
        <v>329</v>
      </c>
      <c r="G291" s="6" t="s">
        <v>330</v>
      </c>
    </row>
    <row r="292" spans="1:7">
      <c r="A292" s="45" t="str">
        <f>IF(COUNTIF($B$2:B292,B292)=1,"ok","dup")</f>
        <v>ok</v>
      </c>
      <c r="B292" s="45" t="str">
        <f t="shared" si="4"/>
        <v>Cercopithecus_campbelli10.5</v>
      </c>
      <c r="C292" s="6" t="s">
        <v>331</v>
      </c>
      <c r="D292" s="7">
        <v>10.5</v>
      </c>
      <c r="E292" s="14" t="s">
        <v>212</v>
      </c>
    </row>
    <row r="293" spans="1:7">
      <c r="A293" s="45" t="str">
        <f>IF(COUNTIF($B$2:B293,B293)=1,"ok","dup")</f>
        <v>ok</v>
      </c>
      <c r="B293" s="45" t="str">
        <f t="shared" si="4"/>
        <v>Cercopithecus_campbelli9</v>
      </c>
      <c r="C293" s="6" t="s">
        <v>331</v>
      </c>
      <c r="D293" s="7">
        <v>9</v>
      </c>
      <c r="E293" s="14" t="s">
        <v>213</v>
      </c>
    </row>
    <row r="294" spans="1:7">
      <c r="A294" s="45" t="str">
        <f>IF(COUNTIF($B$2:B294,B294)=1,"ok","dup")</f>
        <v>ok</v>
      </c>
      <c r="B294" s="45" t="str">
        <f t="shared" si="4"/>
        <v>Cercopithecus_campbelli14</v>
      </c>
      <c r="C294" s="6" t="s">
        <v>331</v>
      </c>
      <c r="D294" s="7">
        <v>14</v>
      </c>
      <c r="E294" s="14" t="s">
        <v>211</v>
      </c>
    </row>
    <row r="295" spans="1:7">
      <c r="A295" s="45" t="str">
        <f>IF(COUNTIF($B$2:B295,B295)=1,"ok","dup")</f>
        <v>ok</v>
      </c>
      <c r="B295" s="45" t="str">
        <f t="shared" si="4"/>
        <v>Cercopithecus_campbelli5</v>
      </c>
      <c r="C295" s="6" t="s">
        <v>331</v>
      </c>
      <c r="D295" s="7">
        <v>5</v>
      </c>
      <c r="E295" s="14" t="s">
        <v>214</v>
      </c>
      <c r="F295" s="14" t="s">
        <v>332</v>
      </c>
    </row>
    <row r="296" spans="1:7">
      <c r="A296" s="45" t="str">
        <f>IF(COUNTIF($B$2:B296,B296)=1,"ok","dup")</f>
        <v>ok</v>
      </c>
      <c r="B296" s="45" t="str">
        <f t="shared" si="4"/>
        <v>Cercopithecus_cephus10</v>
      </c>
      <c r="C296" s="6" t="s">
        <v>333</v>
      </c>
      <c r="D296" s="7">
        <v>10</v>
      </c>
      <c r="E296" s="14" t="s">
        <v>216</v>
      </c>
      <c r="F296" s="14" t="s">
        <v>320</v>
      </c>
    </row>
    <row r="297" spans="1:7">
      <c r="A297" s="45" t="str">
        <f>IF(COUNTIF($B$2:B297,B297)=1,"ok","dup")</f>
        <v>dup</v>
      </c>
      <c r="B297" s="45" t="str">
        <f t="shared" si="4"/>
        <v>Cercopithecus_cephus10</v>
      </c>
      <c r="C297" s="6" t="s">
        <v>333</v>
      </c>
      <c r="D297" s="7">
        <v>10</v>
      </c>
      <c r="E297" s="14" t="s">
        <v>212</v>
      </c>
    </row>
    <row r="298" spans="1:7">
      <c r="A298" s="45" t="str">
        <f>IF(COUNTIF($B$2:B298,B298)=1,"ok","dup")</f>
        <v>ok</v>
      </c>
      <c r="B298" s="45" t="str">
        <f t="shared" si="4"/>
        <v>Cercopithecus_cephus11.5</v>
      </c>
      <c r="C298" s="6" t="s">
        <v>333</v>
      </c>
      <c r="D298" s="7">
        <v>11.5</v>
      </c>
      <c r="E298" s="14" t="s">
        <v>212</v>
      </c>
    </row>
    <row r="299" spans="1:7">
      <c r="A299" s="45" t="str">
        <f>IF(COUNTIF($B$2:B299,B299)=1,"ok","dup")</f>
        <v>ok</v>
      </c>
      <c r="B299" s="45" t="str">
        <f t="shared" si="4"/>
        <v>Cercopithecus_diana14</v>
      </c>
      <c r="C299" s="6" t="s">
        <v>334</v>
      </c>
      <c r="D299" s="7">
        <v>14</v>
      </c>
      <c r="E299" s="14" t="s">
        <v>212</v>
      </c>
    </row>
    <row r="300" spans="1:7">
      <c r="A300" s="45" t="str">
        <f>IF(COUNTIF($B$2:B300,B300)=1,"ok","dup")</f>
        <v>ok</v>
      </c>
      <c r="B300" s="45" t="str">
        <f t="shared" si="4"/>
        <v>Cercopithecus_diana20</v>
      </c>
      <c r="C300" s="6" t="s">
        <v>334</v>
      </c>
      <c r="D300" s="7">
        <v>20</v>
      </c>
      <c r="E300" s="14" t="s">
        <v>212</v>
      </c>
    </row>
    <row r="301" spans="1:7">
      <c r="A301" s="45" t="str">
        <f>IF(COUNTIF($B$2:B301,B301)=1,"ok","dup")</f>
        <v>ok</v>
      </c>
      <c r="B301" s="45" t="str">
        <f t="shared" si="4"/>
        <v>Cercopithecus_diana35</v>
      </c>
      <c r="C301" s="6" t="s">
        <v>334</v>
      </c>
      <c r="D301" s="7">
        <v>35</v>
      </c>
      <c r="E301" s="14" t="s">
        <v>212</v>
      </c>
    </row>
    <row r="302" spans="1:7">
      <c r="A302" s="45" t="str">
        <f>IF(COUNTIF($B$2:B302,B302)=1,"ok","dup")</f>
        <v>ok</v>
      </c>
      <c r="B302" s="45" t="str">
        <f t="shared" si="4"/>
        <v>Cercopithecus_diana27.5</v>
      </c>
      <c r="C302" s="6" t="s">
        <v>334</v>
      </c>
      <c r="D302" s="7">
        <v>27.5</v>
      </c>
      <c r="E302" s="14" t="s">
        <v>211</v>
      </c>
    </row>
    <row r="303" spans="1:7">
      <c r="A303" s="45" t="str">
        <f>IF(COUNTIF($B$2:B303,B303)=1,"ok","dup")</f>
        <v>ok</v>
      </c>
      <c r="B303" s="45" t="str">
        <f t="shared" si="4"/>
        <v>Cercopithecus_diana5</v>
      </c>
      <c r="C303" s="6" t="s">
        <v>334</v>
      </c>
      <c r="D303" s="7">
        <v>5</v>
      </c>
      <c r="E303" s="14" t="s">
        <v>214</v>
      </c>
      <c r="F303" s="14" t="s">
        <v>335</v>
      </c>
    </row>
    <row r="304" spans="1:7">
      <c r="A304" s="45" t="str">
        <f>IF(COUNTIF($B$2:B304,B304)=1,"ok","dup")</f>
        <v>ok</v>
      </c>
      <c r="B304" s="45" t="str">
        <f t="shared" si="4"/>
        <v>Cercopithecus_erythrogaster30</v>
      </c>
      <c r="C304" s="6" t="s">
        <v>336</v>
      </c>
      <c r="D304" s="7">
        <v>30</v>
      </c>
      <c r="E304" s="14" t="s">
        <v>211</v>
      </c>
    </row>
    <row r="305" spans="1:6">
      <c r="A305" s="45" t="str">
        <f>IF(COUNTIF($B$2:B305,B305)=1,"ok","dup")</f>
        <v>ok</v>
      </c>
      <c r="B305" s="45" t="str">
        <f t="shared" si="4"/>
        <v>Cercopithecus_hamlyni10</v>
      </c>
      <c r="C305" s="6" t="s">
        <v>337</v>
      </c>
      <c r="D305" s="7">
        <v>10</v>
      </c>
      <c r="E305" s="14" t="s">
        <v>211</v>
      </c>
    </row>
    <row r="306" spans="1:6">
      <c r="A306" s="45" t="str">
        <f>IF(COUNTIF($B$2:B306,B306)=1,"ok","dup")</f>
        <v>ok</v>
      </c>
      <c r="B306" s="45" t="str">
        <f t="shared" si="4"/>
        <v>Cercopithecus_lhoesti17.4</v>
      </c>
      <c r="C306" s="6" t="s">
        <v>338</v>
      </c>
      <c r="D306" s="7">
        <v>17.399999999999999</v>
      </c>
      <c r="E306" s="14" t="s">
        <v>212</v>
      </c>
    </row>
    <row r="307" spans="1:6">
      <c r="A307" s="45" t="str">
        <f>IF(COUNTIF($B$2:B307,B307)=1,"ok","dup")</f>
        <v>ok</v>
      </c>
      <c r="B307" s="45" t="str">
        <f t="shared" si="4"/>
        <v>Cercopithecus_lhoesti11</v>
      </c>
      <c r="C307" s="6" t="s">
        <v>338</v>
      </c>
      <c r="D307" s="7">
        <v>11</v>
      </c>
      <c r="E307" s="14" t="s">
        <v>211</v>
      </c>
    </row>
    <row r="308" spans="1:6">
      <c r="A308" s="45" t="str">
        <f>IF(COUNTIF($B$2:B308,B308)=1,"ok","dup")</f>
        <v>ok</v>
      </c>
      <c r="B308" s="45" t="str">
        <f t="shared" si="4"/>
        <v>Cercopithecus_mitis18.7</v>
      </c>
      <c r="C308" s="6" t="s">
        <v>59</v>
      </c>
      <c r="D308" s="7">
        <v>18.7</v>
      </c>
      <c r="E308" s="14" t="s">
        <v>216</v>
      </c>
      <c r="F308" s="14" t="s">
        <v>323</v>
      </c>
    </row>
    <row r="309" spans="1:6">
      <c r="A309" s="45" t="str">
        <f>IF(COUNTIF($B$2:B309,B309)=1,"ok","dup")</f>
        <v>ok</v>
      </c>
      <c r="B309" s="45" t="str">
        <f t="shared" si="4"/>
        <v>Cercopithecus_mitis32.6</v>
      </c>
      <c r="C309" s="6" t="s">
        <v>59</v>
      </c>
      <c r="D309" s="7">
        <v>32.6</v>
      </c>
      <c r="E309" s="14" t="s">
        <v>216</v>
      </c>
      <c r="F309" s="14" t="s">
        <v>323</v>
      </c>
    </row>
    <row r="310" spans="1:6">
      <c r="A310" s="45" t="str">
        <f>IF(COUNTIF($B$2:B310,B310)=1,"ok","dup")</f>
        <v>ok</v>
      </c>
      <c r="B310" s="45" t="str">
        <f t="shared" si="4"/>
        <v>Cercopithecus_mitis10</v>
      </c>
      <c r="C310" s="6" t="s">
        <v>59</v>
      </c>
      <c r="D310" s="7">
        <v>10</v>
      </c>
      <c r="E310" s="14" t="s">
        <v>212</v>
      </c>
    </row>
    <row r="311" spans="1:6">
      <c r="A311" s="45" t="str">
        <f>IF(COUNTIF($B$2:B311,B311)=1,"ok","dup")</f>
        <v>ok</v>
      </c>
      <c r="B311" s="45" t="str">
        <f t="shared" si="4"/>
        <v>Cercopithecus_mitis11</v>
      </c>
      <c r="C311" s="6" t="s">
        <v>59</v>
      </c>
      <c r="D311" s="7">
        <v>11</v>
      </c>
      <c r="E311" s="14" t="s">
        <v>212</v>
      </c>
    </row>
    <row r="312" spans="1:6">
      <c r="A312" s="45" t="str">
        <f>IF(COUNTIF($B$2:B312,B312)=1,"ok","dup")</f>
        <v>ok</v>
      </c>
      <c r="B312" s="45" t="str">
        <f t="shared" si="4"/>
        <v>Cercopithecus_mitis12</v>
      </c>
      <c r="C312" s="6" t="s">
        <v>59</v>
      </c>
      <c r="D312" s="7">
        <v>12</v>
      </c>
      <c r="E312" s="14" t="s">
        <v>212</v>
      </c>
    </row>
    <row r="313" spans="1:6">
      <c r="A313" s="45" t="str">
        <f>IF(COUNTIF($B$2:B313,B313)=1,"ok","dup")</f>
        <v>ok</v>
      </c>
      <c r="B313" s="45" t="str">
        <f t="shared" si="4"/>
        <v>Cercopithecus_mitis13.6</v>
      </c>
      <c r="C313" s="6" t="s">
        <v>59</v>
      </c>
      <c r="D313" s="7">
        <v>13.6</v>
      </c>
      <c r="E313" s="14" t="s">
        <v>212</v>
      </c>
    </row>
    <row r="314" spans="1:6">
      <c r="A314" s="45" t="str">
        <f>IF(COUNTIF($B$2:B314,B314)=1,"ok","dup")</f>
        <v>ok</v>
      </c>
      <c r="B314" s="45" t="str">
        <f t="shared" si="4"/>
        <v>Cercopithecus_mitis15</v>
      </c>
      <c r="C314" s="6" t="s">
        <v>59</v>
      </c>
      <c r="D314" s="7">
        <v>15</v>
      </c>
      <c r="E314" s="14" t="s">
        <v>212</v>
      </c>
    </row>
    <row r="315" spans="1:6">
      <c r="A315" s="45" t="str">
        <f>IF(COUNTIF($B$2:B315,B315)=1,"ok","dup")</f>
        <v>ok</v>
      </c>
      <c r="B315" s="45" t="str">
        <f t="shared" si="4"/>
        <v>Cercopithecus_mitis16</v>
      </c>
      <c r="C315" s="6" t="s">
        <v>59</v>
      </c>
      <c r="D315" s="7">
        <v>16</v>
      </c>
      <c r="E315" s="14" t="s">
        <v>212</v>
      </c>
    </row>
    <row r="316" spans="1:6">
      <c r="A316" s="45" t="str">
        <f>IF(COUNTIF($B$2:B316,B316)=1,"ok","dup")</f>
        <v>dup</v>
      </c>
      <c r="B316" s="45" t="str">
        <f t="shared" si="4"/>
        <v>Cercopithecus_mitis16</v>
      </c>
      <c r="C316" s="6" t="s">
        <v>59</v>
      </c>
      <c r="D316" s="7">
        <v>16</v>
      </c>
      <c r="E316" s="14" t="s">
        <v>212</v>
      </c>
    </row>
    <row r="317" spans="1:6">
      <c r="A317" s="45" t="str">
        <f>IF(COUNTIF($B$2:B317,B317)=1,"ok","dup")</f>
        <v>ok</v>
      </c>
      <c r="B317" s="45" t="str">
        <f t="shared" si="4"/>
        <v>Cercopithecus_mitis18</v>
      </c>
      <c r="C317" s="6" t="s">
        <v>59</v>
      </c>
      <c r="D317" s="7">
        <v>18</v>
      </c>
      <c r="E317" s="14" t="s">
        <v>212</v>
      </c>
    </row>
    <row r="318" spans="1:6">
      <c r="A318" s="45" t="str">
        <f>IF(COUNTIF($B$2:B318,B318)=1,"ok","dup")</f>
        <v>dup</v>
      </c>
      <c r="B318" s="45" t="str">
        <f t="shared" si="4"/>
        <v>Cercopithecus_mitis18.7</v>
      </c>
      <c r="C318" s="6" t="s">
        <v>59</v>
      </c>
      <c r="D318" s="7">
        <v>18.7</v>
      </c>
      <c r="E318" s="14" t="s">
        <v>212</v>
      </c>
    </row>
    <row r="319" spans="1:6">
      <c r="A319" s="45" t="str">
        <f>IF(COUNTIF($B$2:B319,B319)=1,"ok","dup")</f>
        <v>dup</v>
      </c>
      <c r="B319" s="45" t="str">
        <f t="shared" si="4"/>
        <v>Cercopithecus_mitis32.6</v>
      </c>
      <c r="C319" s="6" t="s">
        <v>59</v>
      </c>
      <c r="D319" s="7">
        <v>32.6</v>
      </c>
      <c r="E319" s="14" t="s">
        <v>212</v>
      </c>
    </row>
    <row r="320" spans="1:6">
      <c r="A320" s="45" t="str">
        <f>IF(COUNTIF($B$2:B320,B320)=1,"ok","dup")</f>
        <v>ok</v>
      </c>
      <c r="B320" s="45" t="str">
        <f t="shared" si="4"/>
        <v>Cercopithecus_mitis24</v>
      </c>
      <c r="C320" s="6" t="s">
        <v>59</v>
      </c>
      <c r="D320" s="7">
        <v>24</v>
      </c>
      <c r="E320" s="14" t="s">
        <v>218</v>
      </c>
      <c r="F320" s="14" t="s">
        <v>324</v>
      </c>
    </row>
    <row r="321" spans="1:7">
      <c r="A321" s="45" t="str">
        <f>IF(COUNTIF($B$2:B321,B321)=1,"ok","dup")</f>
        <v>ok</v>
      </c>
      <c r="B321" s="45" t="str">
        <f t="shared" si="4"/>
        <v>Cercopithecus_mitis14</v>
      </c>
      <c r="C321" s="6" t="s">
        <v>59</v>
      </c>
      <c r="D321" s="7">
        <v>14</v>
      </c>
      <c r="E321" s="14" t="s">
        <v>213</v>
      </c>
    </row>
    <row r="322" spans="1:7">
      <c r="A322" s="45" t="str">
        <f>IF(COUNTIF($B$2:B322,B322)=1,"ok","dup")</f>
        <v>ok</v>
      </c>
      <c r="B322" s="45" t="str">
        <f t="shared" ref="B322:B385" si="5">C322&amp;D322</f>
        <v>Cercopithecus_mitis41</v>
      </c>
      <c r="C322" s="6" t="s">
        <v>59</v>
      </c>
      <c r="D322" s="7">
        <v>41</v>
      </c>
      <c r="E322" s="14" t="s">
        <v>211</v>
      </c>
    </row>
    <row r="323" spans="1:7">
      <c r="A323" s="45" t="str">
        <f>IF(COUNTIF($B$2:B323,B323)=1,"ok","dup")</f>
        <v>dup</v>
      </c>
      <c r="B323" s="45" t="str">
        <f t="shared" si="5"/>
        <v>Cercopithecus_mitis11</v>
      </c>
      <c r="C323" s="6" t="s">
        <v>59</v>
      </c>
      <c r="D323" s="7">
        <v>11</v>
      </c>
      <c r="E323" s="14" t="s">
        <v>220</v>
      </c>
      <c r="F323" s="14" t="s">
        <v>339</v>
      </c>
    </row>
    <row r="324" spans="1:7">
      <c r="A324" s="45" t="str">
        <f>IF(COUNTIF($B$2:B324,B324)=1,"ok","dup")</f>
        <v>dup</v>
      </c>
      <c r="B324" s="45" t="str">
        <f t="shared" si="5"/>
        <v>Cercopithecus_mitis14</v>
      </c>
      <c r="C324" s="6" t="s">
        <v>59</v>
      </c>
      <c r="D324" s="7">
        <v>14</v>
      </c>
      <c r="E324" s="14" t="s">
        <v>220</v>
      </c>
      <c r="F324" s="14" t="s">
        <v>340</v>
      </c>
      <c r="G324" s="6" t="s">
        <v>235</v>
      </c>
    </row>
    <row r="325" spans="1:7">
      <c r="A325" s="45" t="str">
        <f>IF(COUNTIF($B$2:B325,B325)=1,"ok","dup")</f>
        <v>ok</v>
      </c>
      <c r="B325" s="45" t="str">
        <f t="shared" si="5"/>
        <v>Cercopithecus_mitis14.5</v>
      </c>
      <c r="C325" s="6" t="s">
        <v>59</v>
      </c>
      <c r="D325" s="7">
        <v>14.5</v>
      </c>
      <c r="E325" s="14" t="s">
        <v>220</v>
      </c>
      <c r="F325" s="14" t="s">
        <v>341</v>
      </c>
      <c r="G325" s="6" t="s">
        <v>226</v>
      </c>
    </row>
    <row r="326" spans="1:7">
      <c r="A326" s="45" t="str">
        <f>IF(COUNTIF($B$2:B326,B326)=1,"ok","dup")</f>
        <v>ok</v>
      </c>
      <c r="B326" s="45" t="str">
        <f t="shared" si="5"/>
        <v>Cercopithecus_mitis17</v>
      </c>
      <c r="C326" s="6" t="s">
        <v>59</v>
      </c>
      <c r="D326" s="7">
        <v>17</v>
      </c>
      <c r="E326" s="14" t="s">
        <v>220</v>
      </c>
      <c r="F326" s="14" t="s">
        <v>342</v>
      </c>
    </row>
    <row r="327" spans="1:7">
      <c r="A327" s="45" t="str">
        <f>IF(COUNTIF($B$2:B327,B327)=1,"ok","dup")</f>
        <v>dup</v>
      </c>
      <c r="B327" s="45" t="str">
        <f t="shared" si="5"/>
        <v>Cercopithecus_mitis18.7</v>
      </c>
      <c r="C327" s="6" t="s">
        <v>59</v>
      </c>
      <c r="D327" s="7">
        <v>18.7</v>
      </c>
      <c r="E327" s="14" t="s">
        <v>220</v>
      </c>
      <c r="F327" s="14" t="s">
        <v>327</v>
      </c>
      <c r="G327" s="6" t="s">
        <v>228</v>
      </c>
    </row>
    <row r="328" spans="1:7">
      <c r="A328" s="45" t="str">
        <f>IF(COUNTIF($B$2:B328,B328)=1,"ok","dup")</f>
        <v>dup</v>
      </c>
      <c r="B328" s="45" t="str">
        <f t="shared" si="5"/>
        <v>Cercopithecus_mitis24</v>
      </c>
      <c r="C328" s="6" t="s">
        <v>59</v>
      </c>
      <c r="D328" s="7">
        <v>24</v>
      </c>
      <c r="E328" s="14" t="s">
        <v>220</v>
      </c>
      <c r="F328" s="14" t="s">
        <v>343</v>
      </c>
    </row>
    <row r="329" spans="1:7">
      <c r="A329" s="45" t="str">
        <f>IF(COUNTIF($B$2:B329,B329)=1,"ok","dup")</f>
        <v>dup</v>
      </c>
      <c r="B329" s="45" t="str">
        <f t="shared" si="5"/>
        <v>Cercopithecus_mitis32.6</v>
      </c>
      <c r="C329" s="6" t="s">
        <v>59</v>
      </c>
      <c r="D329" s="7">
        <v>32.6</v>
      </c>
      <c r="E329" s="14" t="s">
        <v>220</v>
      </c>
      <c r="F329" s="14" t="s">
        <v>327</v>
      </c>
      <c r="G329" s="6" t="s">
        <v>228</v>
      </c>
    </row>
    <row r="330" spans="1:7">
      <c r="A330" s="45" t="str">
        <f>IF(COUNTIF($B$2:B330,B330)=1,"ok","dup")</f>
        <v>ok</v>
      </c>
      <c r="B330" s="45" t="str">
        <f t="shared" si="5"/>
        <v>Cercopithecus_mitis34</v>
      </c>
      <c r="C330" s="6" t="s">
        <v>59</v>
      </c>
      <c r="D330" s="7">
        <v>34</v>
      </c>
      <c r="E330" s="14" t="s">
        <v>220</v>
      </c>
      <c r="F330" s="14" t="s">
        <v>342</v>
      </c>
    </row>
    <row r="331" spans="1:7">
      <c r="A331" s="45" t="str">
        <f>IF(COUNTIF($B$2:B331,B331)=1,"ok","dup")</f>
        <v>ok</v>
      </c>
      <c r="B331" s="45" t="str">
        <f t="shared" si="5"/>
        <v>Cercopithecus_mitis49</v>
      </c>
      <c r="C331" s="6" t="s">
        <v>59</v>
      </c>
      <c r="D331" s="7">
        <v>49</v>
      </c>
      <c r="E331" s="14" t="s">
        <v>220</v>
      </c>
      <c r="F331" s="14" t="s">
        <v>344</v>
      </c>
    </row>
    <row r="332" spans="1:7">
      <c r="A332" s="45" t="str">
        <f>IF(COUNTIF($B$2:B332,B332)=1,"ok","dup")</f>
        <v>dup</v>
      </c>
      <c r="B332" s="45" t="str">
        <f t="shared" si="5"/>
        <v>Cercopithecus_mitis17</v>
      </c>
      <c r="C332" s="6" t="s">
        <v>59</v>
      </c>
      <c r="D332" s="7">
        <v>17</v>
      </c>
      <c r="E332" s="14" t="s">
        <v>214</v>
      </c>
      <c r="F332" s="14" t="s">
        <v>345</v>
      </c>
    </row>
    <row r="333" spans="1:7">
      <c r="A333" s="45" t="str">
        <f>IF(COUNTIF($B$2:B333,B333)=1,"ok","dup")</f>
        <v>ok</v>
      </c>
      <c r="B333" s="45" t="str">
        <f t="shared" si="5"/>
        <v>Cercopithecus_mona21.5</v>
      </c>
      <c r="C333" s="6" t="s">
        <v>346</v>
      </c>
      <c r="D333" s="7">
        <v>21.5</v>
      </c>
      <c r="E333" s="14" t="s">
        <v>211</v>
      </c>
    </row>
    <row r="334" spans="1:7">
      <c r="A334" s="45" t="str">
        <f>IF(COUNTIF($B$2:B334,B334)=1,"ok","dup")</f>
        <v>ok</v>
      </c>
      <c r="B334" s="45" t="str">
        <f t="shared" si="5"/>
        <v>Cercopithecus_neglectus4</v>
      </c>
      <c r="C334" s="6" t="s">
        <v>347</v>
      </c>
      <c r="D334" s="7">
        <v>4</v>
      </c>
      <c r="E334" s="14" t="s">
        <v>216</v>
      </c>
      <c r="F334" s="14" t="s">
        <v>323</v>
      </c>
    </row>
    <row r="335" spans="1:7">
      <c r="A335" s="45" t="str">
        <f>IF(COUNTIF($B$2:B335,B335)=1,"ok","dup")</f>
        <v>dup</v>
      </c>
      <c r="B335" s="45" t="str">
        <f t="shared" si="5"/>
        <v>Cercopithecus_neglectus4</v>
      </c>
      <c r="C335" s="6" t="s">
        <v>347</v>
      </c>
      <c r="D335" s="7">
        <v>4</v>
      </c>
      <c r="E335" s="14" t="s">
        <v>212</v>
      </c>
    </row>
    <row r="336" spans="1:7">
      <c r="A336" s="45" t="str">
        <f>IF(COUNTIF($B$2:B336,B336)=1,"ok","dup")</f>
        <v>ok</v>
      </c>
      <c r="B336" s="45" t="str">
        <f t="shared" si="5"/>
        <v>Cercopithecus_neglectus5</v>
      </c>
      <c r="C336" s="6" t="s">
        <v>347</v>
      </c>
      <c r="D336" s="7">
        <v>5</v>
      </c>
      <c r="E336" s="14" t="s">
        <v>212</v>
      </c>
    </row>
    <row r="337" spans="1:7">
      <c r="A337" s="45" t="str">
        <f>IF(COUNTIF($B$2:B337,B337)=1,"ok","dup")</f>
        <v>ok</v>
      </c>
      <c r="B337" s="45" t="str">
        <f t="shared" si="5"/>
        <v>Cercopithecus_neglectus6</v>
      </c>
      <c r="C337" s="6" t="s">
        <v>347</v>
      </c>
      <c r="D337" s="7">
        <v>6</v>
      </c>
      <c r="E337" s="14" t="s">
        <v>212</v>
      </c>
    </row>
    <row r="338" spans="1:7">
      <c r="A338" s="45" t="str">
        <f>IF(COUNTIF($B$2:B338,B338)=1,"ok","dup")</f>
        <v>dup</v>
      </c>
      <c r="B338" s="45" t="str">
        <f t="shared" si="5"/>
        <v>Cercopithecus_neglectus6</v>
      </c>
      <c r="C338" s="6" t="s">
        <v>347</v>
      </c>
      <c r="D338" s="7">
        <v>6</v>
      </c>
      <c r="E338" s="14" t="s">
        <v>211</v>
      </c>
    </row>
    <row r="339" spans="1:7">
      <c r="A339" s="45" t="str">
        <f>IF(COUNTIF($B$2:B339,B339)=1,"ok","dup")</f>
        <v>ok</v>
      </c>
      <c r="B339" s="45" t="str">
        <f t="shared" si="5"/>
        <v>Cercopithecus_nictitans20</v>
      </c>
      <c r="C339" s="6" t="s">
        <v>60</v>
      </c>
      <c r="D339" s="7">
        <v>20</v>
      </c>
      <c r="E339" s="14" t="s">
        <v>216</v>
      </c>
      <c r="F339" s="14" t="s">
        <v>320</v>
      </c>
    </row>
    <row r="340" spans="1:7">
      <c r="A340" s="45" t="str">
        <f>IF(COUNTIF($B$2:B340,B340)=1,"ok","dup")</f>
        <v>ok</v>
      </c>
      <c r="B340" s="45" t="str">
        <f t="shared" si="5"/>
        <v>Cercopithecus_nictitans16.5</v>
      </c>
      <c r="C340" s="6" t="s">
        <v>60</v>
      </c>
      <c r="D340" s="7">
        <v>16.5</v>
      </c>
      <c r="E340" s="14" t="s">
        <v>212</v>
      </c>
    </row>
    <row r="341" spans="1:7">
      <c r="A341" s="45" t="str">
        <f>IF(COUNTIF($B$2:B341,B341)=1,"ok","dup")</f>
        <v>dup</v>
      </c>
      <c r="B341" s="45" t="str">
        <f t="shared" si="5"/>
        <v>Cercopithecus_nictitans20</v>
      </c>
      <c r="C341" s="6" t="s">
        <v>60</v>
      </c>
      <c r="D341" s="7">
        <v>20</v>
      </c>
      <c r="E341" s="14" t="s">
        <v>211</v>
      </c>
    </row>
    <row r="342" spans="1:7">
      <c r="A342" s="45" t="str">
        <f>IF(COUNTIF($B$2:B342,B342)=1,"ok","dup")</f>
        <v>ok</v>
      </c>
      <c r="B342" s="45" t="str">
        <f t="shared" si="5"/>
        <v>Cercopithecus_petaurista17.5</v>
      </c>
      <c r="C342" s="6" t="s">
        <v>348</v>
      </c>
      <c r="D342" s="7">
        <v>17.5</v>
      </c>
      <c r="E342" s="14" t="s">
        <v>211</v>
      </c>
    </row>
    <row r="343" spans="1:7">
      <c r="A343" s="45" t="str">
        <f>IF(COUNTIF($B$2:B343,B343)=1,"ok","dup")</f>
        <v>ok</v>
      </c>
      <c r="B343" s="45" t="str">
        <f t="shared" si="5"/>
        <v>Cercopithecus_pogonias15</v>
      </c>
      <c r="C343" s="6" t="s">
        <v>349</v>
      </c>
      <c r="D343" s="7">
        <v>15</v>
      </c>
      <c r="E343" s="14" t="s">
        <v>216</v>
      </c>
      <c r="F343" s="14" t="s">
        <v>320</v>
      </c>
    </row>
    <row r="344" spans="1:7">
      <c r="A344" s="45" t="str">
        <f>IF(COUNTIF($B$2:B344,B344)=1,"ok","dup")</f>
        <v>ok</v>
      </c>
      <c r="B344" s="45" t="str">
        <f t="shared" si="5"/>
        <v>Cercopithecus_pogonias15.5</v>
      </c>
      <c r="C344" s="6" t="s">
        <v>349</v>
      </c>
      <c r="D344" s="7">
        <v>15.5</v>
      </c>
      <c r="E344" s="14" t="s">
        <v>212</v>
      </c>
    </row>
    <row r="345" spans="1:7">
      <c r="A345" s="45" t="str">
        <f>IF(COUNTIF($B$2:B345,B345)=1,"ok","dup")</f>
        <v>ok</v>
      </c>
      <c r="B345" s="45" t="str">
        <f t="shared" si="5"/>
        <v>Cercopithecus_pogonias14</v>
      </c>
      <c r="C345" s="6" t="s">
        <v>349</v>
      </c>
      <c r="D345" s="7">
        <v>14</v>
      </c>
      <c r="E345" s="14" t="s">
        <v>211</v>
      </c>
    </row>
    <row r="346" spans="1:7">
      <c r="A346" s="45" t="str">
        <f>IF(COUNTIF($B$2:B346,B346)=1,"ok","dup")</f>
        <v>ok</v>
      </c>
      <c r="B346" s="45" t="str">
        <f t="shared" si="5"/>
        <v>Cercopithecus_preussi5</v>
      </c>
      <c r="C346" s="6" t="s">
        <v>350</v>
      </c>
      <c r="D346" s="7">
        <v>5</v>
      </c>
      <c r="E346" s="14" t="s">
        <v>211</v>
      </c>
    </row>
    <row r="347" spans="1:7">
      <c r="A347" s="45" t="str">
        <f>IF(COUNTIF($B$2:B347,B347)=1,"ok","dup")</f>
        <v>ok</v>
      </c>
      <c r="B347" s="45" t="str">
        <f t="shared" si="5"/>
        <v>Cercopithecus_wolfi6.5</v>
      </c>
      <c r="C347" s="6" t="s">
        <v>351</v>
      </c>
      <c r="D347" s="7">
        <v>6.5</v>
      </c>
      <c r="E347" s="14" t="s">
        <v>211</v>
      </c>
    </row>
    <row r="348" spans="1:7">
      <c r="A348" s="45" t="str">
        <f>IF(COUNTIF($B$2:B348,B348)=1,"ok","dup")</f>
        <v>ok</v>
      </c>
      <c r="B348" s="45" t="str">
        <f t="shared" si="5"/>
        <v>Cheirogaleus_major5.5</v>
      </c>
      <c r="C348" s="6" t="s">
        <v>61</v>
      </c>
      <c r="D348" s="7">
        <v>5.5</v>
      </c>
      <c r="E348" s="14" t="s">
        <v>276</v>
      </c>
      <c r="F348" s="14" t="s">
        <v>277</v>
      </c>
    </row>
    <row r="349" spans="1:7">
      <c r="A349" s="45" t="str">
        <f>IF(COUNTIF($B$2:B349,B349)=1,"ok","dup")</f>
        <v>ok</v>
      </c>
      <c r="B349" s="45" t="str">
        <f t="shared" si="5"/>
        <v>Cheirogaleus_medius3</v>
      </c>
      <c r="C349" s="6" t="s">
        <v>62</v>
      </c>
      <c r="D349" s="7">
        <v>3</v>
      </c>
      <c r="E349" s="14" t="s">
        <v>276</v>
      </c>
      <c r="F349" s="14" t="s">
        <v>277</v>
      </c>
    </row>
    <row r="350" spans="1:7">
      <c r="A350" s="45" t="str">
        <f>IF(COUNTIF($B$2:B350,B350)=1,"ok","dup")</f>
        <v>ok</v>
      </c>
      <c r="B350" s="45" t="str">
        <f t="shared" si="5"/>
        <v>Cheirogaleus_medius1</v>
      </c>
      <c r="C350" s="6" t="s">
        <v>62</v>
      </c>
      <c r="D350" s="7">
        <v>1</v>
      </c>
      <c r="E350" s="14" t="s">
        <v>212</v>
      </c>
    </row>
    <row r="351" spans="1:7">
      <c r="A351" s="45" t="str">
        <f>IF(COUNTIF($B$2:B351,B351)=1,"ok","dup")</f>
        <v>dup</v>
      </c>
      <c r="B351" s="45" t="str">
        <f t="shared" si="5"/>
        <v>Cheirogaleus_medius3</v>
      </c>
      <c r="C351" s="6" t="s">
        <v>62</v>
      </c>
      <c r="D351" s="7">
        <v>3</v>
      </c>
      <c r="E351" s="14" t="s">
        <v>211</v>
      </c>
      <c r="G351" s="6" t="s">
        <v>352</v>
      </c>
    </row>
    <row r="352" spans="1:7">
      <c r="A352" s="45" t="str">
        <f>IF(COUNTIF($B$2:B352,B352)=1,"ok","dup")</f>
        <v>ok</v>
      </c>
      <c r="B352" s="45" t="str">
        <f t="shared" si="5"/>
        <v>Chiropotes_satanas19</v>
      </c>
      <c r="C352" s="6" t="s">
        <v>353</v>
      </c>
      <c r="D352" s="7">
        <v>19</v>
      </c>
      <c r="E352" s="14" t="s">
        <v>216</v>
      </c>
      <c r="F352" s="14" t="s">
        <v>284</v>
      </c>
    </row>
    <row r="353" spans="1:6">
      <c r="A353" s="45" t="str">
        <f>IF(COUNTIF($B$2:B353,B353)=1,"ok","dup")</f>
        <v>dup</v>
      </c>
      <c r="B353" s="45" t="str">
        <f t="shared" si="5"/>
        <v>Chiropotes_satanas19</v>
      </c>
      <c r="C353" s="6" t="s">
        <v>353</v>
      </c>
      <c r="D353" s="7">
        <v>19</v>
      </c>
      <c r="E353" s="14" t="s">
        <v>212</v>
      </c>
    </row>
    <row r="354" spans="1:6">
      <c r="A354" s="45" t="str">
        <f>IF(COUNTIF($B$2:B354,B354)=1,"ok","dup")</f>
        <v>ok</v>
      </c>
      <c r="B354" s="45" t="str">
        <f t="shared" si="5"/>
        <v>Chiropotes_satanas20</v>
      </c>
      <c r="C354" s="6" t="s">
        <v>353</v>
      </c>
      <c r="D354" s="7">
        <v>20</v>
      </c>
      <c r="E354" s="14" t="s">
        <v>211</v>
      </c>
    </row>
    <row r="355" spans="1:6">
      <c r="A355" s="45" t="str">
        <f>IF(COUNTIF($B$2:B355,B355)=1,"ok","dup")</f>
        <v>ok</v>
      </c>
      <c r="B355" s="45" t="str">
        <f t="shared" si="5"/>
        <v>Chlorocebus_aethiops24</v>
      </c>
      <c r="C355" s="6" t="s">
        <v>354</v>
      </c>
      <c r="D355" s="7">
        <v>24</v>
      </c>
      <c r="E355" s="14" t="s">
        <v>216</v>
      </c>
      <c r="F355" s="14" t="s">
        <v>323</v>
      </c>
    </row>
    <row r="356" spans="1:6">
      <c r="A356" s="45" t="str">
        <f>IF(COUNTIF($B$2:B356,B356)=1,"ok","dup")</f>
        <v>ok</v>
      </c>
      <c r="B356" s="45" t="str">
        <f t="shared" si="5"/>
        <v>Chlorocebus_aethiops10</v>
      </c>
      <c r="C356" s="6" t="s">
        <v>354</v>
      </c>
      <c r="D356" s="7">
        <v>10</v>
      </c>
      <c r="E356" s="14" t="s">
        <v>212</v>
      </c>
    </row>
    <row r="357" spans="1:6">
      <c r="A357" s="45" t="str">
        <f>IF(COUNTIF($B$2:B357,B357)=1,"ok","dup")</f>
        <v>ok</v>
      </c>
      <c r="B357" s="45" t="str">
        <f t="shared" si="5"/>
        <v>Chlorocebus_aethiops17</v>
      </c>
      <c r="C357" s="6" t="s">
        <v>354</v>
      </c>
      <c r="D357" s="7">
        <v>17</v>
      </c>
      <c r="E357" s="14" t="s">
        <v>212</v>
      </c>
    </row>
    <row r="358" spans="1:6">
      <c r="A358" s="45" t="str">
        <f>IF(COUNTIF($B$2:B358,B358)=1,"ok","dup")</f>
        <v>ok</v>
      </c>
      <c r="B358" s="45" t="str">
        <f t="shared" si="5"/>
        <v>Chlorocebus_aethiops17.7</v>
      </c>
      <c r="C358" s="6" t="s">
        <v>354</v>
      </c>
      <c r="D358" s="7">
        <v>17.7</v>
      </c>
      <c r="E358" s="14" t="s">
        <v>212</v>
      </c>
    </row>
    <row r="359" spans="1:6">
      <c r="A359" s="45" t="str">
        <f>IF(COUNTIF($B$2:B359,B359)=1,"ok","dup")</f>
        <v>ok</v>
      </c>
      <c r="B359" s="45" t="str">
        <f t="shared" si="5"/>
        <v>Chlorocebus_aethiops17.9</v>
      </c>
      <c r="C359" s="6" t="s">
        <v>354</v>
      </c>
      <c r="D359" s="7">
        <v>17.899999999999999</v>
      </c>
      <c r="E359" s="14" t="s">
        <v>212</v>
      </c>
    </row>
    <row r="360" spans="1:6">
      <c r="A360" s="45" t="str">
        <f>IF(COUNTIF($B$2:B360,B360)=1,"ok","dup")</f>
        <v>ok</v>
      </c>
      <c r="B360" s="45" t="str">
        <f t="shared" si="5"/>
        <v>Chlorocebus_aethiops19.7</v>
      </c>
      <c r="C360" s="6" t="s">
        <v>354</v>
      </c>
      <c r="D360" s="7">
        <v>19.7</v>
      </c>
      <c r="E360" s="14" t="s">
        <v>212</v>
      </c>
    </row>
    <row r="361" spans="1:6">
      <c r="A361" s="45" t="str">
        <f>IF(COUNTIF($B$2:B361,B361)=1,"ok","dup")</f>
        <v>ok</v>
      </c>
      <c r="B361" s="45" t="str">
        <f t="shared" si="5"/>
        <v>Chlorocebus_aethiops21</v>
      </c>
      <c r="C361" s="6" t="s">
        <v>354</v>
      </c>
      <c r="D361" s="7">
        <v>21</v>
      </c>
      <c r="E361" s="14" t="s">
        <v>212</v>
      </c>
    </row>
    <row r="362" spans="1:6">
      <c r="A362" s="45" t="str">
        <f>IF(COUNTIF($B$2:B362,B362)=1,"ok","dup")</f>
        <v>ok</v>
      </c>
      <c r="B362" s="45" t="str">
        <f t="shared" si="5"/>
        <v>Chlorocebus_aethiops22.8</v>
      </c>
      <c r="C362" s="6" t="s">
        <v>354</v>
      </c>
      <c r="D362" s="7">
        <v>22.8</v>
      </c>
      <c r="E362" s="14" t="s">
        <v>212</v>
      </c>
    </row>
    <row r="363" spans="1:6">
      <c r="A363" s="45" t="str">
        <f>IF(COUNTIF($B$2:B363,B363)=1,"ok","dup")</f>
        <v>dup</v>
      </c>
      <c r="B363" s="45" t="str">
        <f t="shared" si="5"/>
        <v>Chlorocebus_aethiops24</v>
      </c>
      <c r="C363" s="6" t="s">
        <v>354</v>
      </c>
      <c r="D363" s="7">
        <v>24</v>
      </c>
      <c r="E363" s="14" t="s">
        <v>212</v>
      </c>
    </row>
    <row r="364" spans="1:6">
      <c r="A364" s="45" t="str">
        <f>IF(COUNTIF($B$2:B364,B364)=1,"ok","dup")</f>
        <v>ok</v>
      </c>
      <c r="B364" s="45" t="str">
        <f t="shared" si="5"/>
        <v>Chlorocebus_aethiops40</v>
      </c>
      <c r="C364" s="6" t="s">
        <v>354</v>
      </c>
      <c r="D364" s="7">
        <v>40</v>
      </c>
      <c r="E364" s="14" t="s">
        <v>212</v>
      </c>
    </row>
    <row r="365" spans="1:6">
      <c r="A365" s="45" t="str">
        <f>IF(COUNTIF($B$2:B365,B365)=1,"ok","dup")</f>
        <v>ok</v>
      </c>
      <c r="B365" s="45" t="str">
        <f t="shared" si="5"/>
        <v>Chlorocebus_aethiops40.1</v>
      </c>
      <c r="C365" s="6" t="s">
        <v>354</v>
      </c>
      <c r="D365" s="7">
        <v>40.1</v>
      </c>
      <c r="E365" s="14" t="s">
        <v>212</v>
      </c>
    </row>
    <row r="366" spans="1:6">
      <c r="A366" s="45" t="str">
        <f>IF(COUNTIF($B$2:B366,B366)=1,"ok","dup")</f>
        <v>ok</v>
      </c>
      <c r="B366" s="45" t="str">
        <f t="shared" si="5"/>
        <v>Chlorocebus_aethiops15</v>
      </c>
      <c r="C366" s="6" t="s">
        <v>354</v>
      </c>
      <c r="D366" s="7">
        <v>15</v>
      </c>
      <c r="E366" s="14" t="s">
        <v>213</v>
      </c>
    </row>
    <row r="367" spans="1:6">
      <c r="A367" s="45" t="str">
        <f>IF(COUNTIF($B$2:B367,B367)=1,"ok","dup")</f>
        <v>ok</v>
      </c>
      <c r="B367" s="45" t="str">
        <f t="shared" si="5"/>
        <v>Chlorocebus_aethiops40.5</v>
      </c>
      <c r="C367" s="6" t="s">
        <v>354</v>
      </c>
      <c r="D367" s="7">
        <v>40.5</v>
      </c>
      <c r="E367" s="14" t="s">
        <v>211</v>
      </c>
    </row>
    <row r="368" spans="1:6">
      <c r="A368" s="45" t="str">
        <f>IF(COUNTIF($B$2:B368,B368)=1,"ok","dup")</f>
        <v>ok</v>
      </c>
      <c r="B368" s="45" t="str">
        <f t="shared" si="5"/>
        <v>Chlorocebus_aethiops7.7</v>
      </c>
      <c r="C368" s="6" t="s">
        <v>354</v>
      </c>
      <c r="D368" s="7">
        <v>7.7</v>
      </c>
      <c r="E368" s="14" t="s">
        <v>214</v>
      </c>
      <c r="F368" s="14" t="s">
        <v>355</v>
      </c>
    </row>
    <row r="369" spans="1:7">
      <c r="A369" s="45" t="str">
        <f>IF(COUNTIF($B$2:B369,B369)=1,"ok","dup")</f>
        <v>ok</v>
      </c>
      <c r="B369" s="45" t="str">
        <f t="shared" si="5"/>
        <v>Chlorocebus_pygerythrus40.5</v>
      </c>
      <c r="C369" s="6" t="s">
        <v>356</v>
      </c>
      <c r="D369" s="7">
        <v>40.5</v>
      </c>
      <c r="E369" s="14" t="s">
        <v>211</v>
      </c>
      <c r="G369" s="6" t="s">
        <v>357</v>
      </c>
    </row>
    <row r="370" spans="1:7">
      <c r="A370" s="45" t="str">
        <f>IF(COUNTIF($B$2:B370,B370)=1,"ok","dup")</f>
        <v>ok</v>
      </c>
      <c r="B370" s="45" t="str">
        <f t="shared" si="5"/>
        <v>Colobus_angolensis9</v>
      </c>
      <c r="C370" s="6" t="s">
        <v>63</v>
      </c>
      <c r="D370" s="7">
        <v>9</v>
      </c>
      <c r="E370" s="14" t="s">
        <v>211</v>
      </c>
    </row>
    <row r="371" spans="1:7">
      <c r="A371" s="45" t="str">
        <f>IF(COUNTIF($B$2:B371,B371)=1,"ok","dup")</f>
        <v>ok</v>
      </c>
      <c r="B371" s="45" t="str">
        <f t="shared" si="5"/>
        <v>Colobus_guereza12</v>
      </c>
      <c r="C371" s="6" t="s">
        <v>358</v>
      </c>
      <c r="D371" s="7">
        <v>12</v>
      </c>
      <c r="E371" s="14" t="s">
        <v>216</v>
      </c>
      <c r="F371" s="14" t="s">
        <v>359</v>
      </c>
    </row>
    <row r="372" spans="1:7">
      <c r="A372" s="45" t="str">
        <f>IF(COUNTIF($B$2:B372,B372)=1,"ok","dup")</f>
        <v>dup</v>
      </c>
      <c r="B372" s="45" t="str">
        <f t="shared" si="5"/>
        <v>Colobus_guereza12</v>
      </c>
      <c r="C372" s="6" t="s">
        <v>358</v>
      </c>
      <c r="D372" s="7">
        <v>12</v>
      </c>
      <c r="E372" s="14" t="s">
        <v>212</v>
      </c>
    </row>
    <row r="373" spans="1:7">
      <c r="A373" s="45" t="str">
        <f>IF(COUNTIF($B$2:B373,B373)=1,"ok","dup")</f>
        <v>ok</v>
      </c>
      <c r="B373" s="45" t="str">
        <f t="shared" si="5"/>
        <v>Colobus_guereza9.2</v>
      </c>
      <c r="C373" s="6" t="s">
        <v>358</v>
      </c>
      <c r="D373" s="7">
        <v>9.1999999999999993</v>
      </c>
      <c r="E373" s="14" t="s">
        <v>218</v>
      </c>
      <c r="F373" s="14" t="s">
        <v>360</v>
      </c>
    </row>
    <row r="374" spans="1:7">
      <c r="A374" s="45" t="str">
        <f>IF(COUNTIF($B$2:B374,B374)=1,"ok","dup")</f>
        <v>ok</v>
      </c>
      <c r="B374" s="45" t="str">
        <f t="shared" si="5"/>
        <v>Colobus_guereza8</v>
      </c>
      <c r="C374" s="6" t="s">
        <v>358</v>
      </c>
      <c r="D374" s="7">
        <v>8</v>
      </c>
      <c r="E374" s="14" t="s">
        <v>213</v>
      </c>
    </row>
    <row r="375" spans="1:7">
      <c r="A375" s="45" t="str">
        <f>IF(COUNTIF($B$2:B375,B375)=1,"ok","dup")</f>
        <v>ok</v>
      </c>
      <c r="B375" s="45" t="str">
        <f t="shared" si="5"/>
        <v>Colobus_guereza9</v>
      </c>
      <c r="C375" s="6" t="s">
        <v>358</v>
      </c>
      <c r="D375" s="7">
        <v>9</v>
      </c>
      <c r="E375" s="14" t="s">
        <v>211</v>
      </c>
    </row>
    <row r="376" spans="1:7">
      <c r="A376" s="45" t="str">
        <f>IF(COUNTIF($B$2:B376,B376)=1,"ok","dup")</f>
        <v>ok</v>
      </c>
      <c r="B376" s="45" t="str">
        <f t="shared" si="5"/>
        <v>Colobus_guereza4.8</v>
      </c>
      <c r="C376" s="6" t="s">
        <v>358</v>
      </c>
      <c r="D376" s="7">
        <v>4.8</v>
      </c>
      <c r="E376" s="14" t="s">
        <v>214</v>
      </c>
      <c r="F376" s="14" t="s">
        <v>361</v>
      </c>
    </row>
    <row r="377" spans="1:7">
      <c r="A377" s="45" t="str">
        <f>IF(COUNTIF($B$2:B377,B377)=1,"ok","dup")</f>
        <v>ok</v>
      </c>
      <c r="B377" s="45" t="str">
        <f t="shared" si="5"/>
        <v>Colobus_polykomos9</v>
      </c>
      <c r="C377" s="6" t="s">
        <v>362</v>
      </c>
      <c r="D377" s="7">
        <v>9</v>
      </c>
      <c r="E377" s="14" t="s">
        <v>218</v>
      </c>
      <c r="F377" s="14" t="s">
        <v>363</v>
      </c>
    </row>
    <row r="378" spans="1:7">
      <c r="A378" s="45" t="str">
        <f>IF(COUNTIF($B$2:B378,B378)=1,"ok","dup")</f>
        <v>ok</v>
      </c>
      <c r="B378" s="45" t="str">
        <f t="shared" si="5"/>
        <v>Colobus_polykomos13</v>
      </c>
      <c r="C378" s="6" t="s">
        <v>362</v>
      </c>
      <c r="D378" s="7">
        <v>13</v>
      </c>
      <c r="E378" s="14" t="s">
        <v>211</v>
      </c>
    </row>
    <row r="379" spans="1:7">
      <c r="A379" s="45" t="str">
        <f>IF(COUNTIF($B$2:B379,B379)=1,"ok","dup")</f>
        <v>ok</v>
      </c>
      <c r="B379" s="45" t="str">
        <f t="shared" si="5"/>
        <v>Colobus_satanas15.5</v>
      </c>
      <c r="C379" s="6" t="s">
        <v>364</v>
      </c>
      <c r="D379" s="7">
        <v>15.5</v>
      </c>
      <c r="E379" s="14" t="s">
        <v>216</v>
      </c>
      <c r="F379" s="14" t="s">
        <v>359</v>
      </c>
    </row>
    <row r="380" spans="1:7">
      <c r="A380" s="45" t="str">
        <f>IF(COUNTIF($B$2:B380,B380)=1,"ok","dup")</f>
        <v>dup</v>
      </c>
      <c r="B380" s="45" t="str">
        <f t="shared" si="5"/>
        <v>Colobus_satanas15.5</v>
      </c>
      <c r="C380" s="6" t="s">
        <v>364</v>
      </c>
      <c r="D380" s="7">
        <v>15.5</v>
      </c>
      <c r="E380" s="14" t="s">
        <v>212</v>
      </c>
    </row>
    <row r="381" spans="1:7">
      <c r="A381" s="45" t="str">
        <f>IF(COUNTIF($B$2:B381,B381)=1,"ok","dup")</f>
        <v>ok</v>
      </c>
      <c r="B381" s="45" t="str">
        <f t="shared" si="5"/>
        <v>Colobus_satanas12.5</v>
      </c>
      <c r="C381" s="6" t="s">
        <v>364</v>
      </c>
      <c r="D381" s="7">
        <v>12.5</v>
      </c>
      <c r="E381" s="14" t="s">
        <v>218</v>
      </c>
      <c r="F381" s="14" t="s">
        <v>365</v>
      </c>
    </row>
    <row r="382" spans="1:7">
      <c r="A382" s="45" t="str">
        <f>IF(COUNTIF($B$2:B382,B382)=1,"ok","dup")</f>
        <v>ok</v>
      </c>
      <c r="B382" s="45" t="str">
        <f t="shared" si="5"/>
        <v>Colobus_satanas15</v>
      </c>
      <c r="C382" s="6" t="s">
        <v>364</v>
      </c>
      <c r="D382" s="7">
        <v>15</v>
      </c>
      <c r="E382" s="14" t="s">
        <v>211</v>
      </c>
    </row>
    <row r="383" spans="1:7">
      <c r="A383" s="45" t="str">
        <f>IF(COUNTIF($B$2:B383,B383)=1,"ok","dup")</f>
        <v>ok</v>
      </c>
      <c r="B383" s="45" t="str">
        <f t="shared" si="5"/>
        <v>Daubentonia_madagascariensis2</v>
      </c>
      <c r="C383" s="6" t="s">
        <v>64</v>
      </c>
      <c r="D383" s="7">
        <v>2</v>
      </c>
      <c r="E383" s="14" t="s">
        <v>276</v>
      </c>
      <c r="F383" s="14" t="s">
        <v>277</v>
      </c>
    </row>
    <row r="384" spans="1:7">
      <c r="A384" s="45" t="str">
        <f>IF(COUNTIF($B$2:B384,B384)=1,"ok","dup")</f>
        <v>ok</v>
      </c>
      <c r="B384" s="45" t="str">
        <f t="shared" si="5"/>
        <v>Daubentonia_madagascariensis1.5</v>
      </c>
      <c r="C384" s="6" t="s">
        <v>64</v>
      </c>
      <c r="D384" s="7">
        <v>1.5</v>
      </c>
      <c r="E384" s="14" t="s">
        <v>211</v>
      </c>
    </row>
    <row r="385" spans="1:7">
      <c r="A385" s="45" t="str">
        <f>IF(COUNTIF($B$2:B385,B385)=1,"ok","dup")</f>
        <v>ok</v>
      </c>
      <c r="B385" s="45" t="str">
        <f t="shared" si="5"/>
        <v>Erythrocebus_patas20.6</v>
      </c>
      <c r="C385" s="6" t="s">
        <v>65</v>
      </c>
      <c r="D385" s="7">
        <v>20.6</v>
      </c>
      <c r="E385" s="14" t="s">
        <v>216</v>
      </c>
      <c r="F385" s="14" t="s">
        <v>323</v>
      </c>
    </row>
    <row r="386" spans="1:7">
      <c r="A386" s="45" t="str">
        <f>IF(COUNTIF($B$2:B386,B386)=1,"ok","dup")</f>
        <v>ok</v>
      </c>
      <c r="B386" s="45" t="str">
        <f t="shared" ref="B386:B449" si="6">C386&amp;D386</f>
        <v>Erythrocebus_patas35.5</v>
      </c>
      <c r="C386" s="6" t="s">
        <v>65</v>
      </c>
      <c r="D386" s="7">
        <v>35.5</v>
      </c>
      <c r="E386" s="14" t="s">
        <v>216</v>
      </c>
      <c r="F386" s="14" t="s">
        <v>323</v>
      </c>
    </row>
    <row r="387" spans="1:7">
      <c r="A387" s="45" t="str">
        <f>IF(COUNTIF($B$2:B387,B387)=1,"ok","dup")</f>
        <v>dup</v>
      </c>
      <c r="B387" s="45" t="str">
        <f t="shared" si="6"/>
        <v>Erythrocebus_patas20.6</v>
      </c>
      <c r="C387" s="6" t="s">
        <v>65</v>
      </c>
      <c r="D387" s="7">
        <v>20.6</v>
      </c>
      <c r="E387" s="14" t="s">
        <v>212</v>
      </c>
    </row>
    <row r="388" spans="1:7">
      <c r="A388" s="45" t="str">
        <f>IF(COUNTIF($B$2:B388,B388)=1,"ok","dup")</f>
        <v>dup</v>
      </c>
      <c r="B388" s="45" t="str">
        <f t="shared" si="6"/>
        <v>Erythrocebus_patas35.5</v>
      </c>
      <c r="C388" s="6" t="s">
        <v>65</v>
      </c>
      <c r="D388" s="7">
        <v>35.5</v>
      </c>
      <c r="E388" s="14" t="s">
        <v>212</v>
      </c>
    </row>
    <row r="389" spans="1:7">
      <c r="A389" s="45" t="str">
        <f>IF(COUNTIF($B$2:B389,B389)=1,"ok","dup")</f>
        <v>ok</v>
      </c>
      <c r="B389" s="45" t="str">
        <f t="shared" si="6"/>
        <v>Erythrocebus_patas20</v>
      </c>
      <c r="C389" s="6" t="s">
        <v>65</v>
      </c>
      <c r="D389" s="7">
        <v>20</v>
      </c>
      <c r="E389" s="14" t="s">
        <v>213</v>
      </c>
    </row>
    <row r="390" spans="1:7">
      <c r="A390" s="45" t="str">
        <f>IF(COUNTIF($B$2:B390,B390)=1,"ok","dup")</f>
        <v>ok</v>
      </c>
      <c r="B390" s="45" t="str">
        <f t="shared" si="6"/>
        <v>Erythrocebus_patas19.5</v>
      </c>
      <c r="C390" s="6" t="s">
        <v>65</v>
      </c>
      <c r="D390" s="7">
        <v>19.5</v>
      </c>
      <c r="E390" s="14" t="s">
        <v>211</v>
      </c>
    </row>
    <row r="391" spans="1:7">
      <c r="A391" s="45" t="str">
        <f>IF(COUNTIF($B$2:B391,B391)=1,"ok","dup")</f>
        <v>ok</v>
      </c>
      <c r="B391" s="45" t="str">
        <f t="shared" si="6"/>
        <v>Erythrocebus_patas12</v>
      </c>
      <c r="C391" s="6" t="s">
        <v>65</v>
      </c>
      <c r="D391" s="7">
        <v>12</v>
      </c>
      <c r="E391" s="14" t="s">
        <v>220</v>
      </c>
      <c r="F391" s="14" t="s">
        <v>366</v>
      </c>
    </row>
    <row r="392" spans="1:7">
      <c r="A392" s="45" t="str">
        <f>IF(COUNTIF($B$2:B392,B392)=1,"ok","dup")</f>
        <v>ok</v>
      </c>
      <c r="B392" s="45" t="str">
        <f t="shared" si="6"/>
        <v>Erythrocebus_patas19</v>
      </c>
      <c r="C392" s="6" t="s">
        <v>65</v>
      </c>
      <c r="D392" s="7">
        <v>19</v>
      </c>
      <c r="E392" s="14" t="s">
        <v>220</v>
      </c>
      <c r="F392" s="14" t="s">
        <v>367</v>
      </c>
      <c r="G392" s="6" t="s">
        <v>330</v>
      </c>
    </row>
    <row r="393" spans="1:7">
      <c r="A393" s="45" t="str">
        <f>IF(COUNTIF($B$2:B393,B393)=1,"ok","dup")</f>
        <v>dup</v>
      </c>
      <c r="B393" s="45" t="str">
        <f t="shared" si="6"/>
        <v>Erythrocebus_patas20</v>
      </c>
      <c r="C393" s="6" t="s">
        <v>65</v>
      </c>
      <c r="D393" s="7">
        <v>20</v>
      </c>
      <c r="E393" s="14" t="s">
        <v>220</v>
      </c>
      <c r="F393" s="14" t="s">
        <v>368</v>
      </c>
      <c r="G393" s="6" t="s">
        <v>235</v>
      </c>
    </row>
    <row r="394" spans="1:7">
      <c r="A394" s="45" t="str">
        <f>IF(COUNTIF($B$2:B394,B394)=1,"ok","dup")</f>
        <v>dup</v>
      </c>
      <c r="B394" s="45" t="str">
        <f t="shared" si="6"/>
        <v>Erythrocebus_patas20</v>
      </c>
      <c r="C394" s="6" t="s">
        <v>65</v>
      </c>
      <c r="D394" s="7">
        <v>20</v>
      </c>
      <c r="E394" s="14" t="s">
        <v>220</v>
      </c>
      <c r="F394" s="14" t="s">
        <v>369</v>
      </c>
      <c r="G394" s="6" t="s">
        <v>330</v>
      </c>
    </row>
    <row r="395" spans="1:7">
      <c r="A395" s="45" t="str">
        <f>IF(COUNTIF($B$2:B395,B395)=1,"ok","dup")</f>
        <v>dup</v>
      </c>
      <c r="B395" s="45" t="str">
        <f t="shared" si="6"/>
        <v>Erythrocebus_patas20.6</v>
      </c>
      <c r="C395" s="6" t="s">
        <v>65</v>
      </c>
      <c r="D395" s="7">
        <v>20.6</v>
      </c>
      <c r="E395" s="14" t="s">
        <v>220</v>
      </c>
      <c r="F395" s="14" t="s">
        <v>327</v>
      </c>
      <c r="G395" s="6" t="s">
        <v>228</v>
      </c>
    </row>
    <row r="396" spans="1:7">
      <c r="A396" s="45" t="str">
        <f>IF(COUNTIF($B$2:B396,B396)=1,"ok","dup")</f>
        <v>ok</v>
      </c>
      <c r="B396" s="45" t="str">
        <f t="shared" si="6"/>
        <v>Erythrocebus_patas21</v>
      </c>
      <c r="C396" s="6" t="s">
        <v>65</v>
      </c>
      <c r="D396" s="7">
        <v>21</v>
      </c>
      <c r="E396" s="14" t="s">
        <v>220</v>
      </c>
      <c r="F396" s="14" t="s">
        <v>370</v>
      </c>
      <c r="G396" s="6" t="s">
        <v>330</v>
      </c>
    </row>
    <row r="397" spans="1:7">
      <c r="A397" s="45" t="str">
        <f>IF(COUNTIF($B$2:B397,B397)=1,"ok","dup")</f>
        <v>ok</v>
      </c>
      <c r="B397" s="45" t="str">
        <f t="shared" si="6"/>
        <v>Erythrocebus_patas24</v>
      </c>
      <c r="C397" s="6" t="s">
        <v>65</v>
      </c>
      <c r="D397" s="7">
        <v>24</v>
      </c>
      <c r="E397" s="14" t="s">
        <v>220</v>
      </c>
      <c r="F397" s="14" t="s">
        <v>371</v>
      </c>
      <c r="G397" s="6" t="s">
        <v>226</v>
      </c>
    </row>
    <row r="398" spans="1:7">
      <c r="A398" s="45" t="str">
        <f>IF(COUNTIF($B$2:B398,B398)=1,"ok","dup")</f>
        <v>ok</v>
      </c>
      <c r="B398" s="45" t="str">
        <f t="shared" si="6"/>
        <v>Erythrocebus_patas31.2</v>
      </c>
      <c r="C398" s="6" t="s">
        <v>65</v>
      </c>
      <c r="D398" s="7">
        <v>31.2</v>
      </c>
      <c r="E398" s="14" t="s">
        <v>220</v>
      </c>
      <c r="F398" s="14" t="s">
        <v>372</v>
      </c>
      <c r="G398" s="6" t="s">
        <v>330</v>
      </c>
    </row>
    <row r="399" spans="1:7">
      <c r="A399" s="45" t="str">
        <f>IF(COUNTIF($B$2:B399,B399)=1,"ok","dup")</f>
        <v>dup</v>
      </c>
      <c r="B399" s="45" t="str">
        <f t="shared" si="6"/>
        <v>Erythrocebus_patas35.5</v>
      </c>
      <c r="C399" s="6" t="s">
        <v>65</v>
      </c>
      <c r="D399" s="7">
        <v>35.5</v>
      </c>
      <c r="E399" s="14" t="s">
        <v>220</v>
      </c>
      <c r="F399" s="14" t="s">
        <v>373</v>
      </c>
      <c r="G399" s="6" t="s">
        <v>239</v>
      </c>
    </row>
    <row r="400" spans="1:7">
      <c r="A400" s="45" t="str">
        <f>IF(COUNTIF($B$2:B400,B400)=1,"ok","dup")</f>
        <v>dup</v>
      </c>
      <c r="B400" s="45" t="str">
        <f t="shared" si="6"/>
        <v>Erythrocebus_patas35.5</v>
      </c>
      <c r="C400" s="6" t="s">
        <v>65</v>
      </c>
      <c r="D400" s="7">
        <v>35.5</v>
      </c>
      <c r="E400" s="14" t="s">
        <v>220</v>
      </c>
      <c r="F400" s="14" t="s">
        <v>327</v>
      </c>
      <c r="G400" s="6" t="s">
        <v>228</v>
      </c>
    </row>
    <row r="401" spans="1:6">
      <c r="A401" s="45" t="str">
        <f>IF(COUNTIF($B$2:B401,B401)=1,"ok","dup")</f>
        <v>ok</v>
      </c>
      <c r="B401" s="45" t="str">
        <f t="shared" si="6"/>
        <v>Erythrocebus_patas37</v>
      </c>
      <c r="C401" s="6" t="s">
        <v>65</v>
      </c>
      <c r="D401" s="7">
        <v>37</v>
      </c>
      <c r="E401" s="14" t="s">
        <v>220</v>
      </c>
      <c r="F401" s="14" t="s">
        <v>374</v>
      </c>
    </row>
    <row r="402" spans="1:6">
      <c r="A402" s="45" t="str">
        <f>IF(COUNTIF($B$2:B402,B402)=1,"ok","dup")</f>
        <v>ok</v>
      </c>
      <c r="B402" s="45" t="str">
        <f t="shared" si="6"/>
        <v>Erythrocebus_patas44</v>
      </c>
      <c r="C402" s="6" t="s">
        <v>65</v>
      </c>
      <c r="D402" s="7">
        <v>44</v>
      </c>
      <c r="E402" s="14" t="s">
        <v>220</v>
      </c>
      <c r="F402" s="14" t="s">
        <v>366</v>
      </c>
    </row>
    <row r="403" spans="1:6">
      <c r="A403" s="45" t="str">
        <f>IF(COUNTIF($B$2:B403,B403)=1,"ok","dup")</f>
        <v>ok</v>
      </c>
      <c r="B403" s="45" t="str">
        <f t="shared" si="6"/>
        <v>Erythrocebus_patas45</v>
      </c>
      <c r="C403" s="6" t="s">
        <v>65</v>
      </c>
      <c r="D403" s="7">
        <v>45</v>
      </c>
      <c r="E403" s="14" t="s">
        <v>220</v>
      </c>
      <c r="F403" s="14" t="s">
        <v>366</v>
      </c>
    </row>
    <row r="404" spans="1:6">
      <c r="A404" s="45" t="str">
        <f>IF(COUNTIF($B$2:B404,B404)=1,"ok","dup")</f>
        <v>ok</v>
      </c>
      <c r="B404" s="45" t="str">
        <f t="shared" si="6"/>
        <v>Erythrocebus_patas51</v>
      </c>
      <c r="C404" s="6" t="s">
        <v>65</v>
      </c>
      <c r="D404" s="7">
        <v>51</v>
      </c>
      <c r="E404" s="14" t="s">
        <v>220</v>
      </c>
      <c r="F404" s="14" t="s">
        <v>375</v>
      </c>
    </row>
    <row r="405" spans="1:6">
      <c r="A405" s="45" t="str">
        <f>IF(COUNTIF($B$2:B405,B405)=1,"ok","dup")</f>
        <v>ok</v>
      </c>
      <c r="B405" s="45" t="str">
        <f t="shared" si="6"/>
        <v>Erythrocebus_patas8</v>
      </c>
      <c r="C405" s="6" t="s">
        <v>65</v>
      </c>
      <c r="D405" s="7">
        <v>8</v>
      </c>
      <c r="E405" s="14" t="s">
        <v>220</v>
      </c>
      <c r="F405" s="14" t="s">
        <v>376</v>
      </c>
    </row>
    <row r="406" spans="1:6">
      <c r="A406" s="45" t="str">
        <f>IF(COUNTIF($B$2:B406,B406)=1,"ok","dup")</f>
        <v>ok</v>
      </c>
      <c r="B406" s="45" t="str">
        <f t="shared" si="6"/>
        <v>Erythrocebus_patas10</v>
      </c>
      <c r="C406" s="6" t="s">
        <v>65</v>
      </c>
      <c r="D406" s="7">
        <v>10</v>
      </c>
      <c r="E406" s="14" t="s">
        <v>214</v>
      </c>
      <c r="F406" s="14" t="s">
        <v>377</v>
      </c>
    </row>
    <row r="407" spans="1:6">
      <c r="A407" s="45" t="str">
        <f>IF(COUNTIF($B$2:B407,B407)=1,"ok","dup")</f>
        <v>ok</v>
      </c>
      <c r="B407" s="45" t="str">
        <f t="shared" si="6"/>
        <v>Eulemur_coronatus8.4</v>
      </c>
      <c r="C407" s="6" t="s">
        <v>378</v>
      </c>
      <c r="D407" s="7">
        <v>8.4</v>
      </c>
      <c r="E407" s="14" t="s">
        <v>276</v>
      </c>
      <c r="F407" s="14" t="s">
        <v>277</v>
      </c>
    </row>
    <row r="408" spans="1:6">
      <c r="A408" s="45" t="str">
        <f>IF(COUNTIF($B$2:B408,B408)=1,"ok","dup")</f>
        <v>ok</v>
      </c>
      <c r="B408" s="45" t="str">
        <f t="shared" si="6"/>
        <v>Eulemur_coronatus5.5</v>
      </c>
      <c r="C408" s="6" t="s">
        <v>378</v>
      </c>
      <c r="D408" s="7">
        <v>5.5</v>
      </c>
      <c r="E408" s="14" t="s">
        <v>211</v>
      </c>
    </row>
    <row r="409" spans="1:6">
      <c r="A409" s="45" t="str">
        <f>IF(COUNTIF($B$2:B409,B409)=1,"ok","dup")</f>
        <v>ok</v>
      </c>
      <c r="B409" s="45" t="str">
        <f t="shared" si="6"/>
        <v>Eulemur_fulvus_fulvus9.5</v>
      </c>
      <c r="C409" s="6" t="s">
        <v>66</v>
      </c>
      <c r="D409" s="7">
        <v>9.5</v>
      </c>
      <c r="E409" s="14" t="s">
        <v>216</v>
      </c>
      <c r="F409" s="14" t="s">
        <v>320</v>
      </c>
    </row>
    <row r="410" spans="1:6">
      <c r="A410" s="45" t="str">
        <f>IF(COUNTIF($B$2:B410,B410)=1,"ok","dup")</f>
        <v>ok</v>
      </c>
      <c r="B410" s="45" t="str">
        <f t="shared" si="6"/>
        <v>Eulemur_fulvus_fulvus9</v>
      </c>
      <c r="C410" s="6" t="s">
        <v>66</v>
      </c>
      <c r="D410" s="7">
        <v>9</v>
      </c>
      <c r="E410" s="14" t="s">
        <v>212</v>
      </c>
    </row>
    <row r="411" spans="1:6">
      <c r="A411" s="45" t="str">
        <f>IF(COUNTIF($B$2:B411,B411)=1,"ok","dup")</f>
        <v>dup</v>
      </c>
      <c r="B411" s="45" t="str">
        <f t="shared" si="6"/>
        <v>Eulemur_fulvus_fulvus9.5</v>
      </c>
      <c r="C411" s="6" t="s">
        <v>66</v>
      </c>
      <c r="D411" s="7">
        <v>9.5</v>
      </c>
      <c r="E411" s="14" t="s">
        <v>218</v>
      </c>
      <c r="F411" s="14" t="s">
        <v>379</v>
      </c>
    </row>
    <row r="412" spans="1:6">
      <c r="A412" s="45" t="str">
        <f>IF(COUNTIF($B$2:B412,B412)=1,"ok","dup")</f>
        <v>ok</v>
      </c>
      <c r="B412" s="45" t="str">
        <f t="shared" si="6"/>
        <v>Eulemur_fulvus_fulvus9.4</v>
      </c>
      <c r="C412" s="6" t="s">
        <v>66</v>
      </c>
      <c r="D412" s="7">
        <v>9.4</v>
      </c>
      <c r="E412" s="14" t="s">
        <v>213</v>
      </c>
    </row>
    <row r="413" spans="1:6">
      <c r="A413" s="45" t="str">
        <f>IF(COUNTIF($B$2:B413,B413)=1,"ok","dup")</f>
        <v>ok</v>
      </c>
      <c r="B413" s="45" t="str">
        <f t="shared" si="6"/>
        <v>Eulemur_fulvus_fulvus15.5</v>
      </c>
      <c r="C413" s="6" t="s">
        <v>66</v>
      </c>
      <c r="D413" s="7">
        <v>15.5</v>
      </c>
      <c r="E413" s="14" t="s">
        <v>211</v>
      </c>
    </row>
    <row r="414" spans="1:6">
      <c r="A414" s="45" t="str">
        <f>IF(COUNTIF($B$2:B414,B414)=1,"ok","dup")</f>
        <v>ok</v>
      </c>
      <c r="B414" s="45" t="str">
        <f t="shared" si="6"/>
        <v>Eulemur_fulvus_fulvus7</v>
      </c>
      <c r="C414" s="6" t="s">
        <v>66</v>
      </c>
      <c r="D414" s="7">
        <v>7</v>
      </c>
      <c r="E414" s="14" t="s">
        <v>214</v>
      </c>
      <c r="F414" s="14" t="s">
        <v>380</v>
      </c>
    </row>
    <row r="415" spans="1:6">
      <c r="A415" s="45" t="str">
        <f>IF(COUNTIF($B$2:B415,B415)=1,"ok","dup")</f>
        <v>ok</v>
      </c>
      <c r="B415" s="45" t="str">
        <f t="shared" si="6"/>
        <v>Eulemur_fulvus_rufus9.2</v>
      </c>
      <c r="C415" s="6" t="s">
        <v>381</v>
      </c>
      <c r="D415" s="7">
        <v>9.1999999999999993</v>
      </c>
      <c r="E415" s="14" t="s">
        <v>276</v>
      </c>
      <c r="F415" s="14" t="s">
        <v>277</v>
      </c>
    </row>
    <row r="416" spans="1:6">
      <c r="A416" s="45" t="str">
        <f>IF(COUNTIF($B$2:B416,B416)=1,"ok","dup")</f>
        <v>ok</v>
      </c>
      <c r="B416" s="45" t="str">
        <f t="shared" si="6"/>
        <v>Eulemur_macaco_macaco8.4</v>
      </c>
      <c r="C416" s="6" t="s">
        <v>382</v>
      </c>
      <c r="D416" s="7">
        <v>8.4</v>
      </c>
      <c r="E416" s="14" t="s">
        <v>276</v>
      </c>
      <c r="F416" s="14" t="s">
        <v>277</v>
      </c>
    </row>
    <row r="417" spans="1:7">
      <c r="A417" s="45" t="str">
        <f>IF(COUNTIF($B$2:B417,B417)=1,"ok","dup")</f>
        <v>ok</v>
      </c>
      <c r="B417" s="45" t="str">
        <f t="shared" si="6"/>
        <v>Eulemur_macaco_macaco10</v>
      </c>
      <c r="C417" s="6" t="s">
        <v>382</v>
      </c>
      <c r="D417" s="7">
        <v>10</v>
      </c>
      <c r="E417" s="14" t="s">
        <v>212</v>
      </c>
    </row>
    <row r="418" spans="1:7">
      <c r="A418" s="45" t="str">
        <f>IF(COUNTIF($B$2:B418,B418)=1,"ok","dup")</f>
        <v>ok</v>
      </c>
      <c r="B418" s="45" t="str">
        <f t="shared" si="6"/>
        <v>Eulemur_macaco_macaco8.5</v>
      </c>
      <c r="C418" s="6" t="s">
        <v>382</v>
      </c>
      <c r="D418" s="7">
        <v>8.5</v>
      </c>
      <c r="E418" s="14" t="s">
        <v>211</v>
      </c>
    </row>
    <row r="419" spans="1:7">
      <c r="A419" s="45" t="str">
        <f>IF(COUNTIF($B$2:B419,B419)=1,"ok","dup")</f>
        <v>ok</v>
      </c>
      <c r="B419" s="45" t="str">
        <f t="shared" si="6"/>
        <v>Eulemur_mongoz3.5</v>
      </c>
      <c r="C419" s="6" t="s">
        <v>67</v>
      </c>
      <c r="D419" s="7">
        <v>3.5</v>
      </c>
      <c r="E419" s="14" t="s">
        <v>276</v>
      </c>
      <c r="F419" s="14" t="s">
        <v>277</v>
      </c>
    </row>
    <row r="420" spans="1:7">
      <c r="A420" s="45" t="str">
        <f>IF(COUNTIF($B$2:B420,B420)=1,"ok","dup")</f>
        <v>ok</v>
      </c>
      <c r="B420" s="45" t="str">
        <f t="shared" si="6"/>
        <v>Eulemur_mongoz2.6</v>
      </c>
      <c r="C420" s="6" t="s">
        <v>67</v>
      </c>
      <c r="D420" s="7">
        <v>2.6</v>
      </c>
      <c r="E420" s="14" t="s">
        <v>216</v>
      </c>
      <c r="F420" s="14" t="s">
        <v>320</v>
      </c>
    </row>
    <row r="421" spans="1:7">
      <c r="A421" s="45" t="str">
        <f>IF(COUNTIF($B$2:B421,B421)=1,"ok","dup")</f>
        <v>ok</v>
      </c>
      <c r="B421" s="45" t="str">
        <f t="shared" si="6"/>
        <v>Eulemur_mongoz2</v>
      </c>
      <c r="C421" s="6" t="s">
        <v>67</v>
      </c>
      <c r="D421" s="7">
        <v>2</v>
      </c>
      <c r="E421" s="14" t="s">
        <v>212</v>
      </c>
    </row>
    <row r="422" spans="1:7">
      <c r="A422" s="45" t="str">
        <f>IF(COUNTIF($B$2:B422,B422)=1,"ok","dup")</f>
        <v>dup</v>
      </c>
      <c r="B422" s="45" t="str">
        <f t="shared" si="6"/>
        <v>Eulemur_mongoz2.6</v>
      </c>
      <c r="C422" s="6" t="s">
        <v>67</v>
      </c>
      <c r="D422" s="7">
        <v>2.6</v>
      </c>
      <c r="E422" s="14" t="s">
        <v>213</v>
      </c>
    </row>
    <row r="423" spans="1:7">
      <c r="A423" s="45" t="str">
        <f>IF(COUNTIF($B$2:B423,B423)=1,"ok","dup")</f>
        <v>dup</v>
      </c>
      <c r="B423" s="45" t="str">
        <f t="shared" si="6"/>
        <v>Eulemur_mongoz3.5</v>
      </c>
      <c r="C423" s="6" t="s">
        <v>67</v>
      </c>
      <c r="D423" s="7">
        <v>3.5</v>
      </c>
      <c r="E423" s="14" t="s">
        <v>211</v>
      </c>
    </row>
    <row r="424" spans="1:7">
      <c r="A424" s="45" t="str">
        <f>IF(COUNTIF($B$2:B424,B424)=1,"ok","dup")</f>
        <v>ok</v>
      </c>
      <c r="B424" s="45" t="str">
        <f t="shared" si="6"/>
        <v>Eulemur_rubriventer3.2</v>
      </c>
      <c r="C424" s="6" t="s">
        <v>383</v>
      </c>
      <c r="D424" s="7">
        <v>3.2</v>
      </c>
      <c r="E424" s="14" t="s">
        <v>276</v>
      </c>
      <c r="F424" s="14" t="s">
        <v>277</v>
      </c>
    </row>
    <row r="425" spans="1:7">
      <c r="A425" s="45" t="str">
        <f>IF(COUNTIF($B$2:B425,B425)=1,"ok","dup")</f>
        <v>ok</v>
      </c>
      <c r="B425" s="45" t="str">
        <f t="shared" si="6"/>
        <v>Eulemur_rubriventer3</v>
      </c>
      <c r="C425" s="6" t="s">
        <v>383</v>
      </c>
      <c r="D425" s="7">
        <v>3</v>
      </c>
      <c r="E425" s="14" t="s">
        <v>211</v>
      </c>
    </row>
    <row r="426" spans="1:7">
      <c r="A426" s="45" t="str">
        <f>IF(COUNTIF($B$2:B426,B426)=1,"ok","dup")</f>
        <v>ok</v>
      </c>
      <c r="B426" s="45" t="str">
        <f t="shared" si="6"/>
        <v>Euoticus_elegantulus1</v>
      </c>
      <c r="C426" s="6" t="s">
        <v>384</v>
      </c>
      <c r="D426" s="7">
        <v>1</v>
      </c>
      <c r="E426" s="14" t="s">
        <v>213</v>
      </c>
    </row>
    <row r="427" spans="1:7">
      <c r="A427" s="45" t="str">
        <f>IF(COUNTIF($B$2:B427,B427)=1,"ok","dup")</f>
        <v>ok</v>
      </c>
      <c r="B427" s="45" t="str">
        <f t="shared" si="6"/>
        <v>Euoticus_elegantulus4</v>
      </c>
      <c r="C427" s="6" t="s">
        <v>384</v>
      </c>
      <c r="D427" s="7">
        <v>4</v>
      </c>
      <c r="E427" s="14" t="s">
        <v>211</v>
      </c>
      <c r="G427" s="6" t="s">
        <v>352</v>
      </c>
    </row>
    <row r="428" spans="1:7">
      <c r="A428" s="45" t="str">
        <f>IF(COUNTIF($B$2:B428,B428)=1,"ok","dup")</f>
        <v>ok</v>
      </c>
      <c r="B428" s="45" t="str">
        <f t="shared" si="6"/>
        <v>Galago_alleni1</v>
      </c>
      <c r="C428" s="6" t="s">
        <v>385</v>
      </c>
      <c r="D428" s="7">
        <v>1</v>
      </c>
      <c r="E428" s="14" t="s">
        <v>213</v>
      </c>
    </row>
    <row r="429" spans="1:7">
      <c r="A429" s="45" t="str">
        <f>IF(COUNTIF($B$2:B429,B429)=1,"ok","dup")</f>
        <v>ok</v>
      </c>
      <c r="B429" s="45" t="str">
        <f t="shared" si="6"/>
        <v>Galago_alleni2.5</v>
      </c>
      <c r="C429" s="6" t="s">
        <v>385</v>
      </c>
      <c r="D429" s="7">
        <v>2.5</v>
      </c>
      <c r="E429" s="14" t="s">
        <v>211</v>
      </c>
      <c r="G429" s="6" t="s">
        <v>352</v>
      </c>
    </row>
    <row r="430" spans="1:7">
      <c r="A430" s="45" t="str">
        <f>IF(COUNTIF($B$2:B430,B430)=1,"ok","dup")</f>
        <v>ok</v>
      </c>
      <c r="B430" s="45" t="str">
        <f t="shared" si="6"/>
        <v>Galago_moholi2</v>
      </c>
      <c r="C430" s="6" t="s">
        <v>386</v>
      </c>
      <c r="D430" s="7">
        <v>2</v>
      </c>
      <c r="E430" s="14" t="s">
        <v>211</v>
      </c>
    </row>
    <row r="431" spans="1:7">
      <c r="A431" s="45" t="str">
        <f>IF(COUNTIF($B$2:B431,B431)=1,"ok","dup")</f>
        <v>ok</v>
      </c>
      <c r="B431" s="45" t="str">
        <f t="shared" si="6"/>
        <v>Galago_senegalensis1</v>
      </c>
      <c r="C431" s="6" t="s">
        <v>68</v>
      </c>
      <c r="D431" s="7">
        <v>1</v>
      </c>
      <c r="E431" s="14" t="s">
        <v>213</v>
      </c>
    </row>
    <row r="432" spans="1:7">
      <c r="A432" s="45" t="str">
        <f>IF(COUNTIF($B$2:B432,B432)=1,"ok","dup")</f>
        <v>ok</v>
      </c>
      <c r="B432" s="45" t="str">
        <f t="shared" si="6"/>
        <v>Galagoides_demidoff1</v>
      </c>
      <c r="C432" s="6" t="s">
        <v>69</v>
      </c>
      <c r="D432" s="7">
        <v>1</v>
      </c>
      <c r="E432" s="14" t="s">
        <v>213</v>
      </c>
    </row>
    <row r="433" spans="1:7">
      <c r="A433" s="45" t="str">
        <f>IF(COUNTIF($B$2:B433,B433)=1,"ok","dup")</f>
        <v>ok</v>
      </c>
      <c r="B433" s="45" t="str">
        <f t="shared" si="6"/>
        <v>Galagoides_demidoff3.5</v>
      </c>
      <c r="C433" s="6" t="s">
        <v>69</v>
      </c>
      <c r="D433" s="7">
        <v>3.5</v>
      </c>
      <c r="E433" s="14" t="s">
        <v>211</v>
      </c>
      <c r="G433" s="6" t="s">
        <v>352</v>
      </c>
    </row>
    <row r="434" spans="1:7">
      <c r="A434" s="45" t="str">
        <f>IF(COUNTIF($B$2:B434,B434)=1,"ok","dup")</f>
        <v>ok</v>
      </c>
      <c r="B434" s="45" t="str">
        <f t="shared" si="6"/>
        <v>Galagoides_zanzibaricus3.5</v>
      </c>
      <c r="C434" s="6" t="s">
        <v>387</v>
      </c>
      <c r="D434" s="7">
        <v>3.5</v>
      </c>
      <c r="E434" s="14" t="s">
        <v>211</v>
      </c>
      <c r="G434" s="6" t="s">
        <v>352</v>
      </c>
    </row>
    <row r="435" spans="1:7">
      <c r="A435" s="45" t="str">
        <f>IF(COUNTIF($B$2:B435,B435)=1,"ok","dup")</f>
        <v>ok</v>
      </c>
      <c r="B435" s="45" t="str">
        <f t="shared" si="6"/>
        <v>Gorilla_beringei17</v>
      </c>
      <c r="C435" s="6" t="s">
        <v>71</v>
      </c>
      <c r="D435" s="7">
        <v>17</v>
      </c>
      <c r="E435" s="14" t="s">
        <v>213</v>
      </c>
    </row>
    <row r="436" spans="1:7">
      <c r="A436" s="45" t="str">
        <f>IF(COUNTIF($B$2:B436,B436)=1,"ok","dup")</f>
        <v>ok</v>
      </c>
      <c r="B436" s="45" t="str">
        <f t="shared" si="6"/>
        <v>Gorilla_beringei9</v>
      </c>
      <c r="C436" s="6" t="s">
        <v>71</v>
      </c>
      <c r="D436" s="7">
        <v>9</v>
      </c>
      <c r="E436" s="14" t="s">
        <v>211</v>
      </c>
    </row>
    <row r="437" spans="1:7">
      <c r="A437" s="45" t="str">
        <f>IF(COUNTIF($B$2:B437,B437)=1,"ok","dup")</f>
        <v>ok</v>
      </c>
      <c r="B437" s="45" t="str">
        <f t="shared" si="6"/>
        <v>Gorilla_gorilla_gorilla9</v>
      </c>
      <c r="C437" s="6" t="s">
        <v>73</v>
      </c>
      <c r="D437" s="7">
        <v>9</v>
      </c>
      <c r="E437" s="14" t="s">
        <v>216</v>
      </c>
      <c r="F437" s="14" t="s">
        <v>388</v>
      </c>
    </row>
    <row r="438" spans="1:7">
      <c r="A438" s="45" t="str">
        <f>IF(COUNTIF($B$2:B438,B438)=1,"ok","dup")</f>
        <v>ok</v>
      </c>
      <c r="B438" s="45" t="str">
        <f t="shared" si="6"/>
        <v>Gorilla_gorilla_gorilla6</v>
      </c>
      <c r="C438" s="6" t="s">
        <v>73</v>
      </c>
      <c r="D438" s="7">
        <v>6</v>
      </c>
      <c r="E438" s="14" t="s">
        <v>218</v>
      </c>
      <c r="F438" s="14" t="s">
        <v>389</v>
      </c>
    </row>
    <row r="439" spans="1:7">
      <c r="A439" s="45" t="str">
        <f>IF(COUNTIF($B$2:B439,B439)=1,"ok","dup")</f>
        <v>ok</v>
      </c>
      <c r="B439" s="45" t="str">
        <f t="shared" si="6"/>
        <v>Gorilla_gorilla_gorilla12</v>
      </c>
      <c r="C439" s="6" t="s">
        <v>73</v>
      </c>
      <c r="D439" s="7">
        <v>12</v>
      </c>
      <c r="E439" s="14" t="s">
        <v>211</v>
      </c>
    </row>
    <row r="440" spans="1:7">
      <c r="A440" s="45" t="str">
        <f>IF(COUNTIF($B$2:B440,B440)=1,"ok","dup")</f>
        <v>ok</v>
      </c>
      <c r="B440" s="45" t="str">
        <f t="shared" si="6"/>
        <v>Gorilla_gorilla_gorilla11</v>
      </c>
      <c r="C440" s="6" t="s">
        <v>73</v>
      </c>
      <c r="D440" s="7">
        <v>11</v>
      </c>
      <c r="E440" s="14" t="s">
        <v>220</v>
      </c>
      <c r="F440" s="14" t="s">
        <v>390</v>
      </c>
    </row>
    <row r="441" spans="1:7">
      <c r="A441" s="45" t="str">
        <f>IF(COUNTIF($B$2:B441,B441)=1,"ok","dup")</f>
        <v>dup</v>
      </c>
      <c r="B441" s="45" t="str">
        <f t="shared" si="6"/>
        <v>Gorilla_gorilla_gorilla11</v>
      </c>
      <c r="C441" s="6" t="s">
        <v>73</v>
      </c>
      <c r="D441" s="7">
        <v>11</v>
      </c>
      <c r="E441" s="14" t="s">
        <v>220</v>
      </c>
      <c r="F441" s="14" t="s">
        <v>390</v>
      </c>
    </row>
    <row r="442" spans="1:7">
      <c r="A442" s="45" t="str">
        <f>IF(COUNTIF($B$2:B442,B442)=1,"ok","dup")</f>
        <v>ok</v>
      </c>
      <c r="B442" s="45" t="str">
        <f t="shared" si="6"/>
        <v>Gorilla_gorilla_gorilla13</v>
      </c>
      <c r="C442" s="6" t="s">
        <v>73</v>
      </c>
      <c r="D442" s="7">
        <v>13</v>
      </c>
      <c r="E442" s="14" t="s">
        <v>220</v>
      </c>
      <c r="F442" s="14" t="s">
        <v>390</v>
      </c>
    </row>
    <row r="443" spans="1:7">
      <c r="A443" s="45" t="str">
        <f>IF(COUNTIF($B$2:B443,B443)=1,"ok","dup")</f>
        <v>dup</v>
      </c>
      <c r="B443" s="45" t="str">
        <f t="shared" si="6"/>
        <v>Gorilla_gorilla_gorilla13</v>
      </c>
      <c r="C443" s="6" t="s">
        <v>73</v>
      </c>
      <c r="D443" s="7">
        <v>13</v>
      </c>
      <c r="E443" s="14" t="s">
        <v>220</v>
      </c>
      <c r="F443" s="14" t="s">
        <v>391</v>
      </c>
    </row>
    <row r="444" spans="1:7">
      <c r="A444" s="45" t="str">
        <f>IF(COUNTIF($B$2:B444,B444)=1,"ok","dup")</f>
        <v>ok</v>
      </c>
      <c r="B444" s="45" t="str">
        <f t="shared" si="6"/>
        <v>Gorilla_gorilla_gorilla13.7</v>
      </c>
      <c r="C444" s="6" t="s">
        <v>73</v>
      </c>
      <c r="D444" s="7">
        <v>13.7</v>
      </c>
      <c r="E444" s="14" t="s">
        <v>220</v>
      </c>
      <c r="F444" s="14" t="s">
        <v>392</v>
      </c>
      <c r="G444" s="6" t="s">
        <v>226</v>
      </c>
    </row>
    <row r="445" spans="1:7">
      <c r="A445" s="45" t="str">
        <f>IF(COUNTIF($B$2:B445,B445)=1,"ok","dup")</f>
        <v>ok</v>
      </c>
      <c r="B445" s="45" t="str">
        <f t="shared" si="6"/>
        <v>Gorilla_gorilla_gorilla14</v>
      </c>
      <c r="C445" s="6" t="s">
        <v>73</v>
      </c>
      <c r="D445" s="7">
        <v>14</v>
      </c>
      <c r="E445" s="14" t="s">
        <v>220</v>
      </c>
      <c r="F445" s="14" t="s">
        <v>390</v>
      </c>
    </row>
    <row r="446" spans="1:7">
      <c r="A446" s="45" t="str">
        <f>IF(COUNTIF($B$2:B446,B446)=1,"ok","dup")</f>
        <v>ok</v>
      </c>
      <c r="B446" s="45" t="str">
        <f t="shared" si="6"/>
        <v>Gorilla_gorilla_gorilla16</v>
      </c>
      <c r="C446" s="6" t="s">
        <v>73</v>
      </c>
      <c r="D446" s="7">
        <v>16</v>
      </c>
      <c r="E446" s="14" t="s">
        <v>220</v>
      </c>
      <c r="F446" s="14" t="s">
        <v>390</v>
      </c>
    </row>
    <row r="447" spans="1:7">
      <c r="A447" s="45" t="str">
        <f>IF(COUNTIF($B$2:B447,B447)=1,"ok","dup")</f>
        <v>ok</v>
      </c>
      <c r="B447" s="45" t="str">
        <f t="shared" si="6"/>
        <v>Gorilla_gorilla_gorilla17</v>
      </c>
      <c r="C447" s="6" t="s">
        <v>73</v>
      </c>
      <c r="D447" s="7">
        <v>17</v>
      </c>
      <c r="E447" s="14" t="s">
        <v>220</v>
      </c>
      <c r="F447" s="14" t="s">
        <v>393</v>
      </c>
      <c r="G447" s="6" t="s">
        <v>394</v>
      </c>
    </row>
    <row r="448" spans="1:7">
      <c r="A448" s="45" t="str">
        <f>IF(COUNTIF($B$2:B448,B448)=1,"ok","dup")</f>
        <v>ok</v>
      </c>
      <c r="B448" s="45" t="str">
        <f t="shared" si="6"/>
        <v>Gorilla_gorilla_gorilla2</v>
      </c>
      <c r="C448" s="6" t="s">
        <v>73</v>
      </c>
      <c r="D448" s="7">
        <v>2</v>
      </c>
      <c r="E448" s="14" t="s">
        <v>220</v>
      </c>
      <c r="F448" s="14" t="s">
        <v>390</v>
      </c>
    </row>
    <row r="449" spans="1:7">
      <c r="A449" s="45" t="str">
        <f>IF(COUNTIF($B$2:B449,B449)=1,"ok","dup")</f>
        <v>ok</v>
      </c>
      <c r="B449" s="45" t="str">
        <f t="shared" si="6"/>
        <v>Gorilla_gorilla_gorilla27</v>
      </c>
      <c r="C449" s="6" t="s">
        <v>73</v>
      </c>
      <c r="D449" s="7">
        <v>27</v>
      </c>
      <c r="E449" s="14" t="s">
        <v>220</v>
      </c>
      <c r="F449" s="14" t="s">
        <v>392</v>
      </c>
      <c r="G449" s="6" t="s">
        <v>239</v>
      </c>
    </row>
    <row r="450" spans="1:7">
      <c r="A450" s="45" t="str">
        <f>IF(COUNTIF($B$2:B450,B450)=1,"ok","dup")</f>
        <v>ok</v>
      </c>
      <c r="B450" s="45" t="str">
        <f t="shared" ref="B450:B513" si="7">C450&amp;D450</f>
        <v>Gorilla_gorilla_gorilla3</v>
      </c>
      <c r="C450" s="6" t="s">
        <v>73</v>
      </c>
      <c r="D450" s="7">
        <v>3</v>
      </c>
      <c r="E450" s="14" t="s">
        <v>220</v>
      </c>
      <c r="F450" s="14" t="s">
        <v>390</v>
      </c>
    </row>
    <row r="451" spans="1:7">
      <c r="A451" s="45" t="str">
        <f>IF(COUNTIF($B$2:B451,B451)=1,"ok","dup")</f>
        <v>dup</v>
      </c>
      <c r="B451" s="45" t="str">
        <f t="shared" si="7"/>
        <v>Gorilla_gorilla_gorilla3</v>
      </c>
      <c r="C451" s="6" t="s">
        <v>73</v>
      </c>
      <c r="D451" s="7">
        <v>3</v>
      </c>
      <c r="E451" s="14" t="s">
        <v>220</v>
      </c>
      <c r="F451" s="14" t="s">
        <v>395</v>
      </c>
    </row>
    <row r="452" spans="1:7">
      <c r="A452" s="45" t="str">
        <f>IF(COUNTIF($B$2:B452,B452)=1,"ok","dup")</f>
        <v>ok</v>
      </c>
      <c r="B452" s="45" t="str">
        <f t="shared" si="7"/>
        <v>Gorilla_gorilla_gorilla4</v>
      </c>
      <c r="C452" s="6" t="s">
        <v>73</v>
      </c>
      <c r="D452" s="7">
        <v>4</v>
      </c>
      <c r="E452" s="14" t="s">
        <v>220</v>
      </c>
      <c r="F452" s="14" t="s">
        <v>390</v>
      </c>
    </row>
    <row r="453" spans="1:7">
      <c r="A453" s="45" t="str">
        <f>IF(COUNTIF($B$2:B453,B453)=1,"ok","dup")</f>
        <v>ok</v>
      </c>
      <c r="B453" s="45" t="str">
        <f t="shared" si="7"/>
        <v>Gorilla_gorilla_gorilla5</v>
      </c>
      <c r="C453" s="6" t="s">
        <v>73</v>
      </c>
      <c r="D453" s="7">
        <v>5</v>
      </c>
      <c r="E453" s="14" t="s">
        <v>220</v>
      </c>
      <c r="F453" s="14" t="s">
        <v>390</v>
      </c>
    </row>
    <row r="454" spans="1:7">
      <c r="A454" s="45" t="str">
        <f>IF(COUNTIF($B$2:B454,B454)=1,"ok","dup")</f>
        <v>dup</v>
      </c>
      <c r="B454" s="45" t="str">
        <f t="shared" si="7"/>
        <v>Gorilla_gorilla_gorilla6</v>
      </c>
      <c r="C454" s="6" t="s">
        <v>73</v>
      </c>
      <c r="D454" s="7">
        <v>6</v>
      </c>
      <c r="E454" s="14" t="s">
        <v>220</v>
      </c>
      <c r="F454" s="14" t="s">
        <v>396</v>
      </c>
      <c r="G454" s="6" t="s">
        <v>222</v>
      </c>
    </row>
    <row r="455" spans="1:7">
      <c r="A455" s="45" t="str">
        <f>IF(COUNTIF($B$2:B455,B455)=1,"ok","dup")</f>
        <v>dup</v>
      </c>
      <c r="B455" s="45" t="str">
        <f t="shared" si="7"/>
        <v>Gorilla_gorilla_gorilla6</v>
      </c>
      <c r="C455" s="6" t="s">
        <v>73</v>
      </c>
      <c r="D455" s="7">
        <v>6</v>
      </c>
      <c r="E455" s="14" t="s">
        <v>220</v>
      </c>
      <c r="F455" s="14" t="s">
        <v>390</v>
      </c>
    </row>
    <row r="456" spans="1:7">
      <c r="A456" s="45" t="str">
        <f>IF(COUNTIF($B$2:B456,B456)=1,"ok","dup")</f>
        <v>ok</v>
      </c>
      <c r="B456" s="45" t="str">
        <f t="shared" si="7"/>
        <v>Gorilla_gorilla_gorilla7</v>
      </c>
      <c r="C456" s="6" t="s">
        <v>73</v>
      </c>
      <c r="D456" s="7">
        <v>7</v>
      </c>
      <c r="E456" s="14" t="s">
        <v>220</v>
      </c>
      <c r="F456" s="14" t="s">
        <v>390</v>
      </c>
    </row>
    <row r="457" spans="1:7">
      <c r="A457" s="45" t="str">
        <f>IF(COUNTIF($B$2:B457,B457)=1,"ok","dup")</f>
        <v>dup</v>
      </c>
      <c r="B457" s="45" t="str">
        <f t="shared" si="7"/>
        <v>Gorilla_gorilla_gorilla7</v>
      </c>
      <c r="C457" s="6" t="s">
        <v>73</v>
      </c>
      <c r="D457" s="7">
        <v>7</v>
      </c>
      <c r="E457" s="14" t="s">
        <v>220</v>
      </c>
      <c r="F457" s="14" t="s">
        <v>390</v>
      </c>
    </row>
    <row r="458" spans="1:7">
      <c r="A458" s="45" t="str">
        <f>IF(COUNTIF($B$2:B458,B458)=1,"ok","dup")</f>
        <v>dup</v>
      </c>
      <c r="B458" s="45" t="str">
        <f t="shared" si="7"/>
        <v>Gorilla_gorilla_gorilla9</v>
      </c>
      <c r="C458" s="6" t="s">
        <v>73</v>
      </c>
      <c r="D458" s="7">
        <v>9</v>
      </c>
      <c r="E458" s="14" t="s">
        <v>220</v>
      </c>
      <c r="F458" s="14" t="s">
        <v>397</v>
      </c>
      <c r="G458" s="6" t="s">
        <v>228</v>
      </c>
    </row>
    <row r="459" spans="1:7">
      <c r="A459" s="45" t="str">
        <f>IF(COUNTIF($B$2:B459,B459)=1,"ok","dup")</f>
        <v>dup</v>
      </c>
      <c r="B459" s="45" t="str">
        <f t="shared" si="7"/>
        <v>Gorilla_gorilla_gorilla9</v>
      </c>
      <c r="C459" s="6" t="s">
        <v>73</v>
      </c>
      <c r="D459" s="7">
        <v>9</v>
      </c>
      <c r="E459" s="14" t="s">
        <v>220</v>
      </c>
      <c r="F459" s="14" t="s">
        <v>396</v>
      </c>
      <c r="G459" s="6" t="s">
        <v>222</v>
      </c>
    </row>
    <row r="460" spans="1:7">
      <c r="A460" s="45" t="str">
        <f>IF(COUNTIF($B$2:B460,B460)=1,"ok","dup")</f>
        <v>dup</v>
      </c>
      <c r="B460" s="45" t="str">
        <f t="shared" si="7"/>
        <v>Gorilla_gorilla_gorilla9</v>
      </c>
      <c r="C460" s="6" t="s">
        <v>73</v>
      </c>
      <c r="D460" s="7">
        <v>9</v>
      </c>
      <c r="E460" s="14" t="s">
        <v>220</v>
      </c>
      <c r="F460" s="14" t="s">
        <v>390</v>
      </c>
    </row>
    <row r="461" spans="1:7">
      <c r="A461" s="45" t="str">
        <f>IF(COUNTIF($B$2:B461,B461)=1,"ok","dup")</f>
        <v>dup</v>
      </c>
      <c r="B461" s="45" t="str">
        <f t="shared" si="7"/>
        <v>Gorilla_gorilla_gorilla9</v>
      </c>
      <c r="C461" s="6" t="s">
        <v>73</v>
      </c>
      <c r="D461" s="7">
        <v>9</v>
      </c>
      <c r="E461" s="14" t="s">
        <v>220</v>
      </c>
      <c r="F461" s="14" t="s">
        <v>390</v>
      </c>
    </row>
    <row r="462" spans="1:7">
      <c r="A462" s="45" t="str">
        <f>IF(COUNTIF($B$2:B462,B462)=1,"ok","dup")</f>
        <v>dup</v>
      </c>
      <c r="B462" s="45" t="str">
        <f t="shared" si="7"/>
        <v>Gorilla_gorilla_gorilla9</v>
      </c>
      <c r="C462" s="6" t="s">
        <v>73</v>
      </c>
      <c r="D462" s="7">
        <v>9</v>
      </c>
      <c r="E462" s="14" t="s">
        <v>220</v>
      </c>
      <c r="F462" s="14" t="s">
        <v>398</v>
      </c>
    </row>
    <row r="463" spans="1:7">
      <c r="A463" s="45" t="str">
        <f>IF(COUNTIF($B$2:B463,B463)=1,"ok","dup")</f>
        <v>ok</v>
      </c>
      <c r="B463" s="45" t="str">
        <f t="shared" si="7"/>
        <v>Gorilla_gorilla_gorilla9.2</v>
      </c>
      <c r="C463" s="6" t="s">
        <v>73</v>
      </c>
      <c r="D463" s="7">
        <v>9.1999999999999993</v>
      </c>
      <c r="E463" s="14" t="s">
        <v>220</v>
      </c>
      <c r="F463" s="14" t="s">
        <v>399</v>
      </c>
      <c r="G463" s="6" t="s">
        <v>226</v>
      </c>
    </row>
    <row r="464" spans="1:7">
      <c r="A464" s="45" t="str">
        <f>IF(COUNTIF($B$2:B464,B464)=1,"ok","dup")</f>
        <v>ok</v>
      </c>
      <c r="B464" s="45" t="str">
        <f t="shared" si="7"/>
        <v>Gorilla_gorilla_gorilla9.4</v>
      </c>
      <c r="C464" s="6" t="s">
        <v>73</v>
      </c>
      <c r="D464" s="7">
        <v>9.4</v>
      </c>
      <c r="E464" s="14" t="s">
        <v>220</v>
      </c>
      <c r="F464" s="14" t="s">
        <v>400</v>
      </c>
      <c r="G464" s="6" t="s">
        <v>226</v>
      </c>
    </row>
    <row r="465" spans="1:7">
      <c r="A465" s="45" t="str">
        <f>IF(COUNTIF($B$2:B465,B465)=1,"ok","dup")</f>
        <v>ok</v>
      </c>
      <c r="B465" s="45" t="str">
        <f t="shared" si="7"/>
        <v>Gorilla_gorilla_gorilla9.5</v>
      </c>
      <c r="C465" s="6" t="s">
        <v>73</v>
      </c>
      <c r="D465" s="7">
        <v>9.5</v>
      </c>
      <c r="E465" s="14" t="s">
        <v>220</v>
      </c>
      <c r="F465" s="14" t="s">
        <v>401</v>
      </c>
      <c r="G465" s="6" t="s">
        <v>226</v>
      </c>
    </row>
    <row r="466" spans="1:7">
      <c r="A466" s="45" t="str">
        <f>IF(COUNTIF($B$2:B466,B466)=1,"ok","dup")</f>
        <v>ok</v>
      </c>
      <c r="B466" s="45" t="str">
        <f t="shared" si="7"/>
        <v>Hapalemur_aureus3</v>
      </c>
      <c r="C466" s="6" t="s">
        <v>402</v>
      </c>
      <c r="D466" s="7">
        <v>3</v>
      </c>
      <c r="E466" s="14" t="s">
        <v>211</v>
      </c>
    </row>
    <row r="467" spans="1:7">
      <c r="A467" s="45" t="str">
        <f>IF(COUNTIF($B$2:B467,B467)=1,"ok","dup")</f>
        <v>ok</v>
      </c>
      <c r="B467" s="45" t="str">
        <f t="shared" si="7"/>
        <v>Hapalemur_griseus2.6</v>
      </c>
      <c r="C467" s="6" t="s">
        <v>403</v>
      </c>
      <c r="D467" s="7">
        <v>2.6</v>
      </c>
      <c r="E467" s="14" t="s">
        <v>276</v>
      </c>
      <c r="F467" s="14" t="s">
        <v>277</v>
      </c>
    </row>
    <row r="468" spans="1:7">
      <c r="A468" s="45" t="str">
        <f>IF(COUNTIF($B$2:B468,B468)=1,"ok","dup")</f>
        <v>ok</v>
      </c>
      <c r="B468" s="45" t="str">
        <f t="shared" si="7"/>
        <v>Hapalemur_griseus4.5</v>
      </c>
      <c r="C468" s="6" t="s">
        <v>403</v>
      </c>
      <c r="D468" s="7">
        <v>4.5</v>
      </c>
      <c r="E468" s="14" t="s">
        <v>212</v>
      </c>
    </row>
    <row r="469" spans="1:7">
      <c r="A469" s="45" t="str">
        <f>IF(COUNTIF($B$2:B469,B469)=1,"ok","dup")</f>
        <v>dup</v>
      </c>
      <c r="B469" s="45" t="str">
        <f t="shared" si="7"/>
        <v>Hapalemur_griseus4.5</v>
      </c>
      <c r="C469" s="6" t="s">
        <v>403</v>
      </c>
      <c r="D469" s="7">
        <v>4.5</v>
      </c>
      <c r="E469" s="14" t="s">
        <v>211</v>
      </c>
    </row>
    <row r="470" spans="1:7">
      <c r="A470" s="45" t="str">
        <f>IF(COUNTIF($B$2:B470,B470)=1,"ok","dup")</f>
        <v>ok</v>
      </c>
      <c r="B470" s="45" t="str">
        <f t="shared" si="7"/>
        <v>Hapalemur_simus8</v>
      </c>
      <c r="C470" s="6" t="s">
        <v>404</v>
      </c>
      <c r="D470" s="7">
        <v>8</v>
      </c>
      <c r="E470" s="14" t="s">
        <v>211</v>
      </c>
    </row>
    <row r="471" spans="1:7">
      <c r="A471" s="45" t="str">
        <f>IF(COUNTIF($B$2:B471,B471)=1,"ok","dup")</f>
        <v>ok</v>
      </c>
      <c r="B471" s="45" t="str">
        <f t="shared" si="7"/>
        <v>Hylobates_agilis4.4</v>
      </c>
      <c r="C471" s="6" t="s">
        <v>405</v>
      </c>
      <c r="D471" s="7">
        <v>4.4000000000000004</v>
      </c>
      <c r="E471" s="14" t="s">
        <v>216</v>
      </c>
      <c r="F471" s="14" t="s">
        <v>406</v>
      </c>
    </row>
    <row r="472" spans="1:7">
      <c r="A472" s="45" t="str">
        <f>IF(COUNTIF($B$2:B472,B472)=1,"ok","dup")</f>
        <v>dup</v>
      </c>
      <c r="B472" s="45" t="str">
        <f t="shared" si="7"/>
        <v>Hylobates_agilis4.4</v>
      </c>
      <c r="C472" s="6" t="s">
        <v>405</v>
      </c>
      <c r="D472" s="7">
        <v>4.4000000000000004</v>
      </c>
      <c r="E472" s="14" t="s">
        <v>212</v>
      </c>
    </row>
    <row r="473" spans="1:7">
      <c r="A473" s="45" t="str">
        <f>IF(COUNTIF($B$2:B473,B473)=1,"ok","dup")</f>
        <v>dup</v>
      </c>
      <c r="B473" s="45" t="str">
        <f t="shared" si="7"/>
        <v>Hylobates_agilis4.4</v>
      </c>
      <c r="C473" s="6" t="s">
        <v>405</v>
      </c>
      <c r="D473" s="7">
        <v>4.4000000000000004</v>
      </c>
      <c r="E473" s="14" t="s">
        <v>218</v>
      </c>
      <c r="F473" s="14" t="s">
        <v>407</v>
      </c>
    </row>
    <row r="474" spans="1:7">
      <c r="A474" s="45" t="str">
        <f>IF(COUNTIF($B$2:B474,B474)=1,"ok","dup")</f>
        <v>ok</v>
      </c>
      <c r="B474" s="45" t="str">
        <f t="shared" si="7"/>
        <v>Hylobates_agilis3.5</v>
      </c>
      <c r="C474" s="6" t="s">
        <v>405</v>
      </c>
      <c r="D474" s="7">
        <v>3.5</v>
      </c>
      <c r="E474" s="14" t="s">
        <v>213</v>
      </c>
    </row>
    <row r="475" spans="1:7">
      <c r="A475" s="45" t="str">
        <f>IF(COUNTIF($B$2:B475,B475)=1,"ok","dup")</f>
        <v>dup</v>
      </c>
      <c r="B475" s="45" t="str">
        <f t="shared" si="7"/>
        <v>Hylobates_agilis4.4</v>
      </c>
      <c r="C475" s="6" t="s">
        <v>405</v>
      </c>
      <c r="D475" s="7">
        <v>4.4000000000000004</v>
      </c>
      <c r="E475" s="14" t="s">
        <v>211</v>
      </c>
    </row>
    <row r="476" spans="1:7">
      <c r="A476" s="45" t="str">
        <f>IF(COUNTIF($B$2:B476,B476)=1,"ok","dup")</f>
        <v>ok</v>
      </c>
      <c r="B476" s="45" t="str">
        <f t="shared" si="7"/>
        <v>Hylobates_klossii3.7</v>
      </c>
      <c r="C476" s="6" t="s">
        <v>408</v>
      </c>
      <c r="D476" s="7">
        <v>3.7</v>
      </c>
      <c r="E476" s="14" t="s">
        <v>216</v>
      </c>
      <c r="F476" s="14" t="s">
        <v>406</v>
      </c>
    </row>
    <row r="477" spans="1:7">
      <c r="A477" s="45" t="str">
        <f>IF(COUNTIF($B$2:B477,B477)=1,"ok","dup")</f>
        <v>dup</v>
      </c>
      <c r="B477" s="45" t="str">
        <f t="shared" si="7"/>
        <v>Hylobates_klossii3.7</v>
      </c>
      <c r="C477" s="6" t="s">
        <v>408</v>
      </c>
      <c r="D477" s="7">
        <v>3.7</v>
      </c>
      <c r="E477" s="14" t="s">
        <v>212</v>
      </c>
    </row>
    <row r="478" spans="1:7">
      <c r="A478" s="45" t="str">
        <f>IF(COUNTIF($B$2:B478,B478)=1,"ok","dup")</f>
        <v>ok</v>
      </c>
      <c r="B478" s="45" t="str">
        <f t="shared" si="7"/>
        <v>Hylobates_klossii3.8</v>
      </c>
      <c r="C478" s="6" t="s">
        <v>408</v>
      </c>
      <c r="D478" s="7">
        <v>3.8</v>
      </c>
      <c r="E478" s="14" t="s">
        <v>212</v>
      </c>
    </row>
    <row r="479" spans="1:7">
      <c r="A479" s="45" t="str">
        <f>IF(COUNTIF($B$2:B479,B479)=1,"ok","dup")</f>
        <v>ok</v>
      </c>
      <c r="B479" s="45" t="str">
        <f t="shared" si="7"/>
        <v>Hylobates_klossii3.4</v>
      </c>
      <c r="C479" s="6" t="s">
        <v>408</v>
      </c>
      <c r="D479" s="7">
        <v>3.4</v>
      </c>
      <c r="E479" s="14" t="s">
        <v>218</v>
      </c>
      <c r="F479" s="14" t="s">
        <v>409</v>
      </c>
    </row>
    <row r="480" spans="1:7">
      <c r="A480" s="45" t="str">
        <f>IF(COUNTIF($B$2:B480,B480)=1,"ok","dup")</f>
        <v>ok</v>
      </c>
      <c r="B480" s="45" t="str">
        <f t="shared" si="7"/>
        <v>Hylobates_klossii3.5</v>
      </c>
      <c r="C480" s="6" t="s">
        <v>408</v>
      </c>
      <c r="D480" s="7">
        <v>3.5</v>
      </c>
      <c r="E480" s="14" t="s">
        <v>213</v>
      </c>
    </row>
    <row r="481" spans="1:7">
      <c r="A481" s="45" t="str">
        <f>IF(COUNTIF($B$2:B481,B481)=1,"ok","dup")</f>
        <v>dup</v>
      </c>
      <c r="B481" s="45" t="str">
        <f t="shared" si="7"/>
        <v>Hylobates_klossii3.4</v>
      </c>
      <c r="C481" s="6" t="s">
        <v>408</v>
      </c>
      <c r="D481" s="7">
        <v>3.4</v>
      </c>
      <c r="E481" s="14" t="s">
        <v>211</v>
      </c>
    </row>
    <row r="482" spans="1:7">
      <c r="A482" s="45" t="str">
        <f>IF(COUNTIF($B$2:B482,B482)=1,"ok","dup")</f>
        <v>ok</v>
      </c>
      <c r="B482" s="45" t="str">
        <f t="shared" si="7"/>
        <v>Hylobates_lar3.5</v>
      </c>
      <c r="C482" s="6" t="s">
        <v>77</v>
      </c>
      <c r="D482" s="7">
        <v>3.5</v>
      </c>
      <c r="E482" s="14" t="s">
        <v>216</v>
      </c>
      <c r="F482" s="14" t="s">
        <v>406</v>
      </c>
    </row>
    <row r="483" spans="1:7">
      <c r="A483" s="45" t="str">
        <f>IF(COUNTIF($B$2:B483,B483)=1,"ok","dup")</f>
        <v>ok</v>
      </c>
      <c r="B483" s="45" t="str">
        <f t="shared" si="7"/>
        <v>Hylobates_lar3.3</v>
      </c>
      <c r="C483" s="6" t="s">
        <v>77</v>
      </c>
      <c r="D483" s="7">
        <v>3.3</v>
      </c>
      <c r="E483" s="14" t="s">
        <v>212</v>
      </c>
    </row>
    <row r="484" spans="1:7">
      <c r="A484" s="45" t="str">
        <f>IF(COUNTIF($B$2:B484,B484)=1,"ok","dup")</f>
        <v>dup</v>
      </c>
      <c r="B484" s="45" t="str">
        <f t="shared" si="7"/>
        <v>Hylobates_lar3.5</v>
      </c>
      <c r="C484" s="6" t="s">
        <v>77</v>
      </c>
      <c r="D484" s="7">
        <v>3.5</v>
      </c>
      <c r="E484" s="14" t="s">
        <v>212</v>
      </c>
    </row>
    <row r="485" spans="1:7">
      <c r="A485" s="45" t="str">
        <f>IF(COUNTIF($B$2:B485,B485)=1,"ok","dup")</f>
        <v>ok</v>
      </c>
      <c r="B485" s="45" t="str">
        <f t="shared" si="7"/>
        <v>Hylobates_lar3.8</v>
      </c>
      <c r="C485" s="6" t="s">
        <v>77</v>
      </c>
      <c r="D485" s="7">
        <v>3.8</v>
      </c>
      <c r="E485" s="14" t="s">
        <v>218</v>
      </c>
      <c r="F485" s="14" t="s">
        <v>410</v>
      </c>
    </row>
    <row r="486" spans="1:7">
      <c r="A486" s="45" t="str">
        <f>IF(COUNTIF($B$2:B486,B486)=1,"ok","dup")</f>
        <v>dup</v>
      </c>
      <c r="B486" s="45" t="str">
        <f t="shared" si="7"/>
        <v>Hylobates_lar3.5</v>
      </c>
      <c r="C486" s="6" t="s">
        <v>77</v>
      </c>
      <c r="D486" s="7">
        <v>3.5</v>
      </c>
      <c r="E486" s="14" t="s">
        <v>213</v>
      </c>
    </row>
    <row r="487" spans="1:7">
      <c r="A487" s="45" t="str">
        <f>IF(COUNTIF($B$2:B487,B487)=1,"ok","dup")</f>
        <v>ok</v>
      </c>
      <c r="B487" s="45" t="str">
        <f t="shared" si="7"/>
        <v>Hylobates_lar5</v>
      </c>
      <c r="C487" s="6" t="s">
        <v>77</v>
      </c>
      <c r="D487" s="7">
        <v>5</v>
      </c>
      <c r="E487" s="14" t="s">
        <v>211</v>
      </c>
    </row>
    <row r="488" spans="1:7">
      <c r="A488" s="45" t="str">
        <f>IF(COUNTIF($B$2:B488,B488)=1,"ok","dup")</f>
        <v>ok</v>
      </c>
      <c r="B488" s="45" t="str">
        <f t="shared" si="7"/>
        <v>Hylobates_lar2</v>
      </c>
      <c r="C488" s="6" t="s">
        <v>77</v>
      </c>
      <c r="D488" s="7">
        <v>2</v>
      </c>
      <c r="E488" s="14" t="s">
        <v>220</v>
      </c>
      <c r="F488" s="14" t="s">
        <v>411</v>
      </c>
      <c r="G488" s="6" t="s">
        <v>222</v>
      </c>
    </row>
    <row r="489" spans="1:7">
      <c r="A489" s="45" t="str">
        <f>IF(COUNTIF($B$2:B489,B489)=1,"ok","dup")</f>
        <v>dup</v>
      </c>
      <c r="B489" s="45" t="str">
        <f t="shared" si="7"/>
        <v>Hylobates_lar2</v>
      </c>
      <c r="C489" s="6" t="s">
        <v>77</v>
      </c>
      <c r="D489" s="7">
        <v>2</v>
      </c>
      <c r="E489" s="14" t="s">
        <v>220</v>
      </c>
      <c r="F489" s="14" t="s">
        <v>412</v>
      </c>
    </row>
    <row r="490" spans="1:7">
      <c r="A490" s="45" t="str">
        <f>IF(COUNTIF($B$2:B490,B490)=1,"ok","dup")</f>
        <v>ok</v>
      </c>
      <c r="B490" s="45" t="str">
        <f t="shared" si="7"/>
        <v>Hylobates_lar3</v>
      </c>
      <c r="C490" s="6" t="s">
        <v>77</v>
      </c>
      <c r="D490" s="7">
        <v>3</v>
      </c>
      <c r="E490" s="14" t="s">
        <v>220</v>
      </c>
      <c r="F490" s="14" t="s">
        <v>413</v>
      </c>
    </row>
    <row r="491" spans="1:7">
      <c r="A491" s="45" t="str">
        <f>IF(COUNTIF($B$2:B491,B491)=1,"ok","dup")</f>
        <v>dup</v>
      </c>
      <c r="B491" s="45" t="str">
        <f t="shared" si="7"/>
        <v>Hylobates_lar3</v>
      </c>
      <c r="C491" s="6" t="s">
        <v>77</v>
      </c>
      <c r="D491" s="7">
        <v>3</v>
      </c>
      <c r="E491" s="14" t="s">
        <v>220</v>
      </c>
      <c r="F491" s="14" t="s">
        <v>412</v>
      </c>
    </row>
    <row r="492" spans="1:7">
      <c r="A492" s="45" t="str">
        <f>IF(COUNTIF($B$2:B492,B492)=1,"ok","dup")</f>
        <v>dup</v>
      </c>
      <c r="B492" s="45" t="str">
        <f t="shared" si="7"/>
        <v>Hylobates_lar3</v>
      </c>
      <c r="C492" s="6" t="s">
        <v>77</v>
      </c>
      <c r="D492" s="7">
        <v>3</v>
      </c>
      <c r="E492" s="14" t="s">
        <v>220</v>
      </c>
      <c r="F492" s="14" t="s">
        <v>412</v>
      </c>
    </row>
    <row r="493" spans="1:7">
      <c r="A493" s="45" t="str">
        <f>IF(COUNTIF($B$2:B493,B493)=1,"ok","dup")</f>
        <v>dup</v>
      </c>
      <c r="B493" s="45" t="str">
        <f t="shared" si="7"/>
        <v>Hylobates_lar3.5</v>
      </c>
      <c r="C493" s="6" t="s">
        <v>77</v>
      </c>
      <c r="D493" s="7">
        <v>3.5</v>
      </c>
      <c r="E493" s="14" t="s">
        <v>220</v>
      </c>
      <c r="F493" s="14" t="s">
        <v>414</v>
      </c>
      <c r="G493" s="6" t="s">
        <v>228</v>
      </c>
    </row>
    <row r="494" spans="1:7">
      <c r="A494" s="45" t="str">
        <f>IF(COUNTIF($B$2:B494,B494)=1,"ok","dup")</f>
        <v>dup</v>
      </c>
      <c r="B494" s="45" t="str">
        <f t="shared" si="7"/>
        <v>Hylobates_lar3.5</v>
      </c>
      <c r="C494" s="6" t="s">
        <v>77</v>
      </c>
      <c r="D494" s="7">
        <v>3.5</v>
      </c>
      <c r="E494" s="14" t="s">
        <v>220</v>
      </c>
      <c r="F494" s="14" t="s">
        <v>415</v>
      </c>
      <c r="G494" s="6" t="s">
        <v>235</v>
      </c>
    </row>
    <row r="495" spans="1:7">
      <c r="A495" s="45" t="str">
        <f>IF(COUNTIF($B$2:B495,B495)=1,"ok","dup")</f>
        <v>ok</v>
      </c>
      <c r="B495" s="45" t="str">
        <f t="shared" si="7"/>
        <v>Hylobates_lar4</v>
      </c>
      <c r="C495" s="6" t="s">
        <v>77</v>
      </c>
      <c r="D495" s="7">
        <v>4</v>
      </c>
      <c r="E495" s="14" t="s">
        <v>220</v>
      </c>
      <c r="F495" s="14" t="s">
        <v>411</v>
      </c>
      <c r="G495" s="6" t="s">
        <v>222</v>
      </c>
    </row>
    <row r="496" spans="1:7">
      <c r="A496" s="45" t="str">
        <f>IF(COUNTIF($B$2:B496,B496)=1,"ok","dup")</f>
        <v>dup</v>
      </c>
      <c r="B496" s="45" t="str">
        <f t="shared" si="7"/>
        <v>Hylobates_lar4</v>
      </c>
      <c r="C496" s="6" t="s">
        <v>77</v>
      </c>
      <c r="D496" s="7">
        <v>4</v>
      </c>
      <c r="E496" s="14" t="s">
        <v>220</v>
      </c>
      <c r="F496" s="14" t="s">
        <v>413</v>
      </c>
    </row>
    <row r="497" spans="1:6">
      <c r="A497" s="45" t="str">
        <f>IF(COUNTIF($B$2:B497,B497)=1,"ok","dup")</f>
        <v>dup</v>
      </c>
      <c r="B497" s="45" t="str">
        <f t="shared" si="7"/>
        <v>Hylobates_lar4</v>
      </c>
      <c r="C497" s="6" t="s">
        <v>77</v>
      </c>
      <c r="D497" s="7">
        <v>4</v>
      </c>
      <c r="E497" s="14" t="s">
        <v>220</v>
      </c>
      <c r="F497" s="14" t="s">
        <v>413</v>
      </c>
    </row>
    <row r="498" spans="1:6">
      <c r="A498" s="45" t="str">
        <f>IF(COUNTIF($B$2:B498,B498)=1,"ok","dup")</f>
        <v>dup</v>
      </c>
      <c r="B498" s="45" t="str">
        <f t="shared" si="7"/>
        <v>Hylobates_lar4</v>
      </c>
      <c r="C498" s="6" t="s">
        <v>77</v>
      </c>
      <c r="D498" s="7">
        <v>4</v>
      </c>
      <c r="E498" s="14" t="s">
        <v>220</v>
      </c>
      <c r="F498" s="14" t="s">
        <v>413</v>
      </c>
    </row>
    <row r="499" spans="1:6">
      <c r="A499" s="45" t="str">
        <f>IF(COUNTIF($B$2:B499,B499)=1,"ok","dup")</f>
        <v>dup</v>
      </c>
      <c r="B499" s="45" t="str">
        <f t="shared" si="7"/>
        <v>Hylobates_lar4</v>
      </c>
      <c r="C499" s="6" t="s">
        <v>77</v>
      </c>
      <c r="D499" s="7">
        <v>4</v>
      </c>
      <c r="E499" s="14" t="s">
        <v>220</v>
      </c>
      <c r="F499" s="14" t="s">
        <v>413</v>
      </c>
    </row>
    <row r="500" spans="1:6">
      <c r="A500" s="45" t="str">
        <f>IF(COUNTIF($B$2:B500,B500)=1,"ok","dup")</f>
        <v>dup</v>
      </c>
      <c r="B500" s="45" t="str">
        <f t="shared" si="7"/>
        <v>Hylobates_lar4</v>
      </c>
      <c r="C500" s="6" t="s">
        <v>77</v>
      </c>
      <c r="D500" s="7">
        <v>4</v>
      </c>
      <c r="E500" s="14" t="s">
        <v>220</v>
      </c>
      <c r="F500" s="14" t="s">
        <v>413</v>
      </c>
    </row>
    <row r="501" spans="1:6">
      <c r="A501" s="45" t="str">
        <f>IF(COUNTIF($B$2:B501,B501)=1,"ok","dup")</f>
        <v>dup</v>
      </c>
      <c r="B501" s="45" t="str">
        <f t="shared" si="7"/>
        <v>Hylobates_lar4</v>
      </c>
      <c r="C501" s="6" t="s">
        <v>77</v>
      </c>
      <c r="D501" s="7">
        <v>4</v>
      </c>
      <c r="E501" s="14" t="s">
        <v>220</v>
      </c>
      <c r="F501" s="14" t="s">
        <v>413</v>
      </c>
    </row>
    <row r="502" spans="1:6">
      <c r="A502" s="45" t="str">
        <f>IF(COUNTIF($B$2:B502,B502)=1,"ok","dup")</f>
        <v>dup</v>
      </c>
      <c r="B502" s="45" t="str">
        <f t="shared" si="7"/>
        <v>Hylobates_lar4</v>
      </c>
      <c r="C502" s="6" t="s">
        <v>77</v>
      </c>
      <c r="D502" s="7">
        <v>4</v>
      </c>
      <c r="E502" s="14" t="s">
        <v>220</v>
      </c>
      <c r="F502" s="14" t="s">
        <v>413</v>
      </c>
    </row>
    <row r="503" spans="1:6">
      <c r="A503" s="45" t="str">
        <f>IF(COUNTIF($B$2:B503,B503)=1,"ok","dup")</f>
        <v>dup</v>
      </c>
      <c r="B503" s="45" t="str">
        <f t="shared" si="7"/>
        <v>Hylobates_lar4</v>
      </c>
      <c r="C503" s="6" t="s">
        <v>77</v>
      </c>
      <c r="D503" s="7">
        <v>4</v>
      </c>
      <c r="E503" s="14" t="s">
        <v>220</v>
      </c>
      <c r="F503" s="14" t="s">
        <v>412</v>
      </c>
    </row>
    <row r="504" spans="1:6">
      <c r="A504" s="45" t="str">
        <f>IF(COUNTIF($B$2:B504,B504)=1,"ok","dup")</f>
        <v>dup</v>
      </c>
      <c r="B504" s="45" t="str">
        <f t="shared" si="7"/>
        <v>Hylobates_lar4</v>
      </c>
      <c r="C504" s="6" t="s">
        <v>77</v>
      </c>
      <c r="D504" s="7">
        <v>4</v>
      </c>
      <c r="E504" s="14" t="s">
        <v>220</v>
      </c>
      <c r="F504" s="14" t="s">
        <v>416</v>
      </c>
    </row>
    <row r="505" spans="1:6">
      <c r="A505" s="45" t="str">
        <f>IF(COUNTIF($B$2:B505,B505)=1,"ok","dup")</f>
        <v>dup</v>
      </c>
      <c r="B505" s="45" t="str">
        <f t="shared" si="7"/>
        <v>Hylobates_lar4</v>
      </c>
      <c r="C505" s="6" t="s">
        <v>77</v>
      </c>
      <c r="D505" s="7">
        <v>4</v>
      </c>
      <c r="E505" s="14" t="s">
        <v>220</v>
      </c>
      <c r="F505" s="14" t="s">
        <v>417</v>
      </c>
    </row>
    <row r="506" spans="1:6">
      <c r="A506" s="45" t="str">
        <f>IF(COUNTIF($B$2:B506,B506)=1,"ok","dup")</f>
        <v>dup</v>
      </c>
      <c r="B506" s="45" t="str">
        <f t="shared" si="7"/>
        <v>Hylobates_lar5</v>
      </c>
      <c r="C506" s="6" t="s">
        <v>77</v>
      </c>
      <c r="D506" s="7">
        <v>5</v>
      </c>
      <c r="E506" s="14" t="s">
        <v>220</v>
      </c>
      <c r="F506" s="14" t="s">
        <v>413</v>
      </c>
    </row>
    <row r="507" spans="1:6">
      <c r="A507" s="45" t="str">
        <f>IF(COUNTIF($B$2:B507,B507)=1,"ok","dup")</f>
        <v>dup</v>
      </c>
      <c r="B507" s="45" t="str">
        <f t="shared" si="7"/>
        <v>Hylobates_lar5</v>
      </c>
      <c r="C507" s="6" t="s">
        <v>77</v>
      </c>
      <c r="D507" s="7">
        <v>5</v>
      </c>
      <c r="E507" s="14" t="s">
        <v>220</v>
      </c>
      <c r="F507" s="14" t="s">
        <v>413</v>
      </c>
    </row>
    <row r="508" spans="1:6">
      <c r="A508" s="45" t="str">
        <f>IF(COUNTIF($B$2:B508,B508)=1,"ok","dup")</f>
        <v>dup</v>
      </c>
      <c r="B508" s="45" t="str">
        <f t="shared" si="7"/>
        <v>Hylobates_lar5</v>
      </c>
      <c r="C508" s="6" t="s">
        <v>77</v>
      </c>
      <c r="D508" s="7">
        <v>5</v>
      </c>
      <c r="E508" s="14" t="s">
        <v>220</v>
      </c>
      <c r="F508" s="14" t="s">
        <v>413</v>
      </c>
    </row>
    <row r="509" spans="1:6">
      <c r="A509" s="45" t="str">
        <f>IF(COUNTIF($B$2:B509,B509)=1,"ok","dup")</f>
        <v>dup</v>
      </c>
      <c r="B509" s="45" t="str">
        <f t="shared" si="7"/>
        <v>Hylobates_lar5</v>
      </c>
      <c r="C509" s="6" t="s">
        <v>77</v>
      </c>
      <c r="D509" s="7">
        <v>5</v>
      </c>
      <c r="E509" s="14" t="s">
        <v>220</v>
      </c>
      <c r="F509" s="14" t="s">
        <v>413</v>
      </c>
    </row>
    <row r="510" spans="1:6">
      <c r="A510" s="45" t="str">
        <f>IF(COUNTIF($B$2:B510,B510)=1,"ok","dup")</f>
        <v>dup</v>
      </c>
      <c r="B510" s="45" t="str">
        <f t="shared" si="7"/>
        <v>Hylobates_lar5</v>
      </c>
      <c r="C510" s="6" t="s">
        <v>77</v>
      </c>
      <c r="D510" s="7">
        <v>5</v>
      </c>
      <c r="E510" s="14" t="s">
        <v>220</v>
      </c>
      <c r="F510" s="14" t="s">
        <v>413</v>
      </c>
    </row>
    <row r="511" spans="1:6">
      <c r="A511" s="45" t="str">
        <f>IF(COUNTIF($B$2:B511,B511)=1,"ok","dup")</f>
        <v>dup</v>
      </c>
      <c r="B511" s="45" t="str">
        <f t="shared" si="7"/>
        <v>Hylobates_lar5</v>
      </c>
      <c r="C511" s="6" t="s">
        <v>77</v>
      </c>
      <c r="D511" s="7">
        <v>5</v>
      </c>
      <c r="E511" s="14" t="s">
        <v>220</v>
      </c>
      <c r="F511" s="14" t="s">
        <v>417</v>
      </c>
    </row>
    <row r="512" spans="1:6">
      <c r="A512" s="45" t="str">
        <f>IF(COUNTIF($B$2:B512,B512)=1,"ok","dup")</f>
        <v>ok</v>
      </c>
      <c r="B512" s="45" t="str">
        <f t="shared" si="7"/>
        <v>Hylobates_moloch3.5</v>
      </c>
      <c r="C512" s="6" t="s">
        <v>418</v>
      </c>
      <c r="D512" s="7">
        <v>3.5</v>
      </c>
      <c r="E512" s="14" t="s">
        <v>213</v>
      </c>
    </row>
    <row r="513" spans="1:6">
      <c r="A513" s="45" t="str">
        <f>IF(COUNTIF($B$2:B513,B513)=1,"ok","dup")</f>
        <v>dup</v>
      </c>
      <c r="B513" s="45" t="str">
        <f t="shared" si="7"/>
        <v>Hylobates_moloch3.5</v>
      </c>
      <c r="C513" s="6" t="s">
        <v>418</v>
      </c>
      <c r="D513" s="7">
        <v>3.5</v>
      </c>
      <c r="E513" s="14" t="s">
        <v>211</v>
      </c>
    </row>
    <row r="514" spans="1:6">
      <c r="A514" s="45" t="str">
        <f>IF(COUNTIF($B$2:B514,B514)=1,"ok","dup")</f>
        <v>ok</v>
      </c>
      <c r="B514" s="45" t="str">
        <f t="shared" ref="B514:B577" si="8">C514&amp;D514</f>
        <v>Hylobates_muelleri3.4</v>
      </c>
      <c r="C514" s="6" t="s">
        <v>79</v>
      </c>
      <c r="D514" s="7">
        <v>3.4</v>
      </c>
      <c r="E514" s="14" t="s">
        <v>212</v>
      </c>
    </row>
    <row r="515" spans="1:6">
      <c r="A515" s="45" t="str">
        <f>IF(COUNTIF($B$2:B515,B515)=1,"ok","dup")</f>
        <v>ok</v>
      </c>
      <c r="B515" s="45" t="str">
        <f t="shared" si="8"/>
        <v>Hylobates_muelleri3.5</v>
      </c>
      <c r="C515" s="6" t="s">
        <v>79</v>
      </c>
      <c r="D515" s="7">
        <v>3.5</v>
      </c>
      <c r="E515" s="14" t="s">
        <v>211</v>
      </c>
    </row>
    <row r="516" spans="1:6">
      <c r="A516" s="45" t="str">
        <f>IF(COUNTIF($B$2:B516,B516)=1,"ok","dup")</f>
        <v>ok</v>
      </c>
      <c r="B516" s="45" t="str">
        <f t="shared" si="8"/>
        <v>Hylobates_pileatus3.7</v>
      </c>
      <c r="C516" s="6" t="s">
        <v>419</v>
      </c>
      <c r="D516" s="7">
        <v>3.7</v>
      </c>
      <c r="E516" s="14" t="s">
        <v>212</v>
      </c>
    </row>
    <row r="517" spans="1:6">
      <c r="A517" s="45" t="str">
        <f>IF(COUNTIF($B$2:B517,B517)=1,"ok","dup")</f>
        <v>ok</v>
      </c>
      <c r="B517" s="45" t="str">
        <f t="shared" si="8"/>
        <v>Hylobates_pileatus4</v>
      </c>
      <c r="C517" s="6" t="s">
        <v>419</v>
      </c>
      <c r="D517" s="7">
        <v>4</v>
      </c>
      <c r="E517" s="14" t="s">
        <v>211</v>
      </c>
    </row>
    <row r="518" spans="1:6">
      <c r="A518" s="45" t="str">
        <f>IF(COUNTIF($B$2:B518,B518)=1,"ok","dup")</f>
        <v>ok</v>
      </c>
      <c r="B518" s="45" t="str">
        <f t="shared" si="8"/>
        <v>Indri_indri3.1</v>
      </c>
      <c r="C518" s="6" t="s">
        <v>80</v>
      </c>
      <c r="D518" s="7">
        <v>3.1</v>
      </c>
      <c r="E518" s="14" t="s">
        <v>276</v>
      </c>
      <c r="F518" s="14" t="s">
        <v>277</v>
      </c>
    </row>
    <row r="519" spans="1:6">
      <c r="A519" s="45" t="str">
        <f>IF(COUNTIF($B$2:B519,B519)=1,"ok","dup")</f>
        <v>ok</v>
      </c>
      <c r="B519" s="45" t="str">
        <f t="shared" si="8"/>
        <v>Indri_indri3</v>
      </c>
      <c r="C519" s="6" t="s">
        <v>80</v>
      </c>
      <c r="D519" s="7">
        <v>3</v>
      </c>
      <c r="E519" s="14" t="s">
        <v>216</v>
      </c>
      <c r="F519" s="14" t="s">
        <v>320</v>
      </c>
    </row>
    <row r="520" spans="1:6">
      <c r="A520" s="45" t="str">
        <f>IF(COUNTIF($B$2:B520,B520)=1,"ok","dup")</f>
        <v>ok</v>
      </c>
      <c r="B520" s="45" t="str">
        <f t="shared" si="8"/>
        <v>Indri_indri2</v>
      </c>
      <c r="C520" s="6" t="s">
        <v>80</v>
      </c>
      <c r="D520" s="7">
        <v>2</v>
      </c>
      <c r="E520" s="14" t="s">
        <v>212</v>
      </c>
    </row>
    <row r="521" spans="1:6">
      <c r="A521" s="45" t="str">
        <f>IF(COUNTIF($B$2:B521,B521)=1,"ok","dup")</f>
        <v>ok</v>
      </c>
      <c r="B521" s="45" t="str">
        <f t="shared" si="8"/>
        <v>Indri_indri4.3</v>
      </c>
      <c r="C521" s="6" t="s">
        <v>80</v>
      </c>
      <c r="D521" s="7">
        <v>4.3</v>
      </c>
      <c r="E521" s="14" t="s">
        <v>218</v>
      </c>
      <c r="F521" s="14" t="s">
        <v>420</v>
      </c>
    </row>
    <row r="522" spans="1:6">
      <c r="A522" s="45" t="str">
        <f>IF(COUNTIF($B$2:B522,B522)=1,"ok","dup")</f>
        <v>dup</v>
      </c>
      <c r="B522" s="45" t="str">
        <f t="shared" si="8"/>
        <v>Indri_indri3</v>
      </c>
      <c r="C522" s="6" t="s">
        <v>80</v>
      </c>
      <c r="D522" s="7">
        <v>3</v>
      </c>
      <c r="E522" s="14" t="s">
        <v>213</v>
      </c>
    </row>
    <row r="523" spans="1:6">
      <c r="A523" s="45" t="str">
        <f>IF(COUNTIF($B$2:B523,B523)=1,"ok","dup")</f>
        <v>ok</v>
      </c>
      <c r="B523" s="45" t="str">
        <f t="shared" si="8"/>
        <v>Indri_indri4</v>
      </c>
      <c r="C523" s="6" t="s">
        <v>80</v>
      </c>
      <c r="D523" s="7">
        <v>4</v>
      </c>
      <c r="E523" s="14" t="s">
        <v>211</v>
      </c>
    </row>
    <row r="524" spans="1:6">
      <c r="A524" s="45" t="str">
        <f>IF(COUNTIF($B$2:B524,B524)=1,"ok","dup")</f>
        <v>dup</v>
      </c>
      <c r="B524" s="45" t="str">
        <f t="shared" si="8"/>
        <v>Indri_indri4</v>
      </c>
      <c r="C524" s="6" t="s">
        <v>80</v>
      </c>
      <c r="D524" s="7">
        <v>4</v>
      </c>
      <c r="E524" s="14" t="s">
        <v>214</v>
      </c>
      <c r="F524" s="14" t="s">
        <v>421</v>
      </c>
    </row>
    <row r="525" spans="1:6">
      <c r="A525" s="45" t="str">
        <f>IF(COUNTIF($B$2:B525,B525)=1,"ok","dup")</f>
        <v>ok</v>
      </c>
      <c r="B525" s="45" t="str">
        <f t="shared" si="8"/>
        <v>Lagothrix_lagotricha33</v>
      </c>
      <c r="C525" s="6" t="s">
        <v>81</v>
      </c>
      <c r="D525" s="7">
        <v>33</v>
      </c>
      <c r="E525" s="14" t="s">
        <v>216</v>
      </c>
      <c r="F525" s="14" t="s">
        <v>264</v>
      </c>
    </row>
    <row r="526" spans="1:6">
      <c r="A526" s="45" t="str">
        <f>IF(COUNTIF($B$2:B526,B526)=1,"ok","dup")</f>
        <v>ok</v>
      </c>
      <c r="B526" s="45" t="str">
        <f t="shared" si="8"/>
        <v>Lagothrix_lagotricha23.4</v>
      </c>
      <c r="C526" s="6" t="s">
        <v>81</v>
      </c>
      <c r="D526" s="7">
        <v>23.4</v>
      </c>
      <c r="E526" s="14" t="s">
        <v>212</v>
      </c>
    </row>
    <row r="527" spans="1:6">
      <c r="A527" s="45" t="str">
        <f>IF(COUNTIF($B$2:B527,B527)=1,"ok","dup")</f>
        <v>dup</v>
      </c>
      <c r="B527" s="45" t="str">
        <f t="shared" si="8"/>
        <v>Lagothrix_lagotricha33</v>
      </c>
      <c r="C527" s="6" t="s">
        <v>81</v>
      </c>
      <c r="D527" s="7">
        <v>33</v>
      </c>
      <c r="E527" s="14" t="s">
        <v>212</v>
      </c>
    </row>
    <row r="528" spans="1:6">
      <c r="A528" s="45" t="str">
        <f>IF(COUNTIF($B$2:B528,B528)=1,"ok","dup")</f>
        <v>dup</v>
      </c>
      <c r="B528" s="45" t="str">
        <f t="shared" si="8"/>
        <v>Lagothrix_lagotricha33</v>
      </c>
      <c r="C528" s="6" t="s">
        <v>81</v>
      </c>
      <c r="D528" s="7">
        <v>33</v>
      </c>
      <c r="E528" s="14" t="s">
        <v>211</v>
      </c>
    </row>
    <row r="529" spans="1:7">
      <c r="A529" s="45" t="str">
        <f>IF(COUNTIF($B$2:B529,B529)=1,"ok","dup")</f>
        <v>ok</v>
      </c>
      <c r="B529" s="45" t="str">
        <f t="shared" si="8"/>
        <v>Lagothrix_lagotricha11</v>
      </c>
      <c r="C529" s="6" t="s">
        <v>81</v>
      </c>
      <c r="D529" s="7">
        <v>11</v>
      </c>
      <c r="E529" s="14" t="s">
        <v>220</v>
      </c>
      <c r="F529" s="14" t="s">
        <v>422</v>
      </c>
      <c r="G529" s="6" t="s">
        <v>222</v>
      </c>
    </row>
    <row r="530" spans="1:7">
      <c r="A530" s="45" t="str">
        <f>IF(COUNTIF($B$2:B530,B530)=1,"ok","dup")</f>
        <v>ok</v>
      </c>
      <c r="B530" s="45" t="str">
        <f t="shared" si="8"/>
        <v>Lagothrix_lagotricha12</v>
      </c>
      <c r="C530" s="6" t="s">
        <v>81</v>
      </c>
      <c r="D530" s="7">
        <v>12</v>
      </c>
      <c r="E530" s="14" t="s">
        <v>220</v>
      </c>
      <c r="F530" s="14" t="s">
        <v>423</v>
      </c>
    </row>
    <row r="531" spans="1:7">
      <c r="A531" s="45" t="str">
        <f>IF(COUNTIF($B$2:B531,B531)=1,"ok","dup")</f>
        <v>ok</v>
      </c>
      <c r="B531" s="45" t="str">
        <f t="shared" si="8"/>
        <v>Lagothrix_lagotricha17</v>
      </c>
      <c r="C531" s="6" t="s">
        <v>81</v>
      </c>
      <c r="D531" s="7">
        <v>17</v>
      </c>
      <c r="E531" s="14" t="s">
        <v>220</v>
      </c>
      <c r="F531" s="14" t="s">
        <v>424</v>
      </c>
    </row>
    <row r="532" spans="1:7">
      <c r="A532" s="45" t="str">
        <f>IF(COUNTIF($B$2:B532,B532)=1,"ok","dup")</f>
        <v>ok</v>
      </c>
      <c r="B532" s="45" t="str">
        <f t="shared" si="8"/>
        <v>Lagothrix_lagotricha19</v>
      </c>
      <c r="C532" s="6" t="s">
        <v>81</v>
      </c>
      <c r="D532" s="7">
        <v>19</v>
      </c>
      <c r="E532" s="14" t="s">
        <v>220</v>
      </c>
      <c r="F532" s="14" t="s">
        <v>425</v>
      </c>
      <c r="G532" s="6" t="s">
        <v>222</v>
      </c>
    </row>
    <row r="533" spans="1:7">
      <c r="A533" s="45" t="str">
        <f>IF(COUNTIF($B$2:B533,B533)=1,"ok","dup")</f>
        <v>ok</v>
      </c>
      <c r="B533" s="45" t="str">
        <f t="shared" si="8"/>
        <v>Lagothrix_lagotricha22</v>
      </c>
      <c r="C533" s="6" t="s">
        <v>81</v>
      </c>
      <c r="D533" s="7">
        <v>22</v>
      </c>
      <c r="E533" s="14" t="s">
        <v>220</v>
      </c>
      <c r="F533" s="14" t="s">
        <v>422</v>
      </c>
      <c r="G533" s="6" t="s">
        <v>222</v>
      </c>
    </row>
    <row r="534" spans="1:7">
      <c r="A534" s="45" t="str">
        <f>IF(COUNTIF($B$2:B534,B534)=1,"ok","dup")</f>
        <v>ok</v>
      </c>
      <c r="B534" s="45" t="str">
        <f t="shared" si="8"/>
        <v>Lagothrix_lagotricha23</v>
      </c>
      <c r="C534" s="6" t="s">
        <v>81</v>
      </c>
      <c r="D534" s="7">
        <v>23</v>
      </c>
      <c r="E534" s="14" t="s">
        <v>220</v>
      </c>
      <c r="F534" s="14" t="s">
        <v>426</v>
      </c>
      <c r="G534" s="6" t="s">
        <v>222</v>
      </c>
    </row>
    <row r="535" spans="1:7">
      <c r="A535" s="45" t="str">
        <f>IF(COUNTIF($B$2:B535,B535)=1,"ok","dup")</f>
        <v>dup</v>
      </c>
      <c r="B535" s="45" t="str">
        <f t="shared" si="8"/>
        <v>Lagothrix_lagotricha23</v>
      </c>
      <c r="C535" s="6" t="s">
        <v>81</v>
      </c>
      <c r="D535" s="7">
        <v>23</v>
      </c>
      <c r="E535" s="14" t="s">
        <v>220</v>
      </c>
      <c r="F535" s="14" t="s">
        <v>427</v>
      </c>
    </row>
    <row r="536" spans="1:7">
      <c r="A536" s="45" t="str">
        <f>IF(COUNTIF($B$2:B536,B536)=1,"ok","dup")</f>
        <v>dup</v>
      </c>
      <c r="B536" s="45" t="str">
        <f t="shared" si="8"/>
        <v>Lagothrix_lagotricha23</v>
      </c>
      <c r="C536" s="6" t="s">
        <v>81</v>
      </c>
      <c r="D536" s="7">
        <v>23</v>
      </c>
      <c r="E536" s="14" t="s">
        <v>220</v>
      </c>
      <c r="F536" s="14" t="s">
        <v>428</v>
      </c>
    </row>
    <row r="537" spans="1:7">
      <c r="A537" s="45" t="str">
        <f>IF(COUNTIF($B$2:B537,B537)=1,"ok","dup")</f>
        <v>ok</v>
      </c>
      <c r="B537" s="45" t="str">
        <f t="shared" si="8"/>
        <v>Lagothrix_lagotricha25</v>
      </c>
      <c r="C537" s="6" t="s">
        <v>81</v>
      </c>
      <c r="D537" s="7">
        <v>25</v>
      </c>
      <c r="E537" s="14" t="s">
        <v>220</v>
      </c>
      <c r="F537" s="14" t="s">
        <v>426</v>
      </c>
      <c r="G537" s="6" t="s">
        <v>222</v>
      </c>
    </row>
    <row r="538" spans="1:7">
      <c r="A538" s="45" t="str">
        <f>IF(COUNTIF($B$2:B538,B538)=1,"ok","dup")</f>
        <v>dup</v>
      </c>
      <c r="B538" s="45" t="str">
        <f t="shared" si="8"/>
        <v>Lagothrix_lagotricha25</v>
      </c>
      <c r="C538" s="6" t="s">
        <v>81</v>
      </c>
      <c r="D538" s="7">
        <v>25</v>
      </c>
      <c r="E538" s="14" t="s">
        <v>220</v>
      </c>
      <c r="F538" s="14" t="s">
        <v>429</v>
      </c>
    </row>
    <row r="539" spans="1:7">
      <c r="A539" s="45" t="str">
        <f>IF(COUNTIF($B$2:B539,B539)=1,"ok","dup")</f>
        <v>dup</v>
      </c>
      <c r="B539" s="45" t="str">
        <f t="shared" si="8"/>
        <v>Lagothrix_lagotricha25</v>
      </c>
      <c r="C539" s="6" t="s">
        <v>81</v>
      </c>
      <c r="D539" s="7">
        <v>25</v>
      </c>
      <c r="E539" s="14" t="s">
        <v>220</v>
      </c>
      <c r="F539" s="14" t="s">
        <v>427</v>
      </c>
    </row>
    <row r="540" spans="1:7">
      <c r="A540" s="45" t="str">
        <f>IF(COUNTIF($B$2:B540,B540)=1,"ok","dup")</f>
        <v>ok</v>
      </c>
      <c r="B540" s="45" t="str">
        <f t="shared" si="8"/>
        <v>Lagothrix_lagotricha30</v>
      </c>
      <c r="C540" s="6" t="s">
        <v>81</v>
      </c>
      <c r="D540" s="7">
        <v>30</v>
      </c>
      <c r="E540" s="14" t="s">
        <v>220</v>
      </c>
      <c r="F540" s="14" t="s">
        <v>430</v>
      </c>
    </row>
    <row r="541" spans="1:7">
      <c r="A541" s="45" t="str">
        <f>IF(COUNTIF($B$2:B541,B541)=1,"ok","dup")</f>
        <v>dup</v>
      </c>
      <c r="B541" s="45" t="str">
        <f t="shared" si="8"/>
        <v>Lagothrix_lagotricha33</v>
      </c>
      <c r="C541" s="6" t="s">
        <v>81</v>
      </c>
      <c r="D541" s="7">
        <v>33</v>
      </c>
      <c r="E541" s="14" t="s">
        <v>220</v>
      </c>
      <c r="F541" s="14" t="s">
        <v>314</v>
      </c>
      <c r="G541" s="6" t="s">
        <v>228</v>
      </c>
    </row>
    <row r="542" spans="1:7">
      <c r="A542" s="45" t="str">
        <f>IF(COUNTIF($B$2:B542,B542)=1,"ok","dup")</f>
        <v>ok</v>
      </c>
      <c r="B542" s="45" t="str">
        <f t="shared" si="8"/>
        <v>Lagothrix_lagotricha8</v>
      </c>
      <c r="C542" s="6" t="s">
        <v>81</v>
      </c>
      <c r="D542" s="7">
        <v>8</v>
      </c>
      <c r="E542" s="14" t="s">
        <v>220</v>
      </c>
      <c r="F542" s="14" t="s">
        <v>425</v>
      </c>
      <c r="G542" s="6" t="s">
        <v>222</v>
      </c>
    </row>
    <row r="543" spans="1:7">
      <c r="A543" s="45" t="str">
        <f>IF(COUNTIF($B$2:B543,B543)=1,"ok","dup")</f>
        <v>ok</v>
      </c>
      <c r="B543" s="45" t="str">
        <f t="shared" si="8"/>
        <v>Lemur_catta15.3</v>
      </c>
      <c r="C543" s="6" t="s">
        <v>82</v>
      </c>
      <c r="D543" s="7">
        <v>15.3</v>
      </c>
      <c r="E543" s="14" t="s">
        <v>276</v>
      </c>
      <c r="F543" s="14" t="s">
        <v>277</v>
      </c>
    </row>
    <row r="544" spans="1:7">
      <c r="A544" s="45" t="str">
        <f>IF(COUNTIF($B$2:B544,B544)=1,"ok","dup")</f>
        <v>ok</v>
      </c>
      <c r="B544" s="45" t="str">
        <f t="shared" si="8"/>
        <v>Lemur_catta18</v>
      </c>
      <c r="C544" s="6" t="s">
        <v>82</v>
      </c>
      <c r="D544" s="7">
        <v>18</v>
      </c>
      <c r="E544" s="14" t="s">
        <v>216</v>
      </c>
      <c r="F544" s="14" t="s">
        <v>320</v>
      </c>
    </row>
    <row r="545" spans="1:6">
      <c r="A545" s="45" t="str">
        <f>IF(COUNTIF($B$2:B545,B545)=1,"ok","dup")</f>
        <v>ok</v>
      </c>
      <c r="B545" s="45" t="str">
        <f t="shared" si="8"/>
        <v>Lemur_catta17</v>
      </c>
      <c r="C545" s="6" t="s">
        <v>82</v>
      </c>
      <c r="D545" s="7">
        <v>17</v>
      </c>
      <c r="E545" s="14" t="s">
        <v>212</v>
      </c>
    </row>
    <row r="546" spans="1:6">
      <c r="A546" s="45" t="str">
        <f>IF(COUNTIF($B$2:B546,B546)=1,"ok","dup")</f>
        <v>ok</v>
      </c>
      <c r="B546" s="45" t="str">
        <f t="shared" si="8"/>
        <v>Lemur_catta17.2</v>
      </c>
      <c r="C546" s="6" t="s">
        <v>82</v>
      </c>
      <c r="D546" s="7">
        <v>17.2</v>
      </c>
      <c r="E546" s="14" t="s">
        <v>218</v>
      </c>
      <c r="F546" s="14" t="s">
        <v>431</v>
      </c>
    </row>
    <row r="547" spans="1:6">
      <c r="A547" s="45" t="str">
        <f>IF(COUNTIF($B$2:B547,B547)=1,"ok","dup")</f>
        <v>ok</v>
      </c>
      <c r="B547" s="45" t="str">
        <f t="shared" si="8"/>
        <v>Lemur_catta12</v>
      </c>
      <c r="C547" s="6" t="s">
        <v>82</v>
      </c>
      <c r="D547" s="7">
        <v>12</v>
      </c>
      <c r="E547" s="14" t="s">
        <v>213</v>
      </c>
    </row>
    <row r="548" spans="1:6">
      <c r="A548" s="45" t="str">
        <f>IF(COUNTIF($B$2:B548,B548)=1,"ok","dup")</f>
        <v>dup</v>
      </c>
      <c r="B548" s="45" t="str">
        <f t="shared" si="8"/>
        <v>Lemur_catta17</v>
      </c>
      <c r="C548" s="6" t="s">
        <v>82</v>
      </c>
      <c r="D548" s="7">
        <v>17</v>
      </c>
      <c r="E548" s="14" t="s">
        <v>211</v>
      </c>
    </row>
    <row r="549" spans="1:6">
      <c r="A549" s="45" t="str">
        <f>IF(COUNTIF($B$2:B549,B549)=1,"ok","dup")</f>
        <v>ok</v>
      </c>
      <c r="B549" s="45" t="str">
        <f t="shared" si="8"/>
        <v>Lemur_catta15</v>
      </c>
      <c r="C549" s="6" t="s">
        <v>82</v>
      </c>
      <c r="D549" s="7">
        <v>15</v>
      </c>
      <c r="E549" s="14" t="s">
        <v>214</v>
      </c>
      <c r="F549" s="14" t="s">
        <v>432</v>
      </c>
    </row>
    <row r="550" spans="1:6">
      <c r="A550" s="45" t="str">
        <f>IF(COUNTIF($B$2:B550,B550)=1,"ok","dup")</f>
        <v>ok</v>
      </c>
      <c r="B550" s="45" t="str">
        <f t="shared" si="8"/>
        <v>Leontopithecus_chrysomelas6.7</v>
      </c>
      <c r="C550" s="6" t="s">
        <v>433</v>
      </c>
      <c r="D550" s="7">
        <v>6.7</v>
      </c>
      <c r="E550" s="14" t="s">
        <v>211</v>
      </c>
    </row>
    <row r="551" spans="1:6">
      <c r="A551" s="45" t="str">
        <f>IF(COUNTIF($B$2:B551,B551)=1,"ok","dup")</f>
        <v>ok</v>
      </c>
      <c r="B551" s="45" t="str">
        <f t="shared" si="8"/>
        <v>Leontopithecus_rosalia5</v>
      </c>
      <c r="C551" s="6" t="s">
        <v>83</v>
      </c>
      <c r="D551" s="7">
        <v>5</v>
      </c>
      <c r="E551" s="14" t="s">
        <v>212</v>
      </c>
    </row>
    <row r="552" spans="1:6">
      <c r="A552" s="45" t="str">
        <f>IF(COUNTIF($B$2:B552,B552)=1,"ok","dup")</f>
        <v>ok</v>
      </c>
      <c r="B552" s="45" t="str">
        <f t="shared" si="8"/>
        <v>Leontopithecus_rosalia5.8</v>
      </c>
      <c r="C552" s="6" t="s">
        <v>83</v>
      </c>
      <c r="D552" s="7">
        <v>5.8</v>
      </c>
      <c r="E552" s="14" t="s">
        <v>211</v>
      </c>
    </row>
    <row r="553" spans="1:6">
      <c r="A553" s="45" t="str">
        <f>IF(COUNTIF($B$2:B553,B553)=1,"ok","dup")</f>
        <v>ok</v>
      </c>
      <c r="B553" s="45" t="str">
        <f t="shared" si="8"/>
        <v>Lepilemur_mustelinus2</v>
      </c>
      <c r="C553" s="6" t="s">
        <v>434</v>
      </c>
      <c r="D553" s="7">
        <v>2</v>
      </c>
      <c r="E553" s="14" t="s">
        <v>276</v>
      </c>
      <c r="F553" s="14" t="s">
        <v>277</v>
      </c>
    </row>
    <row r="554" spans="1:6">
      <c r="A554" s="45" t="str">
        <f>IF(COUNTIF($B$2:B554,B554)=1,"ok","dup")</f>
        <v>ok</v>
      </c>
      <c r="B554" s="45" t="str">
        <f t="shared" si="8"/>
        <v>Lepilemur_mustelinus1</v>
      </c>
      <c r="C554" s="6" t="s">
        <v>434</v>
      </c>
      <c r="D554" s="7">
        <v>1</v>
      </c>
      <c r="E554" s="14" t="s">
        <v>212</v>
      </c>
    </row>
    <row r="555" spans="1:6">
      <c r="A555" s="45" t="str">
        <f>IF(COUNTIF($B$2:B555,B555)=1,"ok","dup")</f>
        <v>dup</v>
      </c>
      <c r="B555" s="45" t="str">
        <f t="shared" si="8"/>
        <v>Lepilemur_mustelinus1</v>
      </c>
      <c r="C555" s="6" t="s">
        <v>434</v>
      </c>
      <c r="D555" s="7">
        <v>1</v>
      </c>
      <c r="E555" s="14" t="s">
        <v>213</v>
      </c>
    </row>
    <row r="556" spans="1:6">
      <c r="A556" s="45" t="str">
        <f>IF(COUNTIF($B$2:B556,B556)=1,"ok","dup")</f>
        <v>ok</v>
      </c>
      <c r="B556" s="45" t="str">
        <f t="shared" si="8"/>
        <v>Lophocebus_albigena14.4</v>
      </c>
      <c r="C556" s="6" t="s">
        <v>85</v>
      </c>
      <c r="D556" s="7">
        <v>14.4</v>
      </c>
      <c r="E556" s="14" t="s">
        <v>216</v>
      </c>
      <c r="F556" s="14" t="s">
        <v>435</v>
      </c>
    </row>
    <row r="557" spans="1:6">
      <c r="A557" s="45" t="str">
        <f>IF(COUNTIF($B$2:B557,B557)=1,"ok","dup")</f>
        <v>ok</v>
      </c>
      <c r="B557" s="45" t="str">
        <f t="shared" si="8"/>
        <v>Lophocebus_albigena13</v>
      </c>
      <c r="C557" s="6" t="s">
        <v>85</v>
      </c>
      <c r="D557" s="7">
        <v>13</v>
      </c>
      <c r="E557" s="14" t="s">
        <v>212</v>
      </c>
    </row>
    <row r="558" spans="1:6">
      <c r="A558" s="45" t="str">
        <f>IF(COUNTIF($B$2:B558,B558)=1,"ok","dup")</f>
        <v>dup</v>
      </c>
      <c r="B558" s="45" t="str">
        <f t="shared" si="8"/>
        <v>Lophocebus_albigena14.4</v>
      </c>
      <c r="C558" s="6" t="s">
        <v>85</v>
      </c>
      <c r="D558" s="7">
        <v>14.4</v>
      </c>
      <c r="E558" s="14" t="s">
        <v>212</v>
      </c>
    </row>
    <row r="559" spans="1:6">
      <c r="A559" s="45" t="str">
        <f>IF(COUNTIF($B$2:B559,B559)=1,"ok","dup")</f>
        <v>ok</v>
      </c>
      <c r="B559" s="45" t="str">
        <f t="shared" si="8"/>
        <v>Lophocebus_albigena15</v>
      </c>
      <c r="C559" s="6" t="s">
        <v>85</v>
      </c>
      <c r="D559" s="7">
        <v>15</v>
      </c>
      <c r="E559" s="14" t="s">
        <v>212</v>
      </c>
    </row>
    <row r="560" spans="1:6">
      <c r="A560" s="45" t="str">
        <f>IF(COUNTIF($B$2:B560,B560)=1,"ok","dup")</f>
        <v>ok</v>
      </c>
      <c r="B560" s="45" t="str">
        <f t="shared" si="8"/>
        <v>Lophocebus_albigena16</v>
      </c>
      <c r="C560" s="6" t="s">
        <v>85</v>
      </c>
      <c r="D560" s="7">
        <v>16</v>
      </c>
      <c r="E560" s="14" t="s">
        <v>212</v>
      </c>
    </row>
    <row r="561" spans="1:7">
      <c r="A561" s="45" t="str">
        <f>IF(COUNTIF($B$2:B561,B561)=1,"ok","dup")</f>
        <v>ok</v>
      </c>
      <c r="B561" s="45" t="str">
        <f t="shared" si="8"/>
        <v>Lophocebus_albigena16.8</v>
      </c>
      <c r="C561" s="6" t="s">
        <v>85</v>
      </c>
      <c r="D561" s="7">
        <v>16.8</v>
      </c>
      <c r="E561" s="14" t="s">
        <v>212</v>
      </c>
    </row>
    <row r="562" spans="1:7">
      <c r="A562" s="45" t="str">
        <f>IF(COUNTIF($B$2:B562,B562)=1,"ok","dup")</f>
        <v>ok</v>
      </c>
      <c r="B562" s="45" t="str">
        <f t="shared" si="8"/>
        <v>Lophocebus_albigena17.3</v>
      </c>
      <c r="C562" s="6" t="s">
        <v>85</v>
      </c>
      <c r="D562" s="7">
        <v>17.3</v>
      </c>
      <c r="E562" s="14" t="s">
        <v>212</v>
      </c>
    </row>
    <row r="563" spans="1:7">
      <c r="A563" s="45" t="str">
        <f>IF(COUNTIF($B$2:B563,B563)=1,"ok","dup")</f>
        <v>ok</v>
      </c>
      <c r="B563" s="45" t="str">
        <f t="shared" si="8"/>
        <v>Lophocebus_albigena21</v>
      </c>
      <c r="C563" s="6" t="s">
        <v>85</v>
      </c>
      <c r="D563" s="7">
        <v>21</v>
      </c>
      <c r="E563" s="14" t="s">
        <v>212</v>
      </c>
    </row>
    <row r="564" spans="1:7">
      <c r="A564" s="45" t="str">
        <f>IF(COUNTIF($B$2:B564,B564)=1,"ok","dup")</f>
        <v>dup</v>
      </c>
      <c r="B564" s="45" t="str">
        <f t="shared" si="8"/>
        <v>Lophocebus_albigena15</v>
      </c>
      <c r="C564" s="6" t="s">
        <v>85</v>
      </c>
      <c r="D564" s="7">
        <v>15</v>
      </c>
      <c r="E564" s="14" t="s">
        <v>218</v>
      </c>
      <c r="F564" s="14" t="s">
        <v>324</v>
      </c>
    </row>
    <row r="565" spans="1:7">
      <c r="A565" s="45" t="str">
        <f>IF(COUNTIF($B$2:B565,B565)=1,"ok","dup")</f>
        <v>ok</v>
      </c>
      <c r="B565" s="45" t="str">
        <f t="shared" si="8"/>
        <v>Lophocebus_albigena17</v>
      </c>
      <c r="C565" s="6" t="s">
        <v>85</v>
      </c>
      <c r="D565" s="7">
        <v>17</v>
      </c>
      <c r="E565" s="14" t="s">
        <v>213</v>
      </c>
    </row>
    <row r="566" spans="1:7">
      <c r="A566" s="45" t="str">
        <f>IF(COUNTIF($B$2:B566,B566)=1,"ok","dup")</f>
        <v>dup</v>
      </c>
      <c r="B566" s="45" t="str">
        <f t="shared" si="8"/>
        <v>Lophocebus_albigena15</v>
      </c>
      <c r="C566" s="6" t="s">
        <v>85</v>
      </c>
      <c r="D566" s="7">
        <v>15</v>
      </c>
      <c r="E566" s="14" t="s">
        <v>211</v>
      </c>
    </row>
    <row r="567" spans="1:7">
      <c r="A567" s="45" t="str">
        <f>IF(COUNTIF($B$2:B567,B567)=1,"ok","dup")</f>
        <v>ok</v>
      </c>
      <c r="B567" s="45" t="str">
        <f t="shared" si="8"/>
        <v>Lophocebus_albigena11</v>
      </c>
      <c r="C567" s="6" t="s">
        <v>85</v>
      </c>
      <c r="D567" s="7">
        <v>11</v>
      </c>
      <c r="E567" s="14" t="s">
        <v>220</v>
      </c>
      <c r="F567" s="14" t="s">
        <v>436</v>
      </c>
      <c r="G567" s="6" t="s">
        <v>222</v>
      </c>
    </row>
    <row r="568" spans="1:7">
      <c r="A568" s="45" t="str">
        <f>IF(COUNTIF($B$2:B568,B568)=1,"ok","dup")</f>
        <v>dup</v>
      </c>
      <c r="B568" s="45" t="str">
        <f t="shared" si="8"/>
        <v>Lophocebus_albigena11</v>
      </c>
      <c r="C568" s="6" t="s">
        <v>85</v>
      </c>
      <c r="D568" s="7">
        <v>11</v>
      </c>
      <c r="E568" s="14" t="s">
        <v>220</v>
      </c>
      <c r="F568" s="14" t="s">
        <v>436</v>
      </c>
    </row>
    <row r="569" spans="1:7">
      <c r="A569" s="45" t="str">
        <f>IF(COUNTIF($B$2:B569,B569)=1,"ok","dup")</f>
        <v>ok</v>
      </c>
      <c r="B569" s="45" t="str">
        <f t="shared" si="8"/>
        <v>Lophocebus_albigena14</v>
      </c>
      <c r="C569" s="6" t="s">
        <v>85</v>
      </c>
      <c r="D569" s="7">
        <v>14</v>
      </c>
      <c r="E569" s="14" t="s">
        <v>220</v>
      </c>
      <c r="F569" s="14" t="s">
        <v>436</v>
      </c>
      <c r="G569" s="6" t="s">
        <v>222</v>
      </c>
    </row>
    <row r="570" spans="1:7">
      <c r="A570" s="45" t="str">
        <f>IF(COUNTIF($B$2:B570,B570)=1,"ok","dup")</f>
        <v>dup</v>
      </c>
      <c r="B570" s="45" t="str">
        <f t="shared" si="8"/>
        <v>Lophocebus_albigena14</v>
      </c>
      <c r="C570" s="6" t="s">
        <v>85</v>
      </c>
      <c r="D570" s="7">
        <v>14</v>
      </c>
      <c r="E570" s="14" t="s">
        <v>220</v>
      </c>
      <c r="F570" s="14" t="s">
        <v>436</v>
      </c>
    </row>
    <row r="571" spans="1:7">
      <c r="A571" s="45" t="str">
        <f>IF(COUNTIF($B$2:B571,B571)=1,"ok","dup")</f>
        <v>ok</v>
      </c>
      <c r="B571" s="45" t="str">
        <f t="shared" si="8"/>
        <v>Lophocebus_albigena14.1</v>
      </c>
      <c r="C571" s="6" t="s">
        <v>85</v>
      </c>
      <c r="D571" s="7">
        <v>14.1</v>
      </c>
      <c r="E571" s="14" t="s">
        <v>220</v>
      </c>
      <c r="F571" s="14" t="s">
        <v>437</v>
      </c>
      <c r="G571" s="6" t="s">
        <v>330</v>
      </c>
    </row>
    <row r="572" spans="1:7">
      <c r="A572" s="45" t="str">
        <f>IF(COUNTIF($B$2:B572,B572)=1,"ok","dup")</f>
        <v>ok</v>
      </c>
      <c r="B572" s="45" t="str">
        <f t="shared" si="8"/>
        <v>Lophocebus_albigena14.3</v>
      </c>
      <c r="C572" s="6" t="s">
        <v>85</v>
      </c>
      <c r="D572" s="7">
        <v>14.3</v>
      </c>
      <c r="E572" s="14" t="s">
        <v>220</v>
      </c>
      <c r="F572" s="14" t="s">
        <v>438</v>
      </c>
      <c r="G572" s="6" t="s">
        <v>226</v>
      </c>
    </row>
    <row r="573" spans="1:7">
      <c r="A573" s="45" t="str">
        <f>IF(COUNTIF($B$2:B573,B573)=1,"ok","dup")</f>
        <v>dup</v>
      </c>
      <c r="B573" s="45" t="str">
        <f t="shared" si="8"/>
        <v>Lophocebus_albigena14.4</v>
      </c>
      <c r="C573" s="6" t="s">
        <v>85</v>
      </c>
      <c r="D573" s="7">
        <v>14.4</v>
      </c>
      <c r="E573" s="14" t="s">
        <v>220</v>
      </c>
      <c r="F573" s="14" t="s">
        <v>439</v>
      </c>
      <c r="G573" s="6" t="s">
        <v>228</v>
      </c>
    </row>
    <row r="574" spans="1:7">
      <c r="A574" s="45" t="str">
        <f>IF(COUNTIF($B$2:B574,B574)=1,"ok","dup")</f>
        <v>ok</v>
      </c>
      <c r="B574" s="45" t="str">
        <f t="shared" si="8"/>
        <v>Lophocebus_albigena16.6</v>
      </c>
      <c r="C574" s="6" t="s">
        <v>85</v>
      </c>
      <c r="D574" s="7">
        <v>16.600000000000001</v>
      </c>
      <c r="E574" s="14" t="s">
        <v>220</v>
      </c>
      <c r="F574" s="14" t="s">
        <v>440</v>
      </c>
      <c r="G574" s="6" t="s">
        <v>239</v>
      </c>
    </row>
    <row r="575" spans="1:7">
      <c r="A575" s="45" t="str">
        <f>IF(COUNTIF($B$2:B575,B575)=1,"ok","dup")</f>
        <v>dup</v>
      </c>
      <c r="B575" s="45" t="str">
        <f t="shared" si="8"/>
        <v>Lophocebus_albigena17</v>
      </c>
      <c r="C575" s="6" t="s">
        <v>85</v>
      </c>
      <c r="D575" s="7">
        <v>17</v>
      </c>
      <c r="E575" s="14" t="s">
        <v>220</v>
      </c>
      <c r="F575" s="14" t="s">
        <v>441</v>
      </c>
      <c r="G575" s="6" t="s">
        <v>235</v>
      </c>
    </row>
    <row r="576" spans="1:7">
      <c r="A576" s="45" t="str">
        <f>IF(COUNTIF($B$2:B576,B576)=1,"ok","dup")</f>
        <v>dup</v>
      </c>
      <c r="B576" s="45" t="str">
        <f t="shared" si="8"/>
        <v>Lophocebus_albigena17</v>
      </c>
      <c r="C576" s="6" t="s">
        <v>85</v>
      </c>
      <c r="D576" s="7">
        <v>17</v>
      </c>
      <c r="E576" s="14" t="s">
        <v>220</v>
      </c>
      <c r="F576" s="14" t="s">
        <v>442</v>
      </c>
      <c r="G576" s="6" t="s">
        <v>330</v>
      </c>
    </row>
    <row r="577" spans="1:7">
      <c r="A577" s="45" t="str">
        <f>IF(COUNTIF($B$2:B577,B577)=1,"ok","dup")</f>
        <v>dup</v>
      </c>
      <c r="B577" s="45" t="str">
        <f t="shared" si="8"/>
        <v>Lophocebus_albigena17</v>
      </c>
      <c r="C577" s="6" t="s">
        <v>85</v>
      </c>
      <c r="D577" s="7">
        <v>17</v>
      </c>
      <c r="E577" s="14" t="s">
        <v>220</v>
      </c>
      <c r="F577" s="14" t="s">
        <v>440</v>
      </c>
      <c r="G577" s="6" t="s">
        <v>330</v>
      </c>
    </row>
    <row r="578" spans="1:7">
      <c r="A578" s="45" t="str">
        <f>IF(COUNTIF($B$2:B578,B578)=1,"ok","dup")</f>
        <v>dup</v>
      </c>
      <c r="B578" s="45" t="str">
        <f t="shared" ref="B578:B641" si="9">C578&amp;D578</f>
        <v>Lophocebus_albigena17</v>
      </c>
      <c r="C578" s="6" t="s">
        <v>85</v>
      </c>
      <c r="D578" s="7">
        <v>17</v>
      </c>
      <c r="E578" s="14" t="s">
        <v>220</v>
      </c>
      <c r="F578" s="14" t="s">
        <v>436</v>
      </c>
    </row>
    <row r="579" spans="1:7">
      <c r="A579" s="45" t="str">
        <f>IF(COUNTIF($B$2:B579,B579)=1,"ok","dup")</f>
        <v>ok</v>
      </c>
      <c r="B579" s="45" t="str">
        <f t="shared" si="9"/>
        <v>Lophocebus_albigena18</v>
      </c>
      <c r="C579" s="6" t="s">
        <v>85</v>
      </c>
      <c r="D579" s="7">
        <v>18</v>
      </c>
      <c r="E579" s="14" t="s">
        <v>220</v>
      </c>
      <c r="F579" s="14" t="s">
        <v>443</v>
      </c>
    </row>
    <row r="580" spans="1:7">
      <c r="A580" s="45" t="str">
        <f>IF(COUNTIF($B$2:B580,B580)=1,"ok","dup")</f>
        <v>dup</v>
      </c>
      <c r="B580" s="45" t="str">
        <f t="shared" si="9"/>
        <v>Lophocebus_albigena18</v>
      </c>
      <c r="C580" s="6" t="s">
        <v>85</v>
      </c>
      <c r="D580" s="7">
        <v>18</v>
      </c>
      <c r="E580" s="14" t="s">
        <v>220</v>
      </c>
      <c r="F580" s="14" t="s">
        <v>444</v>
      </c>
    </row>
    <row r="581" spans="1:7">
      <c r="A581" s="45" t="str">
        <f>IF(COUNTIF($B$2:B581,B581)=1,"ok","dup")</f>
        <v>ok</v>
      </c>
      <c r="B581" s="45" t="str">
        <f t="shared" si="9"/>
        <v>Lophocebus_albigena19</v>
      </c>
      <c r="C581" s="6" t="s">
        <v>85</v>
      </c>
      <c r="D581" s="7">
        <v>19</v>
      </c>
      <c r="E581" s="14" t="s">
        <v>220</v>
      </c>
      <c r="F581" s="14" t="s">
        <v>444</v>
      </c>
    </row>
    <row r="582" spans="1:7">
      <c r="A582" s="45" t="str">
        <f>IF(COUNTIF($B$2:B582,B582)=1,"ok","dup")</f>
        <v>ok</v>
      </c>
      <c r="B582" s="45" t="str">
        <f t="shared" si="9"/>
        <v>Lophocebus_albigena19.8</v>
      </c>
      <c r="C582" s="6" t="s">
        <v>85</v>
      </c>
      <c r="D582" s="7">
        <v>19.8</v>
      </c>
      <c r="E582" s="14" t="s">
        <v>220</v>
      </c>
      <c r="F582" s="14" t="s">
        <v>443</v>
      </c>
      <c r="G582" s="6" t="s">
        <v>330</v>
      </c>
    </row>
    <row r="583" spans="1:7">
      <c r="A583" s="45" t="str">
        <f>IF(COUNTIF($B$2:B583,B583)=1,"ok","dup")</f>
        <v>ok</v>
      </c>
      <c r="B583" s="45" t="str">
        <f t="shared" si="9"/>
        <v>Lophocebus_albigena25</v>
      </c>
      <c r="C583" s="6" t="s">
        <v>85</v>
      </c>
      <c r="D583" s="7">
        <v>25</v>
      </c>
      <c r="E583" s="14" t="s">
        <v>220</v>
      </c>
      <c r="F583" s="14" t="s">
        <v>440</v>
      </c>
      <c r="G583" s="6" t="s">
        <v>330</v>
      </c>
    </row>
    <row r="584" spans="1:7">
      <c r="A584" s="45" t="str">
        <f>IF(COUNTIF($B$2:B584,B584)=1,"ok","dup")</f>
        <v>ok</v>
      </c>
      <c r="B584" s="45" t="str">
        <f t="shared" si="9"/>
        <v>Lophocebus_albigena27</v>
      </c>
      <c r="C584" s="6" t="s">
        <v>85</v>
      </c>
      <c r="D584" s="7">
        <v>27</v>
      </c>
      <c r="E584" s="14" t="s">
        <v>220</v>
      </c>
      <c r="F584" s="14" t="s">
        <v>438</v>
      </c>
      <c r="G584" s="6" t="s">
        <v>222</v>
      </c>
    </row>
    <row r="585" spans="1:7">
      <c r="A585" s="45" t="str">
        <f>IF(COUNTIF($B$2:B585,B585)=1,"ok","dup")</f>
        <v>ok</v>
      </c>
      <c r="B585" s="45" t="str">
        <f t="shared" si="9"/>
        <v>Lophocebus_albigena5</v>
      </c>
      <c r="C585" s="6" t="s">
        <v>85</v>
      </c>
      <c r="D585" s="7">
        <v>5</v>
      </c>
      <c r="E585" s="14" t="s">
        <v>220</v>
      </c>
      <c r="F585" s="14" t="s">
        <v>436</v>
      </c>
    </row>
    <row r="586" spans="1:7">
      <c r="A586" s="45" t="str">
        <f>IF(COUNTIF($B$2:B586,B586)=1,"ok","dup")</f>
        <v>ok</v>
      </c>
      <c r="B586" s="45" t="str">
        <f t="shared" si="9"/>
        <v>Lophocebus_albigena6</v>
      </c>
      <c r="C586" s="6" t="s">
        <v>85</v>
      </c>
      <c r="D586" s="7">
        <v>6</v>
      </c>
      <c r="E586" s="14" t="s">
        <v>220</v>
      </c>
      <c r="F586" s="14" t="s">
        <v>438</v>
      </c>
      <c r="G586" s="6" t="s">
        <v>222</v>
      </c>
    </row>
    <row r="587" spans="1:7">
      <c r="A587" s="45" t="str">
        <f>IF(COUNTIF($B$2:B587,B587)=1,"ok","dup")</f>
        <v>ok</v>
      </c>
      <c r="B587" s="45" t="str">
        <f t="shared" si="9"/>
        <v>Lophocebus_albigena9</v>
      </c>
      <c r="C587" s="6" t="s">
        <v>85</v>
      </c>
      <c r="D587" s="7">
        <v>9</v>
      </c>
      <c r="E587" s="14" t="s">
        <v>220</v>
      </c>
      <c r="F587" s="14" t="s">
        <v>444</v>
      </c>
    </row>
    <row r="588" spans="1:7">
      <c r="A588" s="45" t="str">
        <f>IF(COUNTIF($B$2:B588,B588)=1,"ok","dup")</f>
        <v>ok</v>
      </c>
      <c r="B588" s="45" t="str">
        <f t="shared" si="9"/>
        <v>Lophocebus_aterrimus9.5</v>
      </c>
      <c r="C588" s="6" t="s">
        <v>445</v>
      </c>
      <c r="D588" s="7">
        <v>9.5</v>
      </c>
      <c r="E588" s="14" t="s">
        <v>211</v>
      </c>
    </row>
    <row r="589" spans="1:7">
      <c r="A589" s="45" t="str">
        <f>IF(COUNTIF($B$2:B589,B589)=1,"ok","dup")</f>
        <v>ok</v>
      </c>
      <c r="B589" s="45" t="str">
        <f t="shared" si="9"/>
        <v>Loris_tardigradus1</v>
      </c>
      <c r="C589" s="6" t="s">
        <v>86</v>
      </c>
      <c r="D589" s="7">
        <v>1</v>
      </c>
      <c r="E589" s="14" t="s">
        <v>213</v>
      </c>
    </row>
    <row r="590" spans="1:7">
      <c r="A590" s="45" t="str">
        <f>IF(COUNTIF($B$2:B590,B590)=1,"ok","dup")</f>
        <v>ok</v>
      </c>
      <c r="B590" s="45" t="str">
        <f t="shared" si="9"/>
        <v>Loris_tardigradus3</v>
      </c>
      <c r="C590" s="6" t="s">
        <v>86</v>
      </c>
      <c r="D590" s="7">
        <v>3</v>
      </c>
      <c r="E590" s="14" t="s">
        <v>211</v>
      </c>
    </row>
    <row r="591" spans="1:7">
      <c r="A591" s="45" t="str">
        <f>IF(COUNTIF($B$2:B591,B591)=1,"ok","dup")</f>
        <v>ok</v>
      </c>
      <c r="B591" s="45" t="str">
        <f t="shared" si="9"/>
        <v>Macaca_arctoides22.5</v>
      </c>
      <c r="C591" s="6" t="s">
        <v>446</v>
      </c>
      <c r="D591" s="7">
        <v>22.5</v>
      </c>
      <c r="E591" s="14" t="s">
        <v>211</v>
      </c>
    </row>
    <row r="592" spans="1:7">
      <c r="A592" s="45" t="str">
        <f>IF(COUNTIF($B$2:B592,B592)=1,"ok","dup")</f>
        <v>ok</v>
      </c>
      <c r="B592" s="45" t="str">
        <f t="shared" si="9"/>
        <v>Macaca_arctoides5</v>
      </c>
      <c r="C592" s="6" t="s">
        <v>446</v>
      </c>
      <c r="D592" s="7">
        <v>5</v>
      </c>
      <c r="E592" s="14" t="s">
        <v>214</v>
      </c>
      <c r="F592" s="14" t="s">
        <v>447</v>
      </c>
    </row>
    <row r="593" spans="1:6">
      <c r="A593" s="45" t="str">
        <f>IF(COUNTIF($B$2:B593,B593)=1,"ok","dup")</f>
        <v>ok</v>
      </c>
      <c r="B593" s="45" t="str">
        <f t="shared" si="9"/>
        <v>Macaca_assamensis21.8</v>
      </c>
      <c r="C593" s="6" t="s">
        <v>448</v>
      </c>
      <c r="D593" s="7">
        <v>21.8</v>
      </c>
      <c r="E593" s="14" t="s">
        <v>212</v>
      </c>
    </row>
    <row r="594" spans="1:6">
      <c r="A594" s="45" t="str">
        <f>IF(COUNTIF($B$2:B594,B594)=1,"ok","dup")</f>
        <v>ok</v>
      </c>
      <c r="B594" s="45" t="str">
        <f t="shared" si="9"/>
        <v>Macaca_assamensis30</v>
      </c>
      <c r="C594" s="6" t="s">
        <v>448</v>
      </c>
      <c r="D594" s="7">
        <v>30</v>
      </c>
      <c r="E594" s="14" t="s">
        <v>211</v>
      </c>
    </row>
    <row r="595" spans="1:6">
      <c r="A595" s="45" t="str">
        <f>IF(COUNTIF($B$2:B595,B595)=1,"ok","dup")</f>
        <v>ok</v>
      </c>
      <c r="B595" s="45" t="str">
        <f t="shared" si="9"/>
        <v>Macaca_fascicularis27</v>
      </c>
      <c r="C595" s="6" t="s">
        <v>87</v>
      </c>
      <c r="D595" s="7">
        <v>27</v>
      </c>
      <c r="E595" s="14" t="s">
        <v>216</v>
      </c>
      <c r="F595" s="14" t="s">
        <v>435</v>
      </c>
    </row>
    <row r="596" spans="1:6">
      <c r="A596" s="45" t="str">
        <f>IF(COUNTIF($B$2:B596,B596)=1,"ok","dup")</f>
        <v>ok</v>
      </c>
      <c r="B596" s="45" t="str">
        <f t="shared" si="9"/>
        <v>Macaca_fascicularis18.2</v>
      </c>
      <c r="C596" s="6" t="s">
        <v>87</v>
      </c>
      <c r="D596" s="7">
        <v>18.2</v>
      </c>
      <c r="E596" s="14" t="s">
        <v>212</v>
      </c>
    </row>
    <row r="597" spans="1:6">
      <c r="A597" s="45" t="str">
        <f>IF(COUNTIF($B$2:B597,B597)=1,"ok","dup")</f>
        <v>dup</v>
      </c>
      <c r="B597" s="45" t="str">
        <f t="shared" si="9"/>
        <v>Macaca_fascicularis27</v>
      </c>
      <c r="C597" s="6" t="s">
        <v>87</v>
      </c>
      <c r="D597" s="7">
        <v>27</v>
      </c>
      <c r="E597" s="14" t="s">
        <v>212</v>
      </c>
    </row>
    <row r="598" spans="1:6">
      <c r="A598" s="45" t="str">
        <f>IF(COUNTIF($B$2:B598,B598)=1,"ok","dup")</f>
        <v>dup</v>
      </c>
      <c r="B598" s="45" t="str">
        <f t="shared" si="9"/>
        <v>Macaca_fascicularis27</v>
      </c>
      <c r="C598" s="6" t="s">
        <v>87</v>
      </c>
      <c r="D598" s="7">
        <v>27</v>
      </c>
      <c r="E598" s="14" t="s">
        <v>212</v>
      </c>
    </row>
    <row r="599" spans="1:6">
      <c r="A599" s="45" t="str">
        <f>IF(COUNTIF($B$2:B599,B599)=1,"ok","dup")</f>
        <v>ok</v>
      </c>
      <c r="B599" s="45" t="str">
        <f t="shared" si="9"/>
        <v>Macaca_fascicularis29.1</v>
      </c>
      <c r="C599" s="6" t="s">
        <v>87</v>
      </c>
      <c r="D599" s="7">
        <v>29.1</v>
      </c>
      <c r="E599" s="14" t="s">
        <v>212</v>
      </c>
    </row>
    <row r="600" spans="1:6">
      <c r="A600" s="45" t="str">
        <f>IF(COUNTIF($B$2:B600,B600)=1,"ok","dup")</f>
        <v>ok</v>
      </c>
      <c r="B600" s="45" t="str">
        <f t="shared" si="9"/>
        <v>Macaca_fascicularis29.8</v>
      </c>
      <c r="C600" s="6" t="s">
        <v>87</v>
      </c>
      <c r="D600" s="7">
        <v>29.8</v>
      </c>
      <c r="E600" s="14" t="s">
        <v>212</v>
      </c>
    </row>
    <row r="601" spans="1:6">
      <c r="A601" s="45" t="str">
        <f>IF(COUNTIF($B$2:B601,B601)=1,"ok","dup")</f>
        <v>ok</v>
      </c>
      <c r="B601" s="45" t="str">
        <f t="shared" si="9"/>
        <v>Macaca_fascicularis35.75</v>
      </c>
      <c r="C601" s="6" t="s">
        <v>87</v>
      </c>
      <c r="D601" s="7">
        <v>35.75</v>
      </c>
      <c r="E601" s="14" t="s">
        <v>212</v>
      </c>
    </row>
    <row r="602" spans="1:6">
      <c r="A602" s="45" t="str">
        <f>IF(COUNTIF($B$2:B602,B602)=1,"ok","dup")</f>
        <v>ok</v>
      </c>
      <c r="B602" s="45" t="str">
        <f t="shared" si="9"/>
        <v>Macaca_fascicularis23.8</v>
      </c>
      <c r="C602" s="6" t="s">
        <v>87</v>
      </c>
      <c r="D602" s="7">
        <v>23.8</v>
      </c>
      <c r="E602" s="14" t="s">
        <v>218</v>
      </c>
      <c r="F602" s="14" t="s">
        <v>449</v>
      </c>
    </row>
    <row r="603" spans="1:6">
      <c r="A603" s="45" t="str">
        <f>IF(COUNTIF($B$2:B603,B603)=1,"ok","dup")</f>
        <v>ok</v>
      </c>
      <c r="B603" s="45" t="str">
        <f t="shared" si="9"/>
        <v>Macaca_fascicularis29</v>
      </c>
      <c r="C603" s="6" t="s">
        <v>87</v>
      </c>
      <c r="D603" s="7">
        <v>29</v>
      </c>
      <c r="E603" s="14" t="s">
        <v>211</v>
      </c>
    </row>
    <row r="604" spans="1:6">
      <c r="A604" s="45" t="str">
        <f>IF(COUNTIF($B$2:B604,B604)=1,"ok","dup")</f>
        <v>ok</v>
      </c>
      <c r="B604" s="45" t="str">
        <f t="shared" si="9"/>
        <v>Macaca_fuscata36.6</v>
      </c>
      <c r="C604" s="6" t="s">
        <v>450</v>
      </c>
      <c r="D604" s="7">
        <v>36.6</v>
      </c>
      <c r="E604" s="14" t="s">
        <v>212</v>
      </c>
    </row>
    <row r="605" spans="1:6">
      <c r="A605" s="45" t="str">
        <f>IF(COUNTIF($B$2:B605,B605)=1,"ok","dup")</f>
        <v>ok</v>
      </c>
      <c r="B605" s="45" t="str">
        <f t="shared" si="9"/>
        <v>Macaca_fuscata81</v>
      </c>
      <c r="C605" s="6" t="s">
        <v>450</v>
      </c>
      <c r="D605" s="7">
        <v>81</v>
      </c>
      <c r="E605" s="14" t="s">
        <v>212</v>
      </c>
    </row>
    <row r="606" spans="1:6">
      <c r="A606" s="45" t="str">
        <f>IF(COUNTIF($B$2:B606,B606)=1,"ok","dup")</f>
        <v>ok</v>
      </c>
      <c r="B606" s="45" t="str">
        <f t="shared" si="9"/>
        <v>Macaca_fuscata117</v>
      </c>
      <c r="C606" s="6" t="s">
        <v>450</v>
      </c>
      <c r="D606" s="7">
        <v>117</v>
      </c>
      <c r="E606" s="14" t="s">
        <v>211</v>
      </c>
    </row>
    <row r="607" spans="1:6">
      <c r="A607" s="45" t="str">
        <f>IF(COUNTIF($B$2:B607,B607)=1,"ok","dup")</f>
        <v>ok</v>
      </c>
      <c r="B607" s="45" t="str">
        <f t="shared" si="9"/>
        <v>Macaca_fuscata24</v>
      </c>
      <c r="C607" s="6" t="s">
        <v>450</v>
      </c>
      <c r="D607" s="7">
        <v>24</v>
      </c>
      <c r="E607" s="14" t="s">
        <v>214</v>
      </c>
      <c r="F607" s="14" t="s">
        <v>451</v>
      </c>
    </row>
    <row r="608" spans="1:6">
      <c r="A608" s="45" t="str">
        <f>IF(COUNTIF($B$2:B608,B608)=1,"ok","dup")</f>
        <v>ok</v>
      </c>
      <c r="B608" s="45" t="str">
        <f t="shared" si="9"/>
        <v>Macaca_mulatta32</v>
      </c>
      <c r="C608" s="6" t="s">
        <v>89</v>
      </c>
      <c r="D608" s="7">
        <v>32</v>
      </c>
      <c r="E608" s="14" t="s">
        <v>212</v>
      </c>
    </row>
    <row r="609" spans="1:7">
      <c r="A609" s="45" t="str">
        <f>IF(COUNTIF($B$2:B609,B609)=1,"ok","dup")</f>
        <v>ok</v>
      </c>
      <c r="B609" s="45" t="str">
        <f t="shared" si="9"/>
        <v>Macaca_mulatta32.8</v>
      </c>
      <c r="C609" s="6" t="s">
        <v>89</v>
      </c>
      <c r="D609" s="7">
        <v>32.799999999999997</v>
      </c>
      <c r="E609" s="14" t="s">
        <v>212</v>
      </c>
    </row>
    <row r="610" spans="1:7">
      <c r="A610" s="45" t="str">
        <f>IF(COUNTIF($B$2:B610,B610)=1,"ok","dup")</f>
        <v>dup</v>
      </c>
      <c r="B610" s="45" t="str">
        <f t="shared" si="9"/>
        <v>Macaca_mulatta32.8</v>
      </c>
      <c r="C610" s="6" t="s">
        <v>89</v>
      </c>
      <c r="D610" s="7">
        <v>32.799999999999997</v>
      </c>
      <c r="E610" s="14" t="s">
        <v>212</v>
      </c>
    </row>
    <row r="611" spans="1:7">
      <c r="A611" s="45" t="str">
        <f>IF(COUNTIF($B$2:B611,B611)=1,"ok","dup")</f>
        <v>ok</v>
      </c>
      <c r="B611" s="45" t="str">
        <f t="shared" si="9"/>
        <v>Macaca_mulatta33.2</v>
      </c>
      <c r="C611" s="6" t="s">
        <v>89</v>
      </c>
      <c r="D611" s="7">
        <v>33.200000000000003</v>
      </c>
      <c r="E611" s="14" t="s">
        <v>212</v>
      </c>
    </row>
    <row r="612" spans="1:7">
      <c r="A612" s="45" t="str">
        <f>IF(COUNTIF($B$2:B612,B612)=1,"ok","dup")</f>
        <v>ok</v>
      </c>
      <c r="B612" s="45" t="str">
        <f t="shared" si="9"/>
        <v>Macaca_mulatta39</v>
      </c>
      <c r="C612" s="6" t="s">
        <v>89</v>
      </c>
      <c r="D612" s="7">
        <v>39</v>
      </c>
      <c r="E612" s="14" t="s">
        <v>212</v>
      </c>
    </row>
    <row r="613" spans="1:7">
      <c r="A613" s="45" t="str">
        <f>IF(COUNTIF($B$2:B613,B613)=1,"ok","dup")</f>
        <v>ok</v>
      </c>
      <c r="B613" s="45" t="str">
        <f t="shared" si="9"/>
        <v>Macaca_mulatta41</v>
      </c>
      <c r="C613" s="6" t="s">
        <v>89</v>
      </c>
      <c r="D613" s="7">
        <v>41</v>
      </c>
      <c r="E613" s="14" t="s">
        <v>212</v>
      </c>
    </row>
    <row r="614" spans="1:7">
      <c r="A614" s="45" t="str">
        <f>IF(COUNTIF($B$2:B614,B614)=1,"ok","dup")</f>
        <v>ok</v>
      </c>
      <c r="B614" s="45" t="str">
        <f t="shared" si="9"/>
        <v>Macaca_mulatta41.3</v>
      </c>
      <c r="C614" s="6" t="s">
        <v>89</v>
      </c>
      <c r="D614" s="7">
        <v>41.3</v>
      </c>
      <c r="E614" s="14" t="s">
        <v>212</v>
      </c>
    </row>
    <row r="615" spans="1:7">
      <c r="A615" s="45" t="str">
        <f>IF(COUNTIF($B$2:B615,B615)=1,"ok","dup")</f>
        <v>ok</v>
      </c>
      <c r="B615" s="45" t="str">
        <f t="shared" si="9"/>
        <v>Macaca_mulatta41.6</v>
      </c>
      <c r="C615" s="6" t="s">
        <v>89</v>
      </c>
      <c r="D615" s="7">
        <v>41.6</v>
      </c>
      <c r="E615" s="14" t="s">
        <v>212</v>
      </c>
    </row>
    <row r="616" spans="1:7">
      <c r="A616" s="45" t="str">
        <f>IF(COUNTIF($B$2:B616,B616)=1,"ok","dup")</f>
        <v>ok</v>
      </c>
      <c r="B616" s="45" t="str">
        <f t="shared" si="9"/>
        <v>Macaca_mulatta47.7</v>
      </c>
      <c r="C616" s="6" t="s">
        <v>89</v>
      </c>
      <c r="D616" s="7">
        <v>47.7</v>
      </c>
      <c r="E616" s="14" t="s">
        <v>212</v>
      </c>
    </row>
    <row r="617" spans="1:7">
      <c r="A617" s="45" t="str">
        <f>IF(COUNTIF($B$2:B617,B617)=1,"ok","dup")</f>
        <v>ok</v>
      </c>
      <c r="B617" s="45" t="str">
        <f t="shared" si="9"/>
        <v>Macaca_mulatta49.8</v>
      </c>
      <c r="C617" s="6" t="s">
        <v>89</v>
      </c>
      <c r="D617" s="7">
        <v>49.8</v>
      </c>
      <c r="E617" s="14" t="s">
        <v>212</v>
      </c>
    </row>
    <row r="618" spans="1:7">
      <c r="A618" s="45" t="str">
        <f>IF(COUNTIF($B$2:B618,B618)=1,"ok","dup")</f>
        <v>dup</v>
      </c>
      <c r="B618" s="45" t="str">
        <f t="shared" si="9"/>
        <v>Macaca_mulatta32</v>
      </c>
      <c r="C618" s="6" t="s">
        <v>89</v>
      </c>
      <c r="D618" s="7">
        <v>32</v>
      </c>
      <c r="E618" s="14" t="s">
        <v>218</v>
      </c>
      <c r="F618" s="14" t="s">
        <v>452</v>
      </c>
    </row>
    <row r="619" spans="1:7">
      <c r="A619" s="45" t="str">
        <f>IF(COUNTIF($B$2:B619,B619)=1,"ok","dup")</f>
        <v>ok</v>
      </c>
      <c r="B619" s="45" t="str">
        <f t="shared" si="9"/>
        <v>Macaca_mulatta21.5</v>
      </c>
      <c r="C619" s="6" t="s">
        <v>89</v>
      </c>
      <c r="D619" s="7">
        <v>21.5</v>
      </c>
      <c r="E619" s="14" t="s">
        <v>213</v>
      </c>
    </row>
    <row r="620" spans="1:7">
      <c r="A620" s="45" t="str">
        <f>IF(COUNTIF($B$2:B620,B620)=1,"ok","dup")</f>
        <v>ok</v>
      </c>
      <c r="B620" s="45" t="str">
        <f t="shared" si="9"/>
        <v>Macaca_mulatta30</v>
      </c>
      <c r="C620" s="6" t="s">
        <v>89</v>
      </c>
      <c r="D620" s="7">
        <v>30</v>
      </c>
      <c r="E620" s="14" t="s">
        <v>211</v>
      </c>
    </row>
    <row r="621" spans="1:7">
      <c r="A621" s="45" t="str">
        <f>IF(COUNTIF($B$2:B621,B621)=1,"ok","dup")</f>
        <v>ok</v>
      </c>
      <c r="B621" s="45" t="str">
        <f t="shared" si="9"/>
        <v>Macaca_mulatta13</v>
      </c>
      <c r="C621" s="6" t="s">
        <v>89</v>
      </c>
      <c r="D621" s="7">
        <v>13</v>
      </c>
      <c r="E621" s="14" t="s">
        <v>220</v>
      </c>
      <c r="F621" s="14" t="s">
        <v>453</v>
      </c>
      <c r="G621" s="6" t="s">
        <v>222</v>
      </c>
    </row>
    <row r="622" spans="1:7">
      <c r="A622" s="45" t="str">
        <f>IF(COUNTIF($B$2:B622,B622)=1,"ok","dup")</f>
        <v>dup</v>
      </c>
      <c r="B622" s="45" t="str">
        <f t="shared" si="9"/>
        <v>Macaca_mulatta13</v>
      </c>
      <c r="C622" s="6" t="s">
        <v>89</v>
      </c>
      <c r="D622" s="7">
        <v>13</v>
      </c>
      <c r="E622" s="14" t="s">
        <v>220</v>
      </c>
      <c r="F622" s="14" t="s">
        <v>454</v>
      </c>
    </row>
    <row r="623" spans="1:7">
      <c r="A623" s="45" t="str">
        <f>IF(COUNTIF($B$2:B623,B623)=1,"ok","dup")</f>
        <v>ok</v>
      </c>
      <c r="B623" s="45" t="str">
        <f t="shared" si="9"/>
        <v>Macaca_mulatta18</v>
      </c>
      <c r="C623" s="6" t="s">
        <v>89</v>
      </c>
      <c r="D623" s="7">
        <v>18</v>
      </c>
      <c r="E623" s="14" t="s">
        <v>220</v>
      </c>
      <c r="F623" s="14" t="s">
        <v>455</v>
      </c>
    </row>
    <row r="624" spans="1:7">
      <c r="A624" s="45" t="str">
        <f>IF(COUNTIF($B$2:B624,B624)=1,"ok","dup")</f>
        <v>ok</v>
      </c>
      <c r="B624" s="45" t="str">
        <f t="shared" si="9"/>
        <v>Macaca_mulatta19</v>
      </c>
      <c r="C624" s="6" t="s">
        <v>89</v>
      </c>
      <c r="D624" s="7">
        <v>19</v>
      </c>
      <c r="E624" s="14" t="s">
        <v>220</v>
      </c>
      <c r="F624" s="14" t="s">
        <v>454</v>
      </c>
    </row>
    <row r="625" spans="1:7">
      <c r="A625" s="45" t="str">
        <f>IF(COUNTIF($B$2:B625,B625)=1,"ok","dup")</f>
        <v>dup</v>
      </c>
      <c r="B625" s="45" t="str">
        <f t="shared" si="9"/>
        <v>Macaca_mulatta21.5</v>
      </c>
      <c r="C625" s="6" t="s">
        <v>89</v>
      </c>
      <c r="D625" s="7">
        <v>21.5</v>
      </c>
      <c r="E625" s="14" t="s">
        <v>220</v>
      </c>
      <c r="F625" s="14" t="s">
        <v>456</v>
      </c>
      <c r="G625" s="6" t="s">
        <v>235</v>
      </c>
    </row>
    <row r="626" spans="1:7">
      <c r="A626" s="45" t="str">
        <f>IF(COUNTIF($B$2:B626,B626)=1,"ok","dup")</f>
        <v>ok</v>
      </c>
      <c r="B626" s="45" t="str">
        <f t="shared" si="9"/>
        <v>Macaca_mulatta25</v>
      </c>
      <c r="C626" s="6" t="s">
        <v>89</v>
      </c>
      <c r="D626" s="7">
        <v>25</v>
      </c>
      <c r="E626" s="14" t="s">
        <v>220</v>
      </c>
      <c r="F626" s="14" t="s">
        <v>457</v>
      </c>
    </row>
    <row r="627" spans="1:7">
      <c r="A627" s="45" t="str">
        <f>IF(COUNTIF($B$2:B627,B627)=1,"ok","dup")</f>
        <v>ok</v>
      </c>
      <c r="B627" s="45" t="str">
        <f t="shared" si="9"/>
        <v>Macaca_mulatta29</v>
      </c>
      <c r="C627" s="6" t="s">
        <v>89</v>
      </c>
      <c r="D627" s="7">
        <v>29</v>
      </c>
      <c r="E627" s="14" t="s">
        <v>220</v>
      </c>
      <c r="F627" s="14" t="s">
        <v>455</v>
      </c>
    </row>
    <row r="628" spans="1:7">
      <c r="A628" s="45" t="str">
        <f>IF(COUNTIF($B$2:B628,B628)=1,"ok","dup")</f>
        <v>ok</v>
      </c>
      <c r="B628" s="45" t="str">
        <f t="shared" si="9"/>
        <v>Macaca_mulatta31</v>
      </c>
      <c r="C628" s="6" t="s">
        <v>89</v>
      </c>
      <c r="D628" s="7">
        <v>31</v>
      </c>
      <c r="E628" s="14" t="s">
        <v>220</v>
      </c>
      <c r="F628" s="14" t="s">
        <v>454</v>
      </c>
    </row>
    <row r="629" spans="1:7">
      <c r="A629" s="45" t="str">
        <f>IF(COUNTIF($B$2:B629,B629)=1,"ok","dup")</f>
        <v>ok</v>
      </c>
      <c r="B629" s="45" t="str">
        <f t="shared" si="9"/>
        <v>Macaca_mulatta38</v>
      </c>
      <c r="C629" s="6" t="s">
        <v>89</v>
      </c>
      <c r="D629" s="7">
        <v>38</v>
      </c>
      <c r="E629" s="14" t="s">
        <v>220</v>
      </c>
      <c r="F629" s="14" t="s">
        <v>454</v>
      </c>
    </row>
    <row r="630" spans="1:7">
      <c r="A630" s="45" t="str">
        <f>IF(COUNTIF($B$2:B630,B630)=1,"ok","dup")</f>
        <v>dup</v>
      </c>
      <c r="B630" s="45" t="str">
        <f t="shared" si="9"/>
        <v>Macaca_mulatta39</v>
      </c>
      <c r="C630" s="6" t="s">
        <v>89</v>
      </c>
      <c r="D630" s="7">
        <v>39</v>
      </c>
      <c r="E630" s="14" t="s">
        <v>220</v>
      </c>
      <c r="F630" s="14" t="s">
        <v>458</v>
      </c>
      <c r="G630" s="6" t="s">
        <v>330</v>
      </c>
    </row>
    <row r="631" spans="1:7">
      <c r="A631" s="45" t="str">
        <f>IF(COUNTIF($B$2:B631,B631)=1,"ok","dup")</f>
        <v>ok</v>
      </c>
      <c r="B631" s="45" t="str">
        <f t="shared" si="9"/>
        <v>Macaca_mulatta50</v>
      </c>
      <c r="C631" s="6" t="s">
        <v>89</v>
      </c>
      <c r="D631" s="7">
        <v>50</v>
      </c>
      <c r="E631" s="14" t="s">
        <v>220</v>
      </c>
      <c r="F631" s="14" t="s">
        <v>455</v>
      </c>
    </row>
    <row r="632" spans="1:7">
      <c r="A632" s="45" t="str">
        <f>IF(COUNTIF($B$2:B632,B632)=1,"ok","dup")</f>
        <v>ok</v>
      </c>
      <c r="B632" s="45" t="str">
        <f t="shared" si="9"/>
        <v>Macaca_mulatta51</v>
      </c>
      <c r="C632" s="6" t="s">
        <v>89</v>
      </c>
      <c r="D632" s="7">
        <v>51</v>
      </c>
      <c r="E632" s="14" t="s">
        <v>220</v>
      </c>
      <c r="F632" s="14" t="s">
        <v>455</v>
      </c>
    </row>
    <row r="633" spans="1:7">
      <c r="A633" s="45" t="str">
        <f>IF(COUNTIF($B$2:B633,B633)=1,"ok","dup")</f>
        <v>ok</v>
      </c>
      <c r="B633" s="45" t="str">
        <f t="shared" si="9"/>
        <v>Macaca_mulatta58.8</v>
      </c>
      <c r="C633" s="6" t="s">
        <v>89</v>
      </c>
      <c r="D633" s="7">
        <v>58.8</v>
      </c>
      <c r="E633" s="14" t="s">
        <v>220</v>
      </c>
      <c r="F633" s="14" t="s">
        <v>459</v>
      </c>
      <c r="G633" s="6" t="s">
        <v>330</v>
      </c>
    </row>
    <row r="634" spans="1:7">
      <c r="A634" s="45" t="str">
        <f>IF(COUNTIF($B$2:B634,B634)=1,"ok","dup")</f>
        <v>ok</v>
      </c>
      <c r="B634" s="45" t="str">
        <f t="shared" si="9"/>
        <v>Macaca_mulatta59</v>
      </c>
      <c r="C634" s="6" t="s">
        <v>89</v>
      </c>
      <c r="D634" s="7">
        <v>59</v>
      </c>
      <c r="E634" s="14" t="s">
        <v>220</v>
      </c>
      <c r="F634" s="14" t="s">
        <v>455</v>
      </c>
    </row>
    <row r="635" spans="1:7">
      <c r="A635" s="45" t="str">
        <f>IF(COUNTIF($B$2:B635,B635)=1,"ok","dup")</f>
        <v>ok</v>
      </c>
      <c r="B635" s="45" t="str">
        <f t="shared" si="9"/>
        <v>Macaca_mulatta6</v>
      </c>
      <c r="C635" s="6" t="s">
        <v>89</v>
      </c>
      <c r="D635" s="7">
        <v>6</v>
      </c>
      <c r="E635" s="14" t="s">
        <v>220</v>
      </c>
      <c r="F635" s="14" t="s">
        <v>453</v>
      </c>
      <c r="G635" s="6" t="s">
        <v>222</v>
      </c>
    </row>
    <row r="636" spans="1:7">
      <c r="A636" s="45" t="str">
        <f>IF(COUNTIF($B$2:B636,B636)=1,"ok","dup")</f>
        <v>dup</v>
      </c>
      <c r="B636" s="45" t="str">
        <f t="shared" si="9"/>
        <v>Macaca_mulatta6</v>
      </c>
      <c r="C636" s="6" t="s">
        <v>89</v>
      </c>
      <c r="D636" s="7">
        <v>6</v>
      </c>
      <c r="E636" s="14" t="s">
        <v>220</v>
      </c>
      <c r="F636" s="14" t="s">
        <v>454</v>
      </c>
    </row>
    <row r="637" spans="1:7">
      <c r="A637" s="45" t="str">
        <f>IF(COUNTIF($B$2:B637,B637)=1,"ok","dup")</f>
        <v>ok</v>
      </c>
      <c r="B637" s="45" t="str">
        <f t="shared" si="9"/>
        <v>Macaca_mulatta65</v>
      </c>
      <c r="C637" s="6" t="s">
        <v>89</v>
      </c>
      <c r="D637" s="7">
        <v>65</v>
      </c>
      <c r="E637" s="14" t="s">
        <v>220</v>
      </c>
      <c r="F637" s="14" t="s">
        <v>455</v>
      </c>
    </row>
    <row r="638" spans="1:7">
      <c r="A638" s="45" t="str">
        <f>IF(COUNTIF($B$2:B638,B638)=1,"ok","dup")</f>
        <v>dup</v>
      </c>
      <c r="B638" s="45" t="str">
        <f t="shared" si="9"/>
        <v>Macaca_mulatta25</v>
      </c>
      <c r="C638" s="6" t="s">
        <v>89</v>
      </c>
      <c r="D638" s="7">
        <v>25</v>
      </c>
      <c r="E638" s="14" t="s">
        <v>214</v>
      </c>
      <c r="F638" s="14" t="s">
        <v>460</v>
      </c>
    </row>
    <row r="639" spans="1:7">
      <c r="A639" s="45" t="str">
        <f>IF(COUNTIF($B$2:B639,B639)=1,"ok","dup")</f>
        <v>ok</v>
      </c>
      <c r="B639" s="45" t="str">
        <f t="shared" si="9"/>
        <v>Macaca_nemestrina35</v>
      </c>
      <c r="C639" s="6" t="s">
        <v>461</v>
      </c>
      <c r="D639" s="7">
        <v>35</v>
      </c>
      <c r="E639" s="14" t="s">
        <v>216</v>
      </c>
      <c r="F639" s="14" t="s">
        <v>435</v>
      </c>
    </row>
    <row r="640" spans="1:7">
      <c r="A640" s="45" t="str">
        <f>IF(COUNTIF($B$2:B640,B640)=1,"ok","dup")</f>
        <v>ok</v>
      </c>
      <c r="B640" s="45" t="str">
        <f t="shared" si="9"/>
        <v>Macaca_nemestrina18.3</v>
      </c>
      <c r="C640" s="6" t="s">
        <v>461</v>
      </c>
      <c r="D640" s="7">
        <v>18.3</v>
      </c>
      <c r="E640" s="14" t="s">
        <v>212</v>
      </c>
    </row>
    <row r="641" spans="1:6">
      <c r="A641" s="45" t="str">
        <f>IF(COUNTIF($B$2:B641,B641)=1,"ok","dup")</f>
        <v>ok</v>
      </c>
      <c r="B641" s="45" t="str">
        <f t="shared" si="9"/>
        <v>Macaca_nemestrina50</v>
      </c>
      <c r="C641" s="6" t="s">
        <v>461</v>
      </c>
      <c r="D641" s="7">
        <v>50</v>
      </c>
      <c r="E641" s="14" t="s">
        <v>212</v>
      </c>
    </row>
    <row r="642" spans="1:6">
      <c r="A642" s="45" t="str">
        <f>IF(COUNTIF($B$2:B642,B642)=1,"ok","dup")</f>
        <v>ok</v>
      </c>
      <c r="B642" s="45" t="str">
        <f t="shared" ref="B642:B705" si="10">C642&amp;D642</f>
        <v>Macaca_nemestrina27</v>
      </c>
      <c r="C642" s="6" t="s">
        <v>461</v>
      </c>
      <c r="D642" s="7">
        <v>27</v>
      </c>
      <c r="E642" s="14" t="s">
        <v>213</v>
      </c>
    </row>
    <row r="643" spans="1:6">
      <c r="A643" s="45" t="str">
        <f>IF(COUNTIF($B$2:B643,B643)=1,"ok","dup")</f>
        <v>ok</v>
      </c>
      <c r="B643" s="45" t="str">
        <f t="shared" si="10"/>
        <v>Macaca_nemestrina27.5</v>
      </c>
      <c r="C643" s="6" t="s">
        <v>461</v>
      </c>
      <c r="D643" s="7">
        <v>27.5</v>
      </c>
      <c r="E643" s="14" t="s">
        <v>211</v>
      </c>
    </row>
    <row r="644" spans="1:6">
      <c r="A644" s="45" t="str">
        <f>IF(COUNTIF($B$2:B644,B644)=1,"ok","dup")</f>
        <v>ok</v>
      </c>
      <c r="B644" s="45" t="str">
        <f t="shared" si="10"/>
        <v>Macaca_nigra47</v>
      </c>
      <c r="C644" s="6" t="s">
        <v>462</v>
      </c>
      <c r="D644" s="7">
        <v>47</v>
      </c>
      <c r="E644" s="14" t="s">
        <v>211</v>
      </c>
    </row>
    <row r="645" spans="1:6">
      <c r="A645" s="45" t="str">
        <f>IF(COUNTIF($B$2:B645,B645)=1,"ok","dup")</f>
        <v>ok</v>
      </c>
      <c r="B645" s="45" t="str">
        <f t="shared" si="10"/>
        <v>Macaca_radiata27.8</v>
      </c>
      <c r="C645" s="6" t="s">
        <v>463</v>
      </c>
      <c r="D645" s="7">
        <v>27.8</v>
      </c>
      <c r="E645" s="14" t="s">
        <v>212</v>
      </c>
    </row>
    <row r="646" spans="1:6">
      <c r="A646" s="45" t="str">
        <f>IF(COUNTIF($B$2:B646,B646)=1,"ok","dup")</f>
        <v>ok</v>
      </c>
      <c r="B646" s="45" t="str">
        <f t="shared" si="10"/>
        <v>Macaca_radiata30</v>
      </c>
      <c r="C646" s="6" t="s">
        <v>463</v>
      </c>
      <c r="D646" s="7">
        <v>30</v>
      </c>
      <c r="E646" s="14" t="s">
        <v>212</v>
      </c>
    </row>
    <row r="647" spans="1:6">
      <c r="A647" s="45" t="str">
        <f>IF(COUNTIF($B$2:B647,B647)=1,"ok","dup")</f>
        <v>ok</v>
      </c>
      <c r="B647" s="45" t="str">
        <f t="shared" si="10"/>
        <v>Macaca_radiata34.5</v>
      </c>
      <c r="C647" s="6" t="s">
        <v>463</v>
      </c>
      <c r="D647" s="7">
        <v>34.5</v>
      </c>
      <c r="E647" s="14" t="s">
        <v>212</v>
      </c>
    </row>
    <row r="648" spans="1:6">
      <c r="A648" s="45" t="str">
        <f>IF(COUNTIF($B$2:B648,B648)=1,"ok","dup")</f>
        <v>dup</v>
      </c>
      <c r="B648" s="45" t="str">
        <f t="shared" si="10"/>
        <v>Macaca_radiata30</v>
      </c>
      <c r="C648" s="6" t="s">
        <v>463</v>
      </c>
      <c r="D648" s="7">
        <v>30</v>
      </c>
      <c r="E648" s="14" t="s">
        <v>213</v>
      </c>
    </row>
    <row r="649" spans="1:6">
      <c r="A649" s="45" t="str">
        <f>IF(COUNTIF($B$2:B649,B649)=1,"ok","dup")</f>
        <v>ok</v>
      </c>
      <c r="B649" s="45" t="str">
        <f t="shared" si="10"/>
        <v>Macaca_radiata27.5</v>
      </c>
      <c r="C649" s="6" t="s">
        <v>463</v>
      </c>
      <c r="D649" s="7">
        <v>27.5</v>
      </c>
      <c r="E649" s="14" t="s">
        <v>211</v>
      </c>
    </row>
    <row r="650" spans="1:6">
      <c r="A650" s="45" t="str">
        <f>IF(COUNTIF($B$2:B650,B650)=1,"ok","dup")</f>
        <v>ok</v>
      </c>
      <c r="B650" s="45" t="str">
        <f t="shared" si="10"/>
        <v>Macaca_radiata24.5</v>
      </c>
      <c r="C650" s="6" t="s">
        <v>463</v>
      </c>
      <c r="D650" s="7">
        <v>24.5</v>
      </c>
      <c r="E650" s="14" t="s">
        <v>214</v>
      </c>
      <c r="F650" s="14" t="s">
        <v>464</v>
      </c>
    </row>
    <row r="651" spans="1:6">
      <c r="A651" s="45" t="str">
        <f>IF(COUNTIF($B$2:B651,B651)=1,"ok","dup")</f>
        <v>ok</v>
      </c>
      <c r="B651" s="45" t="str">
        <f t="shared" si="10"/>
        <v>Macaca_silenus21</v>
      </c>
      <c r="C651" s="6" t="s">
        <v>465</v>
      </c>
      <c r="D651" s="7">
        <v>21</v>
      </c>
      <c r="E651" s="14" t="s">
        <v>212</v>
      </c>
    </row>
    <row r="652" spans="1:6">
      <c r="A652" s="45" t="str">
        <f>IF(COUNTIF($B$2:B652,B652)=1,"ok","dup")</f>
        <v>ok</v>
      </c>
      <c r="B652" s="45" t="str">
        <f t="shared" si="10"/>
        <v>Macaca_silenus17</v>
      </c>
      <c r="C652" s="6" t="s">
        <v>465</v>
      </c>
      <c r="D652" s="7">
        <v>17</v>
      </c>
      <c r="E652" s="14" t="s">
        <v>211</v>
      </c>
    </row>
    <row r="653" spans="1:6">
      <c r="A653" s="45" t="str">
        <f>IF(COUNTIF($B$2:B653,B653)=1,"ok","dup")</f>
        <v>ok</v>
      </c>
      <c r="B653" s="45" t="str">
        <f t="shared" si="10"/>
        <v>Macaca_sinica24.8</v>
      </c>
      <c r="C653" s="6" t="s">
        <v>466</v>
      </c>
      <c r="D653" s="7">
        <v>24.8</v>
      </c>
      <c r="E653" s="14" t="s">
        <v>212</v>
      </c>
    </row>
    <row r="654" spans="1:6">
      <c r="A654" s="45" t="str">
        <f>IF(COUNTIF($B$2:B654,B654)=1,"ok","dup")</f>
        <v>dup</v>
      </c>
      <c r="B654" s="45" t="str">
        <f t="shared" si="10"/>
        <v>Macaca_sinica24.8</v>
      </c>
      <c r="C654" s="6" t="s">
        <v>466</v>
      </c>
      <c r="D654" s="7">
        <v>24.8</v>
      </c>
      <c r="E654" s="14" t="s">
        <v>211</v>
      </c>
    </row>
    <row r="655" spans="1:6">
      <c r="A655" s="45" t="str">
        <f>IF(COUNTIF($B$2:B655,B655)=1,"ok","dup")</f>
        <v>ok</v>
      </c>
      <c r="B655" s="45" t="str">
        <f t="shared" si="10"/>
        <v>Macaca_sylvanus18.3</v>
      </c>
      <c r="C655" s="6" t="s">
        <v>467</v>
      </c>
      <c r="D655" s="7">
        <v>18.3</v>
      </c>
      <c r="E655" s="14" t="s">
        <v>212</v>
      </c>
    </row>
    <row r="656" spans="1:6">
      <c r="A656" s="45" t="str">
        <f>IF(COUNTIF($B$2:B656,B656)=1,"ok","dup")</f>
        <v>ok</v>
      </c>
      <c r="B656" s="45" t="str">
        <f t="shared" si="10"/>
        <v>Macaca_sylvanus39</v>
      </c>
      <c r="C656" s="6" t="s">
        <v>467</v>
      </c>
      <c r="D656" s="7">
        <v>39</v>
      </c>
      <c r="E656" s="14" t="s">
        <v>212</v>
      </c>
    </row>
    <row r="657" spans="1:7">
      <c r="A657" s="45" t="str">
        <f>IF(COUNTIF($B$2:B657,B657)=1,"ok","dup")</f>
        <v>ok</v>
      </c>
      <c r="B657" s="45" t="str">
        <f t="shared" si="10"/>
        <v>Macaca_sylvanus18</v>
      </c>
      <c r="C657" s="6" t="s">
        <v>467</v>
      </c>
      <c r="D657" s="7">
        <v>18</v>
      </c>
      <c r="E657" s="14" t="s">
        <v>213</v>
      </c>
    </row>
    <row r="658" spans="1:7">
      <c r="A658" s="45" t="str">
        <f>IF(COUNTIF($B$2:B658,B658)=1,"ok","dup")</f>
        <v>ok</v>
      </c>
      <c r="B658" s="45" t="str">
        <f t="shared" si="10"/>
        <v>Macaca_sylvanus24</v>
      </c>
      <c r="C658" s="6" t="s">
        <v>467</v>
      </c>
      <c r="D658" s="7">
        <v>24</v>
      </c>
      <c r="E658" s="14" t="s">
        <v>211</v>
      </c>
    </row>
    <row r="659" spans="1:7">
      <c r="A659" s="45" t="str">
        <f>IF(COUNTIF($B$2:B659,B659)=1,"ok","dup")</f>
        <v>ok</v>
      </c>
      <c r="B659" s="45" t="str">
        <f t="shared" si="10"/>
        <v>Macaca_sylvanus10</v>
      </c>
      <c r="C659" s="6" t="s">
        <v>467</v>
      </c>
      <c r="D659" s="7">
        <v>10</v>
      </c>
      <c r="E659" s="14" t="s">
        <v>214</v>
      </c>
      <c r="F659" s="14" t="s">
        <v>468</v>
      </c>
    </row>
    <row r="660" spans="1:7">
      <c r="A660" s="45" t="str">
        <f>IF(COUNTIF($B$2:B660,B660)=1,"ok","dup")</f>
        <v>ok</v>
      </c>
      <c r="B660" s="45" t="str">
        <f t="shared" si="10"/>
        <v>Mandrillus_leucophaeus96.5</v>
      </c>
      <c r="C660" s="6" t="s">
        <v>469</v>
      </c>
      <c r="D660" s="7">
        <v>96.5</v>
      </c>
      <c r="E660" s="14" t="s">
        <v>211</v>
      </c>
    </row>
    <row r="661" spans="1:7">
      <c r="A661" s="45" t="str">
        <f>IF(COUNTIF($B$2:B661,B661)=1,"ok","dup")</f>
        <v>ok</v>
      </c>
      <c r="B661" s="45" t="str">
        <f t="shared" si="10"/>
        <v>Mandrillus_sphinx95</v>
      </c>
      <c r="C661" s="6" t="s">
        <v>90</v>
      </c>
      <c r="D661" s="7">
        <v>95</v>
      </c>
      <c r="E661" s="14" t="s">
        <v>211</v>
      </c>
    </row>
    <row r="662" spans="1:7">
      <c r="A662" s="45" t="str">
        <f>IF(COUNTIF($B$2:B662,B662)=1,"ok","dup")</f>
        <v>ok</v>
      </c>
      <c r="B662" s="45" t="str">
        <f t="shared" si="10"/>
        <v>Microcebus_murinus7.2</v>
      </c>
      <c r="C662" s="6" t="s">
        <v>91</v>
      </c>
      <c r="D662" s="7">
        <v>7.2</v>
      </c>
      <c r="E662" s="14" t="s">
        <v>276</v>
      </c>
      <c r="F662" s="14" t="s">
        <v>277</v>
      </c>
    </row>
    <row r="663" spans="1:7">
      <c r="A663" s="45" t="str">
        <f>IF(COUNTIF($B$2:B663,B663)=1,"ok","dup")</f>
        <v>ok</v>
      </c>
      <c r="B663" s="45" t="str">
        <f t="shared" si="10"/>
        <v>Microcebus_murinus3</v>
      </c>
      <c r="C663" s="6" t="s">
        <v>91</v>
      </c>
      <c r="D663" s="7">
        <v>3</v>
      </c>
      <c r="E663" s="14" t="s">
        <v>211</v>
      </c>
      <c r="G663" s="6" t="s">
        <v>352</v>
      </c>
    </row>
    <row r="664" spans="1:7">
      <c r="A664" s="45" t="str">
        <f>IF(COUNTIF($B$2:B664,B664)=1,"ok","dup")</f>
        <v>ok</v>
      </c>
      <c r="B664" s="45" t="str">
        <f t="shared" si="10"/>
        <v>Microcebus_rufus2</v>
      </c>
      <c r="C664" s="6" t="s">
        <v>470</v>
      </c>
      <c r="D664" s="7">
        <v>2</v>
      </c>
      <c r="E664" s="14" t="s">
        <v>276</v>
      </c>
      <c r="F664" s="14" t="s">
        <v>277</v>
      </c>
    </row>
    <row r="665" spans="1:7">
      <c r="A665" s="45" t="str">
        <f>IF(COUNTIF($B$2:B665,B665)=1,"ok","dup")</f>
        <v>ok</v>
      </c>
      <c r="B665" s="45" t="str">
        <f t="shared" si="10"/>
        <v>Microcebus_rufus2.5</v>
      </c>
      <c r="C665" s="6" t="s">
        <v>470</v>
      </c>
      <c r="D665" s="7">
        <v>2.5</v>
      </c>
      <c r="E665" s="14" t="s">
        <v>211</v>
      </c>
      <c r="G665" s="6" t="s">
        <v>352</v>
      </c>
    </row>
    <row r="666" spans="1:7">
      <c r="A666" s="45" t="str">
        <f>IF(COUNTIF($B$2:B666,B666)=1,"ok","dup")</f>
        <v>ok</v>
      </c>
      <c r="B666" s="45" t="str">
        <f t="shared" si="10"/>
        <v>Miopithecus_talapoin112</v>
      </c>
      <c r="C666" s="6" t="s">
        <v>92</v>
      </c>
      <c r="D666" s="7">
        <v>112</v>
      </c>
      <c r="E666" s="14" t="s">
        <v>216</v>
      </c>
      <c r="F666" s="14" t="s">
        <v>323</v>
      </c>
    </row>
    <row r="667" spans="1:7">
      <c r="A667" s="45" t="str">
        <f>IF(COUNTIF($B$2:B667,B667)=1,"ok","dup")</f>
        <v>dup</v>
      </c>
      <c r="B667" s="45" t="str">
        <f t="shared" si="10"/>
        <v>Miopithecus_talapoin112</v>
      </c>
      <c r="C667" s="6" t="s">
        <v>92</v>
      </c>
      <c r="D667" s="7">
        <v>112</v>
      </c>
      <c r="E667" s="14" t="s">
        <v>212</v>
      </c>
    </row>
    <row r="668" spans="1:7">
      <c r="A668" s="45" t="str">
        <f>IF(COUNTIF($B$2:B668,B668)=1,"ok","dup")</f>
        <v>ok</v>
      </c>
      <c r="B668" s="45" t="str">
        <f t="shared" si="10"/>
        <v>Miopithecus_talapoin13</v>
      </c>
      <c r="C668" s="6" t="s">
        <v>92</v>
      </c>
      <c r="D668" s="7">
        <v>13</v>
      </c>
      <c r="E668" s="14" t="s">
        <v>212</v>
      </c>
    </row>
    <row r="669" spans="1:7">
      <c r="A669" s="45" t="str">
        <f>IF(COUNTIF($B$2:B669,B669)=1,"ok","dup")</f>
        <v>ok</v>
      </c>
      <c r="B669" s="45" t="str">
        <f t="shared" si="10"/>
        <v>Miopithecus_talapoin70</v>
      </c>
      <c r="C669" s="6" t="s">
        <v>92</v>
      </c>
      <c r="D669" s="7">
        <v>70</v>
      </c>
      <c r="E669" s="14" t="s">
        <v>212</v>
      </c>
    </row>
    <row r="670" spans="1:7">
      <c r="A670" s="45" t="str">
        <f>IF(COUNTIF($B$2:B670,B670)=1,"ok","dup")</f>
        <v>dup</v>
      </c>
      <c r="B670" s="45" t="str">
        <f t="shared" si="10"/>
        <v>Miopithecus_talapoin70</v>
      </c>
      <c r="C670" s="6" t="s">
        <v>92</v>
      </c>
      <c r="D670" s="7">
        <v>70</v>
      </c>
      <c r="E670" s="14" t="s">
        <v>213</v>
      </c>
    </row>
    <row r="671" spans="1:7">
      <c r="A671" s="45" t="str">
        <f>IF(COUNTIF($B$2:B671,B671)=1,"ok","dup")</f>
        <v>ok</v>
      </c>
      <c r="B671" s="45" t="str">
        <f t="shared" si="10"/>
        <v>Miopithecus_talapoin78.5</v>
      </c>
      <c r="C671" s="6" t="s">
        <v>92</v>
      </c>
      <c r="D671" s="7">
        <v>78.5</v>
      </c>
      <c r="E671" s="14" t="s">
        <v>211</v>
      </c>
    </row>
    <row r="672" spans="1:7">
      <c r="A672" s="45" t="str">
        <f>IF(COUNTIF($B$2:B672,B672)=1,"ok","dup")</f>
        <v>ok</v>
      </c>
      <c r="B672" s="45" t="str">
        <f t="shared" si="10"/>
        <v>Mirza_coquereli2</v>
      </c>
      <c r="C672" s="6" t="s">
        <v>471</v>
      </c>
      <c r="D672" s="7">
        <v>2</v>
      </c>
      <c r="E672" s="14" t="s">
        <v>276</v>
      </c>
      <c r="F672" s="14" t="s">
        <v>277</v>
      </c>
    </row>
    <row r="673" spans="1:7">
      <c r="A673" s="45" t="str">
        <f>IF(COUNTIF($B$2:B673,B673)=1,"ok","dup")</f>
        <v>ok</v>
      </c>
      <c r="B673" s="45" t="str">
        <f t="shared" si="10"/>
        <v>Mirza_coquereli1</v>
      </c>
      <c r="C673" s="6" t="s">
        <v>471</v>
      </c>
      <c r="D673" s="7">
        <v>1</v>
      </c>
      <c r="E673" s="14" t="s">
        <v>212</v>
      </c>
    </row>
    <row r="674" spans="1:7">
      <c r="A674" s="45" t="str">
        <f>IF(COUNTIF($B$2:B674,B674)=1,"ok","dup")</f>
        <v>dup</v>
      </c>
      <c r="B674" s="45" t="str">
        <f t="shared" si="10"/>
        <v>Mirza_coquereli2</v>
      </c>
      <c r="C674" s="6" t="s">
        <v>471</v>
      </c>
      <c r="D674" s="7">
        <v>2</v>
      </c>
      <c r="E674" s="14" t="s">
        <v>211</v>
      </c>
      <c r="G674" s="6" t="s">
        <v>352</v>
      </c>
    </row>
    <row r="675" spans="1:7">
      <c r="A675" s="45" t="str">
        <f>IF(COUNTIF($B$2:B675,B675)=1,"ok","dup")</f>
        <v>ok</v>
      </c>
      <c r="B675" s="45" t="str">
        <f t="shared" si="10"/>
        <v>Nasalis_larvatus20</v>
      </c>
      <c r="C675" s="6" t="s">
        <v>93</v>
      </c>
      <c r="D675" s="7">
        <v>20</v>
      </c>
      <c r="E675" s="14" t="s">
        <v>213</v>
      </c>
    </row>
    <row r="676" spans="1:7">
      <c r="A676" s="45" t="str">
        <f>IF(COUNTIF($B$2:B676,B676)=1,"ok","dup")</f>
        <v>ok</v>
      </c>
      <c r="B676" s="45" t="str">
        <f t="shared" si="10"/>
        <v>Nasalis_larvatus9</v>
      </c>
      <c r="C676" s="6" t="s">
        <v>93</v>
      </c>
      <c r="D676" s="7">
        <v>9</v>
      </c>
      <c r="E676" s="14" t="s">
        <v>211</v>
      </c>
    </row>
    <row r="677" spans="1:7">
      <c r="A677" s="45" t="str">
        <f>IF(COUNTIF($B$2:B677,B677)=1,"ok","dup")</f>
        <v>ok</v>
      </c>
      <c r="B677" s="45" t="str">
        <f t="shared" si="10"/>
        <v>Nasalis_larvatus12.4</v>
      </c>
      <c r="C677" s="6" t="s">
        <v>93</v>
      </c>
      <c r="D677" s="7">
        <v>12.4</v>
      </c>
      <c r="E677" s="14" t="s">
        <v>220</v>
      </c>
      <c r="F677" s="14" t="s">
        <v>472</v>
      </c>
      <c r="G677" s="6" t="s">
        <v>330</v>
      </c>
    </row>
    <row r="678" spans="1:7">
      <c r="A678" s="45" t="str">
        <f>IF(COUNTIF($B$2:B678,B678)=1,"ok","dup")</f>
        <v>ok</v>
      </c>
      <c r="B678" s="45" t="str">
        <f t="shared" si="10"/>
        <v>Nasalis_larvatus13</v>
      </c>
      <c r="C678" s="6" t="s">
        <v>93</v>
      </c>
      <c r="D678" s="7">
        <v>13</v>
      </c>
      <c r="E678" s="14" t="s">
        <v>220</v>
      </c>
      <c r="F678" s="14" t="s">
        <v>473</v>
      </c>
    </row>
    <row r="679" spans="1:7">
      <c r="A679" s="45" t="str">
        <f>IF(COUNTIF($B$2:B679,B679)=1,"ok","dup")</f>
        <v>ok</v>
      </c>
      <c r="B679" s="45" t="str">
        <f t="shared" si="10"/>
        <v>Nasalis_larvatus16</v>
      </c>
      <c r="C679" s="6" t="s">
        <v>93</v>
      </c>
      <c r="D679" s="7">
        <v>16</v>
      </c>
      <c r="E679" s="14" t="s">
        <v>220</v>
      </c>
      <c r="F679" s="14" t="s">
        <v>474</v>
      </c>
    </row>
    <row r="680" spans="1:7">
      <c r="A680" s="45" t="str">
        <f>IF(COUNTIF($B$2:B680,B680)=1,"ok","dup")</f>
        <v>dup</v>
      </c>
      <c r="B680" s="45" t="str">
        <f t="shared" si="10"/>
        <v>Nasalis_larvatus16</v>
      </c>
      <c r="C680" s="6" t="s">
        <v>93</v>
      </c>
      <c r="D680" s="7">
        <v>16</v>
      </c>
      <c r="E680" s="14" t="s">
        <v>220</v>
      </c>
      <c r="F680" s="14" t="s">
        <v>473</v>
      </c>
    </row>
    <row r="681" spans="1:7">
      <c r="A681" s="45" t="str">
        <f>IF(COUNTIF($B$2:B681,B681)=1,"ok","dup")</f>
        <v>dup</v>
      </c>
      <c r="B681" s="45" t="str">
        <f t="shared" si="10"/>
        <v>Nasalis_larvatus20</v>
      </c>
      <c r="C681" s="6" t="s">
        <v>93</v>
      </c>
      <c r="D681" s="7">
        <v>20</v>
      </c>
      <c r="E681" s="14" t="s">
        <v>220</v>
      </c>
      <c r="F681" s="14" t="s">
        <v>475</v>
      </c>
      <c r="G681" s="6" t="s">
        <v>235</v>
      </c>
    </row>
    <row r="682" spans="1:7">
      <c r="A682" s="45" t="str">
        <f>IF(COUNTIF($B$2:B682,B682)=1,"ok","dup")</f>
        <v>dup</v>
      </c>
      <c r="B682" s="45" t="str">
        <f t="shared" si="10"/>
        <v>Nasalis_larvatus20</v>
      </c>
      <c r="C682" s="6" t="s">
        <v>93</v>
      </c>
      <c r="D682" s="7">
        <v>20</v>
      </c>
      <c r="E682" s="14" t="s">
        <v>220</v>
      </c>
      <c r="F682" s="14" t="s">
        <v>476</v>
      </c>
    </row>
    <row r="683" spans="1:7">
      <c r="A683" s="45" t="str">
        <f>IF(COUNTIF($B$2:B683,B683)=1,"ok","dup")</f>
        <v>ok</v>
      </c>
      <c r="B683" s="45" t="str">
        <f t="shared" si="10"/>
        <v>Nasalis_larvatus3</v>
      </c>
      <c r="C683" s="6" t="s">
        <v>93</v>
      </c>
      <c r="D683" s="7">
        <v>3</v>
      </c>
      <c r="E683" s="14" t="s">
        <v>220</v>
      </c>
      <c r="F683" s="14" t="s">
        <v>476</v>
      </c>
    </row>
    <row r="684" spans="1:7">
      <c r="A684" s="45" t="str">
        <f>IF(COUNTIF($B$2:B684,B684)=1,"ok","dup")</f>
        <v>ok</v>
      </c>
      <c r="B684" s="45" t="str">
        <f t="shared" si="10"/>
        <v>Nasalis_larvatus5</v>
      </c>
      <c r="C684" s="6" t="s">
        <v>93</v>
      </c>
      <c r="D684" s="7">
        <v>5</v>
      </c>
      <c r="E684" s="14" t="s">
        <v>220</v>
      </c>
      <c r="F684" s="14" t="s">
        <v>473</v>
      </c>
    </row>
    <row r="685" spans="1:7">
      <c r="A685" s="45" t="str">
        <f>IF(COUNTIF($B$2:B685,B685)=1,"ok","dup")</f>
        <v>ok</v>
      </c>
      <c r="B685" s="45" t="str">
        <f t="shared" si="10"/>
        <v>Nasalis_larvatus6</v>
      </c>
      <c r="C685" s="6" t="s">
        <v>93</v>
      </c>
      <c r="D685" s="7">
        <v>6</v>
      </c>
      <c r="E685" s="14" t="s">
        <v>220</v>
      </c>
      <c r="F685" s="14" t="s">
        <v>476</v>
      </c>
    </row>
    <row r="686" spans="1:7">
      <c r="A686" s="45" t="str">
        <f>IF(COUNTIF($B$2:B686,B686)=1,"ok","dup")</f>
        <v>dup</v>
      </c>
      <c r="B686" s="45" t="str">
        <f t="shared" si="10"/>
        <v>Nasalis_larvatus6</v>
      </c>
      <c r="C686" s="6" t="s">
        <v>93</v>
      </c>
      <c r="D686" s="7">
        <v>6</v>
      </c>
      <c r="E686" s="14" t="s">
        <v>220</v>
      </c>
      <c r="F686" s="14" t="s">
        <v>473</v>
      </c>
    </row>
    <row r="687" spans="1:7">
      <c r="A687" s="45" t="str">
        <f>IF(COUNTIF($B$2:B687,B687)=1,"ok","dup")</f>
        <v>dup</v>
      </c>
      <c r="B687" s="45" t="str">
        <f t="shared" si="10"/>
        <v>Nasalis_larvatus6</v>
      </c>
      <c r="C687" s="6" t="s">
        <v>93</v>
      </c>
      <c r="D687" s="7">
        <v>6</v>
      </c>
      <c r="E687" s="14" t="s">
        <v>220</v>
      </c>
      <c r="F687" s="14" t="s">
        <v>473</v>
      </c>
    </row>
    <row r="688" spans="1:7">
      <c r="A688" s="45" t="str">
        <f>IF(COUNTIF($B$2:B688,B688)=1,"ok","dup")</f>
        <v>ok</v>
      </c>
      <c r="B688" s="45" t="str">
        <f t="shared" si="10"/>
        <v>Nasalis_larvatus7</v>
      </c>
      <c r="C688" s="6" t="s">
        <v>93</v>
      </c>
      <c r="D688" s="7">
        <v>7</v>
      </c>
      <c r="E688" s="14" t="s">
        <v>220</v>
      </c>
      <c r="F688" s="14" t="s">
        <v>476</v>
      </c>
    </row>
    <row r="689" spans="1:7">
      <c r="A689" s="45" t="str">
        <f>IF(COUNTIF($B$2:B689,B689)=1,"ok","dup")</f>
        <v>ok</v>
      </c>
      <c r="B689" s="45" t="str">
        <f t="shared" si="10"/>
        <v>Nasalis_larvatus8</v>
      </c>
      <c r="C689" s="6" t="s">
        <v>93</v>
      </c>
      <c r="D689" s="7">
        <v>8</v>
      </c>
      <c r="E689" s="14" t="s">
        <v>220</v>
      </c>
      <c r="F689" s="14" t="s">
        <v>473</v>
      </c>
    </row>
    <row r="690" spans="1:7">
      <c r="A690" s="45" t="str">
        <f>IF(COUNTIF($B$2:B690,B690)=1,"ok","dup")</f>
        <v>ok</v>
      </c>
      <c r="B690" s="45" t="str">
        <f t="shared" si="10"/>
        <v>Nomascus_concolor3.5</v>
      </c>
      <c r="C690" s="6" t="s">
        <v>94</v>
      </c>
      <c r="D690" s="7">
        <v>3.5</v>
      </c>
      <c r="E690" s="14" t="s">
        <v>213</v>
      </c>
    </row>
    <row r="691" spans="1:7">
      <c r="A691" s="45" t="str">
        <f>IF(COUNTIF($B$2:B691,B691)=1,"ok","dup")</f>
        <v>dup</v>
      </c>
      <c r="B691" s="45" t="str">
        <f t="shared" si="10"/>
        <v>Nomascus_concolor3.5</v>
      </c>
      <c r="C691" s="6" t="s">
        <v>94</v>
      </c>
      <c r="D691" s="7">
        <v>3.5</v>
      </c>
      <c r="E691" s="14" t="s">
        <v>211</v>
      </c>
    </row>
    <row r="692" spans="1:7">
      <c r="A692" s="45" t="str">
        <f>IF(COUNTIF($B$2:B692,B692)=1,"ok","dup")</f>
        <v>ok</v>
      </c>
      <c r="B692" s="45" t="str">
        <f t="shared" si="10"/>
        <v>Nycticebus_coucang1</v>
      </c>
      <c r="C692" s="6" t="s">
        <v>95</v>
      </c>
      <c r="D692" s="7">
        <v>1</v>
      </c>
      <c r="E692" s="14" t="s">
        <v>213</v>
      </c>
    </row>
    <row r="693" spans="1:7">
      <c r="A693" s="45" t="str">
        <f>IF(COUNTIF($B$2:B693,B693)=1,"ok","dup")</f>
        <v>ok</v>
      </c>
      <c r="B693" s="45" t="str">
        <f t="shared" si="10"/>
        <v>Otolemur_crassicaudatus1</v>
      </c>
      <c r="C693" s="6" t="s">
        <v>96</v>
      </c>
      <c r="D693" s="7">
        <v>1</v>
      </c>
      <c r="E693" s="14" t="s">
        <v>213</v>
      </c>
    </row>
    <row r="694" spans="1:7">
      <c r="A694" s="45" t="str">
        <f>IF(COUNTIF($B$2:B694,B694)=1,"ok","dup")</f>
        <v>ok</v>
      </c>
      <c r="B694" s="45" t="str">
        <f t="shared" si="10"/>
        <v>Otolemur_crassicaudatus3.5</v>
      </c>
      <c r="C694" s="6" t="s">
        <v>96</v>
      </c>
      <c r="D694" s="7">
        <v>3.5</v>
      </c>
      <c r="E694" s="14" t="s">
        <v>211</v>
      </c>
    </row>
    <row r="695" spans="1:7">
      <c r="A695" s="45" t="str">
        <f>IF(COUNTIF($B$2:B695,B695)=1,"ok","dup")</f>
        <v>ok</v>
      </c>
      <c r="B695" s="45" t="str">
        <f t="shared" si="10"/>
        <v>Pan_paniscus125</v>
      </c>
      <c r="C695" s="6" t="s">
        <v>97</v>
      </c>
      <c r="D695" s="7">
        <v>125</v>
      </c>
      <c r="E695" s="14" t="s">
        <v>211</v>
      </c>
      <c r="G695" s="6" t="s">
        <v>477</v>
      </c>
    </row>
    <row r="696" spans="1:7">
      <c r="A696" s="45" t="str">
        <f>IF(COUNTIF($B$2:B696,B696)=1,"ok","dup")</f>
        <v>ok</v>
      </c>
      <c r="B696" s="45" t="str">
        <f t="shared" si="10"/>
        <v>Pan_paniscus10</v>
      </c>
      <c r="C696" s="6" t="s">
        <v>97</v>
      </c>
      <c r="D696" s="7">
        <v>10</v>
      </c>
      <c r="E696" s="14" t="s">
        <v>214</v>
      </c>
      <c r="F696" s="14" t="s">
        <v>478</v>
      </c>
    </row>
    <row r="697" spans="1:7">
      <c r="A697" s="45" t="str">
        <f>IF(COUNTIF($B$2:B697,B697)=1,"ok","dup")</f>
        <v>ok</v>
      </c>
      <c r="B697" s="45" t="str">
        <f t="shared" si="10"/>
        <v>Pan_troglodytes_troglodytes28</v>
      </c>
      <c r="C697" s="6" t="s">
        <v>98</v>
      </c>
      <c r="D697" s="7">
        <v>28</v>
      </c>
      <c r="E697" s="14" t="s">
        <v>216</v>
      </c>
      <c r="F697" s="14" t="s">
        <v>320</v>
      </c>
    </row>
    <row r="698" spans="1:7">
      <c r="A698" s="45" t="str">
        <f>IF(COUNTIF($B$2:B698,B698)=1,"ok","dup")</f>
        <v>ok</v>
      </c>
      <c r="B698" s="45" t="str">
        <f t="shared" si="10"/>
        <v>Pan_troglodytes_troglodytes50</v>
      </c>
      <c r="C698" s="6" t="s">
        <v>98</v>
      </c>
      <c r="D698" s="7">
        <v>50</v>
      </c>
      <c r="E698" s="14" t="s">
        <v>212</v>
      </c>
    </row>
    <row r="699" spans="1:7">
      <c r="A699" s="45" t="str">
        <f>IF(COUNTIF($B$2:B699,B699)=1,"ok","dup")</f>
        <v>dup</v>
      </c>
      <c r="B699" s="45" t="str">
        <f t="shared" si="10"/>
        <v>Pan_troglodytes_troglodytes28</v>
      </c>
      <c r="C699" s="6" t="s">
        <v>98</v>
      </c>
      <c r="D699" s="7">
        <v>28</v>
      </c>
      <c r="E699" s="14" t="s">
        <v>218</v>
      </c>
      <c r="F699" s="14" t="s">
        <v>479</v>
      </c>
    </row>
    <row r="700" spans="1:7">
      <c r="A700" s="45" t="str">
        <f>IF(COUNTIF($B$2:B700,B700)=1,"ok","dup")</f>
        <v>ok</v>
      </c>
      <c r="B700" s="45" t="str">
        <f t="shared" si="10"/>
        <v>Pan_troglodytes_troglodytes27</v>
      </c>
      <c r="C700" s="6" t="s">
        <v>98</v>
      </c>
      <c r="D700" s="7">
        <v>27</v>
      </c>
      <c r="E700" s="14" t="s">
        <v>213</v>
      </c>
    </row>
    <row r="701" spans="1:7">
      <c r="A701" s="45" t="str">
        <f>IF(COUNTIF($B$2:B701,B701)=1,"ok","dup")</f>
        <v>ok</v>
      </c>
      <c r="B701" s="45" t="str">
        <f t="shared" si="10"/>
        <v>Pan_troglodytes_troglodytes187</v>
      </c>
      <c r="C701" s="6" t="s">
        <v>98</v>
      </c>
      <c r="D701" s="7">
        <v>187</v>
      </c>
      <c r="E701" s="14" t="s">
        <v>220</v>
      </c>
      <c r="F701" s="14" t="s">
        <v>480</v>
      </c>
    </row>
    <row r="702" spans="1:7">
      <c r="A702" s="45" t="str">
        <f>IF(COUNTIF($B$2:B702,B702)=1,"ok","dup")</f>
        <v>ok</v>
      </c>
      <c r="B702" s="45" t="str">
        <f t="shared" si="10"/>
        <v>Pan_troglodytes_troglodytes21</v>
      </c>
      <c r="C702" s="6" t="s">
        <v>98</v>
      </c>
      <c r="D702" s="7">
        <v>21</v>
      </c>
      <c r="E702" s="14" t="s">
        <v>220</v>
      </c>
      <c r="F702" s="14" t="s">
        <v>481</v>
      </c>
    </row>
    <row r="703" spans="1:7">
      <c r="A703" s="45" t="str">
        <f>IF(COUNTIF($B$2:B703,B703)=1,"ok","dup")</f>
        <v>dup</v>
      </c>
      <c r="B703" s="45" t="str">
        <f t="shared" si="10"/>
        <v>Pan_troglodytes_troglodytes27</v>
      </c>
      <c r="C703" s="6" t="s">
        <v>98</v>
      </c>
      <c r="D703" s="7">
        <v>27</v>
      </c>
      <c r="E703" s="14" t="s">
        <v>220</v>
      </c>
      <c r="F703" s="14" t="s">
        <v>482</v>
      </c>
      <c r="G703" s="6" t="s">
        <v>235</v>
      </c>
    </row>
    <row r="704" spans="1:7">
      <c r="A704" s="45" t="str">
        <f>IF(COUNTIF($B$2:B704,B704)=1,"ok","dup")</f>
        <v>ok</v>
      </c>
      <c r="B704" s="45" t="str">
        <f t="shared" si="10"/>
        <v>Pan_troglodytes_troglodytes27.5</v>
      </c>
      <c r="C704" s="6" t="s">
        <v>98</v>
      </c>
      <c r="D704" s="7">
        <v>27.5</v>
      </c>
      <c r="E704" s="14" t="s">
        <v>220</v>
      </c>
      <c r="F704" s="14" t="s">
        <v>483</v>
      </c>
      <c r="G704" s="6" t="s">
        <v>239</v>
      </c>
    </row>
    <row r="705" spans="1:7">
      <c r="A705" s="45" t="str">
        <f>IF(COUNTIF($B$2:B705,B705)=1,"ok","dup")</f>
        <v>dup</v>
      </c>
      <c r="B705" s="45" t="str">
        <f t="shared" si="10"/>
        <v>Pan_troglodytes_troglodytes28</v>
      </c>
      <c r="C705" s="6" t="s">
        <v>98</v>
      </c>
      <c r="D705" s="7">
        <v>28</v>
      </c>
      <c r="E705" s="14" t="s">
        <v>220</v>
      </c>
      <c r="F705" s="14" t="s">
        <v>484</v>
      </c>
      <c r="G705" s="6" t="s">
        <v>228</v>
      </c>
    </row>
    <row r="706" spans="1:7">
      <c r="A706" s="45" t="str">
        <f>IF(COUNTIF($B$2:B706,B706)=1,"ok","dup")</f>
        <v>ok</v>
      </c>
      <c r="B706" s="45" t="str">
        <f t="shared" ref="B706:B769" si="11">C706&amp;D706</f>
        <v>Pan_troglodytes_troglodytes29</v>
      </c>
      <c r="C706" s="6" t="s">
        <v>98</v>
      </c>
      <c r="D706" s="7">
        <v>29</v>
      </c>
      <c r="E706" s="14" t="s">
        <v>220</v>
      </c>
      <c r="F706" s="14" t="s">
        <v>485</v>
      </c>
      <c r="G706" s="6" t="s">
        <v>222</v>
      </c>
    </row>
    <row r="707" spans="1:7">
      <c r="A707" s="45" t="str">
        <f>IF(COUNTIF($B$2:B707,B707)=1,"ok","dup")</f>
        <v>ok</v>
      </c>
      <c r="B707" s="45" t="str">
        <f t="shared" si="11"/>
        <v>Pan_troglodytes_troglodytes35</v>
      </c>
      <c r="C707" s="6" t="s">
        <v>98</v>
      </c>
      <c r="D707" s="7">
        <v>35</v>
      </c>
      <c r="E707" s="14" t="s">
        <v>220</v>
      </c>
      <c r="F707" s="14" t="s">
        <v>485</v>
      </c>
    </row>
    <row r="708" spans="1:7">
      <c r="A708" s="45" t="str">
        <f>IF(COUNTIF($B$2:B708,B708)=1,"ok","dup")</f>
        <v>ok</v>
      </c>
      <c r="B708" s="45" t="str">
        <f t="shared" si="11"/>
        <v>Pan_troglodytes_troglodytes44</v>
      </c>
      <c r="C708" s="6" t="s">
        <v>98</v>
      </c>
      <c r="D708" s="7">
        <v>44</v>
      </c>
      <c r="E708" s="14" t="s">
        <v>220</v>
      </c>
      <c r="F708" s="14" t="s">
        <v>486</v>
      </c>
    </row>
    <row r="709" spans="1:7">
      <c r="A709" s="45" t="str">
        <f>IF(COUNTIF($B$2:B709,B709)=1,"ok","dup")</f>
        <v>ok</v>
      </c>
      <c r="B709" s="45" t="str">
        <f t="shared" si="11"/>
        <v>Pan_troglodytes_troglodytes5.2</v>
      </c>
      <c r="C709" s="6" t="s">
        <v>98</v>
      </c>
      <c r="D709" s="7">
        <v>5.2</v>
      </c>
      <c r="E709" s="14" t="s">
        <v>220</v>
      </c>
      <c r="F709" s="14" t="s">
        <v>487</v>
      </c>
      <c r="G709" s="6" t="s">
        <v>239</v>
      </c>
    </row>
    <row r="710" spans="1:7">
      <c r="A710" s="45" t="str">
        <f>IF(COUNTIF($B$2:B710,B710)=1,"ok","dup")</f>
        <v>ok</v>
      </c>
      <c r="B710" s="45" t="str">
        <f t="shared" si="11"/>
        <v>Pan_troglodytes_troglodytes51</v>
      </c>
      <c r="C710" s="6" t="s">
        <v>98</v>
      </c>
      <c r="D710" s="7">
        <v>51</v>
      </c>
      <c r="E710" s="14" t="s">
        <v>220</v>
      </c>
      <c r="F710" s="14" t="s">
        <v>488</v>
      </c>
    </row>
    <row r="711" spans="1:7">
      <c r="A711" s="45" t="str">
        <f>IF(COUNTIF($B$2:B711,B711)=1,"ok","dup")</f>
        <v>ok</v>
      </c>
      <c r="B711" s="45" t="str">
        <f t="shared" si="11"/>
        <v>Pan_troglodytes_troglodytes7</v>
      </c>
      <c r="C711" s="6" t="s">
        <v>98</v>
      </c>
      <c r="D711" s="7">
        <v>7</v>
      </c>
      <c r="E711" s="14" t="s">
        <v>220</v>
      </c>
      <c r="F711" s="14" t="s">
        <v>485</v>
      </c>
      <c r="G711" s="6" t="s">
        <v>222</v>
      </c>
    </row>
    <row r="712" spans="1:7">
      <c r="A712" s="45" t="str">
        <f>IF(COUNTIF($B$2:B712,B712)=1,"ok","dup")</f>
        <v>ok</v>
      </c>
      <c r="B712" s="45" t="str">
        <f t="shared" si="11"/>
        <v>Pan_troglodytes_troglodytes76</v>
      </c>
      <c r="C712" s="6" t="s">
        <v>98</v>
      </c>
      <c r="D712" s="7">
        <v>76</v>
      </c>
      <c r="E712" s="14" t="s">
        <v>220</v>
      </c>
      <c r="F712" s="14" t="s">
        <v>489</v>
      </c>
    </row>
    <row r="713" spans="1:7">
      <c r="A713" s="45" t="str">
        <f>IF(COUNTIF($B$2:B713,B713)=1,"ok","dup")</f>
        <v>ok</v>
      </c>
      <c r="B713" s="45" t="str">
        <f t="shared" si="11"/>
        <v>Pan_troglodytes_troglodytes10.2</v>
      </c>
      <c r="C713" s="6" t="s">
        <v>98</v>
      </c>
      <c r="D713" s="7">
        <v>10.199999999999999</v>
      </c>
      <c r="E713" s="14" t="s">
        <v>214</v>
      </c>
      <c r="F713" s="14" t="s">
        <v>490</v>
      </c>
    </row>
    <row r="714" spans="1:7">
      <c r="A714" s="45" t="str">
        <f>IF(COUNTIF($B$2:B714,B714)=1,"ok","dup")</f>
        <v>ok</v>
      </c>
      <c r="B714" s="45" t="str">
        <f t="shared" si="11"/>
        <v>Papio_anubis25.8</v>
      </c>
      <c r="C714" s="6" t="s">
        <v>99</v>
      </c>
      <c r="D714" s="7">
        <v>25.8</v>
      </c>
      <c r="E714" s="14" t="s">
        <v>212</v>
      </c>
    </row>
    <row r="715" spans="1:7">
      <c r="A715" s="45" t="str">
        <f>IF(COUNTIF($B$2:B715,B715)=1,"ok","dup")</f>
        <v>ok</v>
      </c>
      <c r="B715" s="45" t="str">
        <f t="shared" si="11"/>
        <v>Papio_anubis29.9</v>
      </c>
      <c r="C715" s="6" t="s">
        <v>99</v>
      </c>
      <c r="D715" s="7">
        <v>29.9</v>
      </c>
      <c r="E715" s="14" t="s">
        <v>212</v>
      </c>
    </row>
    <row r="716" spans="1:7">
      <c r="A716" s="45" t="str">
        <f>IF(COUNTIF($B$2:B716,B716)=1,"ok","dup")</f>
        <v>ok</v>
      </c>
      <c r="B716" s="45" t="str">
        <f t="shared" si="11"/>
        <v>Papio_anubis39</v>
      </c>
      <c r="C716" s="6" t="s">
        <v>99</v>
      </c>
      <c r="D716" s="7">
        <v>39</v>
      </c>
      <c r="E716" s="14" t="s">
        <v>212</v>
      </c>
    </row>
    <row r="717" spans="1:7">
      <c r="A717" s="45" t="str">
        <f>IF(COUNTIF($B$2:B717,B717)=1,"ok","dup")</f>
        <v>ok</v>
      </c>
      <c r="B717" s="45" t="str">
        <f t="shared" si="11"/>
        <v>Papio_anubis40.3</v>
      </c>
      <c r="C717" s="6" t="s">
        <v>99</v>
      </c>
      <c r="D717" s="7">
        <v>40.299999999999997</v>
      </c>
      <c r="E717" s="14" t="s">
        <v>212</v>
      </c>
    </row>
    <row r="718" spans="1:7">
      <c r="A718" s="45" t="str">
        <f>IF(COUNTIF($B$2:B718,B718)=1,"ok","dup")</f>
        <v>ok</v>
      </c>
      <c r="B718" s="45" t="str">
        <f t="shared" si="11"/>
        <v>Papio_anubis42.1</v>
      </c>
      <c r="C718" s="6" t="s">
        <v>99</v>
      </c>
      <c r="D718" s="7">
        <v>42.1</v>
      </c>
      <c r="E718" s="14" t="s">
        <v>212</v>
      </c>
    </row>
    <row r="719" spans="1:7">
      <c r="A719" s="45" t="str">
        <f>IF(COUNTIF($B$2:B719,B719)=1,"ok","dup")</f>
        <v>ok</v>
      </c>
      <c r="B719" s="45" t="str">
        <f t="shared" si="11"/>
        <v>Papio_anubis45</v>
      </c>
      <c r="C719" s="6" t="s">
        <v>99</v>
      </c>
      <c r="D719" s="7">
        <v>45</v>
      </c>
      <c r="E719" s="14" t="s">
        <v>212</v>
      </c>
    </row>
    <row r="720" spans="1:7">
      <c r="A720" s="45" t="str">
        <f>IF(COUNTIF($B$2:B720,B720)=1,"ok","dup")</f>
        <v>ok</v>
      </c>
      <c r="B720" s="45" t="str">
        <f t="shared" si="11"/>
        <v>Papio_anubis47.8</v>
      </c>
      <c r="C720" s="6" t="s">
        <v>99</v>
      </c>
      <c r="D720" s="7">
        <v>47.8</v>
      </c>
      <c r="E720" s="14" t="s">
        <v>212</v>
      </c>
    </row>
    <row r="721" spans="1:7">
      <c r="A721" s="45" t="str">
        <f>IF(COUNTIF($B$2:B721,B721)=1,"ok","dup")</f>
        <v>ok</v>
      </c>
      <c r="B721" s="45" t="str">
        <f t="shared" si="11"/>
        <v>Papio_anubis50</v>
      </c>
      <c r="C721" s="6" t="s">
        <v>99</v>
      </c>
      <c r="D721" s="7">
        <v>50</v>
      </c>
      <c r="E721" s="14" t="s">
        <v>212</v>
      </c>
    </row>
    <row r="722" spans="1:7">
      <c r="A722" s="45" t="str">
        <f>IF(COUNTIF($B$2:B722,B722)=1,"ok","dup")</f>
        <v>ok</v>
      </c>
      <c r="B722" s="45" t="str">
        <f t="shared" si="11"/>
        <v>Papio_anubis55.7</v>
      </c>
      <c r="C722" s="6" t="s">
        <v>99</v>
      </c>
      <c r="D722" s="7">
        <v>55.7</v>
      </c>
      <c r="E722" s="14" t="s">
        <v>212</v>
      </c>
    </row>
    <row r="723" spans="1:7">
      <c r="A723" s="45" t="str">
        <f>IF(COUNTIF($B$2:B723,B723)=1,"ok","dup")</f>
        <v>ok</v>
      </c>
      <c r="B723" s="45" t="str">
        <f t="shared" si="11"/>
        <v>Papio_anubis87</v>
      </c>
      <c r="C723" s="6" t="s">
        <v>99</v>
      </c>
      <c r="D723" s="7">
        <v>87</v>
      </c>
      <c r="E723" s="14" t="s">
        <v>212</v>
      </c>
    </row>
    <row r="724" spans="1:7">
      <c r="A724" s="45" t="str">
        <f>IF(COUNTIF($B$2:B724,B724)=1,"ok","dup")</f>
        <v>ok</v>
      </c>
      <c r="B724" s="45" t="str">
        <f t="shared" si="11"/>
        <v>Papio_anubis97</v>
      </c>
      <c r="C724" s="6" t="s">
        <v>99</v>
      </c>
      <c r="D724" s="7">
        <v>97</v>
      </c>
      <c r="E724" s="14" t="s">
        <v>212</v>
      </c>
    </row>
    <row r="725" spans="1:7">
      <c r="A725" s="45" t="str">
        <f>IF(COUNTIF($B$2:B725,B725)=1,"ok","dup")</f>
        <v>ok</v>
      </c>
      <c r="B725" s="45" t="str">
        <f t="shared" si="11"/>
        <v>Papio_anubis41.2</v>
      </c>
      <c r="C725" s="6" t="s">
        <v>99</v>
      </c>
      <c r="D725" s="7">
        <v>41.2</v>
      </c>
      <c r="E725" s="14" t="s">
        <v>218</v>
      </c>
      <c r="F725" s="14" t="s">
        <v>491</v>
      </c>
    </row>
    <row r="726" spans="1:7">
      <c r="A726" s="45" t="str">
        <f>IF(COUNTIF($B$2:B726,B726)=1,"ok","dup")</f>
        <v>ok</v>
      </c>
      <c r="B726" s="45" t="str">
        <f t="shared" si="11"/>
        <v>Papio_anubis34</v>
      </c>
      <c r="C726" s="6" t="s">
        <v>99</v>
      </c>
      <c r="D726" s="7">
        <v>34</v>
      </c>
      <c r="E726" s="14" t="s">
        <v>213</v>
      </c>
    </row>
    <row r="727" spans="1:7">
      <c r="A727" s="45" t="str">
        <f>IF(COUNTIF($B$2:B727,B727)=1,"ok","dup")</f>
        <v>dup</v>
      </c>
      <c r="B727" s="45" t="str">
        <f t="shared" si="11"/>
        <v>Papio_anubis50</v>
      </c>
      <c r="C727" s="6" t="s">
        <v>99</v>
      </c>
      <c r="D727" s="7">
        <v>50</v>
      </c>
      <c r="E727" s="14" t="s">
        <v>211</v>
      </c>
    </row>
    <row r="728" spans="1:7">
      <c r="A728" s="45" t="str">
        <f>IF(COUNTIF($B$2:B728,B728)=1,"ok","dup")</f>
        <v>ok</v>
      </c>
      <c r="B728" s="45" t="str">
        <f t="shared" si="11"/>
        <v>Papio_anubis101</v>
      </c>
      <c r="C728" s="6" t="s">
        <v>99</v>
      </c>
      <c r="D728" s="7">
        <v>101</v>
      </c>
      <c r="E728" s="14" t="s">
        <v>220</v>
      </c>
      <c r="F728" s="14" t="s">
        <v>492</v>
      </c>
      <c r="G728" s="6" t="s">
        <v>330</v>
      </c>
    </row>
    <row r="729" spans="1:7">
      <c r="A729" s="45" t="str">
        <f>IF(COUNTIF($B$2:B729,B729)=1,"ok","dup")</f>
        <v>ok</v>
      </c>
      <c r="B729" s="45" t="str">
        <f t="shared" si="11"/>
        <v>Papio_anubis13</v>
      </c>
      <c r="C729" s="6" t="s">
        <v>99</v>
      </c>
      <c r="D729" s="7">
        <v>13</v>
      </c>
      <c r="E729" s="14" t="s">
        <v>220</v>
      </c>
      <c r="F729" s="14" t="s">
        <v>493</v>
      </c>
      <c r="G729" s="6" t="s">
        <v>222</v>
      </c>
    </row>
    <row r="730" spans="1:7">
      <c r="A730" s="45" t="str">
        <f>IF(COUNTIF($B$2:B730,B730)=1,"ok","dup")</f>
        <v>ok</v>
      </c>
      <c r="B730" s="45" t="str">
        <f t="shared" si="11"/>
        <v>Papio_anubis14</v>
      </c>
      <c r="C730" s="6" t="s">
        <v>99</v>
      </c>
      <c r="D730" s="7">
        <v>14</v>
      </c>
      <c r="E730" s="14" t="s">
        <v>220</v>
      </c>
      <c r="F730" s="14" t="s">
        <v>493</v>
      </c>
    </row>
    <row r="731" spans="1:7">
      <c r="A731" s="45" t="str">
        <f>IF(COUNTIF($B$2:B731,B731)=1,"ok","dup")</f>
        <v>ok</v>
      </c>
      <c r="B731" s="45" t="str">
        <f t="shared" si="11"/>
        <v>Papio_anubis150</v>
      </c>
      <c r="C731" s="6" t="s">
        <v>99</v>
      </c>
      <c r="D731" s="7">
        <v>150</v>
      </c>
      <c r="E731" s="14" t="s">
        <v>220</v>
      </c>
      <c r="F731" s="14" t="s">
        <v>494</v>
      </c>
    </row>
    <row r="732" spans="1:7">
      <c r="A732" s="45" t="str">
        <f>IF(COUNTIF($B$2:B732,B732)=1,"ok","dup")</f>
        <v>ok</v>
      </c>
      <c r="B732" s="45" t="str">
        <f t="shared" si="11"/>
        <v>Papio_anubis19</v>
      </c>
      <c r="C732" s="6" t="s">
        <v>99</v>
      </c>
      <c r="D732" s="7">
        <v>19</v>
      </c>
      <c r="E732" s="14" t="s">
        <v>220</v>
      </c>
      <c r="F732" s="14" t="s">
        <v>495</v>
      </c>
    </row>
    <row r="733" spans="1:7">
      <c r="A733" s="45" t="str">
        <f>IF(COUNTIF($B$2:B733,B733)=1,"ok","dup")</f>
        <v>ok</v>
      </c>
      <c r="B733" s="45" t="str">
        <f t="shared" si="11"/>
        <v>Papio_anubis20</v>
      </c>
      <c r="C733" s="6" t="s">
        <v>99</v>
      </c>
      <c r="D733" s="7">
        <v>20</v>
      </c>
      <c r="E733" s="14" t="s">
        <v>220</v>
      </c>
      <c r="F733" s="14" t="s">
        <v>496</v>
      </c>
      <c r="G733" s="6" t="s">
        <v>330</v>
      </c>
    </row>
    <row r="734" spans="1:7">
      <c r="A734" s="45" t="str">
        <f>IF(COUNTIF($B$2:B734,B734)=1,"ok","dup")</f>
        <v>ok</v>
      </c>
      <c r="B734" s="45" t="str">
        <f t="shared" si="11"/>
        <v>Papio_anubis21</v>
      </c>
      <c r="C734" s="6" t="s">
        <v>99</v>
      </c>
      <c r="D734" s="7">
        <v>21</v>
      </c>
      <c r="E734" s="14" t="s">
        <v>220</v>
      </c>
      <c r="F734" s="14" t="s">
        <v>493</v>
      </c>
    </row>
    <row r="735" spans="1:7">
      <c r="A735" s="45" t="str">
        <f>IF(COUNTIF($B$2:B735,B735)=1,"ok","dup")</f>
        <v>ok</v>
      </c>
      <c r="B735" s="45" t="str">
        <f t="shared" si="11"/>
        <v>Papio_anubis28</v>
      </c>
      <c r="C735" s="6" t="s">
        <v>99</v>
      </c>
      <c r="D735" s="7">
        <v>28</v>
      </c>
      <c r="E735" s="14" t="s">
        <v>220</v>
      </c>
      <c r="F735" s="14" t="s">
        <v>495</v>
      </c>
    </row>
    <row r="736" spans="1:7">
      <c r="A736" s="45" t="str">
        <f>IF(COUNTIF($B$2:B736,B736)=1,"ok","dup")</f>
        <v>dup</v>
      </c>
      <c r="B736" s="45" t="str">
        <f t="shared" si="11"/>
        <v>Papio_anubis34</v>
      </c>
      <c r="C736" s="6" t="s">
        <v>99</v>
      </c>
      <c r="D736" s="7">
        <v>34</v>
      </c>
      <c r="E736" s="14" t="s">
        <v>220</v>
      </c>
      <c r="F736" s="14" t="s">
        <v>497</v>
      </c>
      <c r="G736" s="6" t="s">
        <v>235</v>
      </c>
    </row>
    <row r="737" spans="1:7">
      <c r="A737" s="45" t="str">
        <f>IF(COUNTIF($B$2:B737,B737)=1,"ok","dup")</f>
        <v>ok</v>
      </c>
      <c r="B737" s="45" t="str">
        <f t="shared" si="11"/>
        <v>Papio_anubis36</v>
      </c>
      <c r="C737" s="6" t="s">
        <v>99</v>
      </c>
      <c r="D737" s="7">
        <v>36</v>
      </c>
      <c r="E737" s="14" t="s">
        <v>220</v>
      </c>
      <c r="F737" s="14" t="s">
        <v>498</v>
      </c>
    </row>
    <row r="738" spans="1:7">
      <c r="A738" s="45" t="str">
        <f>IF(COUNTIF($B$2:B738,B738)=1,"ok","dup")</f>
        <v>ok</v>
      </c>
      <c r="B738" s="45" t="str">
        <f t="shared" si="11"/>
        <v>Papio_anubis38.3</v>
      </c>
      <c r="C738" s="6" t="s">
        <v>99</v>
      </c>
      <c r="D738" s="7">
        <v>38.299999999999997</v>
      </c>
      <c r="E738" s="14" t="s">
        <v>220</v>
      </c>
      <c r="F738" s="14" t="s">
        <v>499</v>
      </c>
      <c r="G738" s="6" t="s">
        <v>330</v>
      </c>
    </row>
    <row r="739" spans="1:7">
      <c r="A739" s="45" t="str">
        <f>IF(COUNTIF($B$2:B739,B739)=1,"ok","dup")</f>
        <v>ok</v>
      </c>
      <c r="B739" s="45" t="str">
        <f t="shared" si="11"/>
        <v>Papio_anubis41</v>
      </c>
      <c r="C739" s="6" t="s">
        <v>99</v>
      </c>
      <c r="D739" s="7">
        <v>41</v>
      </c>
      <c r="E739" s="14" t="s">
        <v>220</v>
      </c>
      <c r="F739" s="14" t="s">
        <v>498</v>
      </c>
    </row>
    <row r="740" spans="1:7">
      <c r="A740" s="45" t="str">
        <f>IF(COUNTIF($B$2:B740,B740)=1,"ok","dup")</f>
        <v>ok</v>
      </c>
      <c r="B740" s="45" t="str">
        <f t="shared" si="11"/>
        <v>Papio_anubis43.3</v>
      </c>
      <c r="C740" s="6" t="s">
        <v>99</v>
      </c>
      <c r="D740" s="7">
        <v>43.3</v>
      </c>
      <c r="E740" s="14" t="s">
        <v>220</v>
      </c>
      <c r="F740" s="14" t="s">
        <v>500</v>
      </c>
      <c r="G740" s="6" t="s">
        <v>330</v>
      </c>
    </row>
    <row r="741" spans="1:7">
      <c r="A741" s="45" t="str">
        <f>IF(COUNTIF($B$2:B741,B741)=1,"ok","dup")</f>
        <v>ok</v>
      </c>
      <c r="B741" s="45" t="str">
        <f t="shared" si="11"/>
        <v>Papio_anubis44</v>
      </c>
      <c r="C741" s="6" t="s">
        <v>99</v>
      </c>
      <c r="D741" s="7">
        <v>44</v>
      </c>
      <c r="E741" s="14" t="s">
        <v>220</v>
      </c>
      <c r="F741" s="14" t="s">
        <v>493</v>
      </c>
      <c r="G741" s="6" t="s">
        <v>330</v>
      </c>
    </row>
    <row r="742" spans="1:7">
      <c r="A742" s="45" t="str">
        <f>IF(COUNTIF($B$2:B742,B742)=1,"ok","dup")</f>
        <v>dup</v>
      </c>
      <c r="B742" s="45" t="str">
        <f t="shared" si="11"/>
        <v>Papio_anubis45</v>
      </c>
      <c r="C742" s="6" t="s">
        <v>99</v>
      </c>
      <c r="D742" s="7">
        <v>45</v>
      </c>
      <c r="E742" s="14" t="s">
        <v>220</v>
      </c>
      <c r="F742" s="14" t="s">
        <v>501</v>
      </c>
      <c r="G742" s="6" t="s">
        <v>330</v>
      </c>
    </row>
    <row r="743" spans="1:7">
      <c r="A743" s="45" t="str">
        <f>IF(COUNTIF($B$2:B743,B743)=1,"ok","dup")</f>
        <v>dup</v>
      </c>
      <c r="B743" s="45" t="str">
        <f t="shared" si="11"/>
        <v>Papio_anubis47.8</v>
      </c>
      <c r="C743" s="6" t="s">
        <v>99</v>
      </c>
      <c r="D743" s="7">
        <v>47.8</v>
      </c>
      <c r="E743" s="14" t="s">
        <v>220</v>
      </c>
      <c r="F743" s="14" t="s">
        <v>493</v>
      </c>
      <c r="G743" s="6" t="s">
        <v>239</v>
      </c>
    </row>
    <row r="744" spans="1:7">
      <c r="A744" s="45" t="str">
        <f>IF(COUNTIF($B$2:B744,B744)=1,"ok","dup")</f>
        <v>ok</v>
      </c>
      <c r="B744" s="45" t="str">
        <f t="shared" si="11"/>
        <v>Papio_anubis48</v>
      </c>
      <c r="C744" s="6" t="s">
        <v>99</v>
      </c>
      <c r="D744" s="7">
        <v>48</v>
      </c>
      <c r="E744" s="14" t="s">
        <v>220</v>
      </c>
      <c r="F744" s="14" t="s">
        <v>502</v>
      </c>
    </row>
    <row r="745" spans="1:7">
      <c r="A745" s="45" t="str">
        <f>IF(COUNTIF($B$2:B745,B745)=1,"ok","dup")</f>
        <v>ok</v>
      </c>
      <c r="B745" s="45" t="str">
        <f t="shared" si="11"/>
        <v>Papio_anubis55</v>
      </c>
      <c r="C745" s="6" t="s">
        <v>99</v>
      </c>
      <c r="D745" s="7">
        <v>55</v>
      </c>
      <c r="E745" s="14" t="s">
        <v>220</v>
      </c>
      <c r="F745" s="14" t="s">
        <v>503</v>
      </c>
      <c r="G745" s="6" t="s">
        <v>330</v>
      </c>
    </row>
    <row r="746" spans="1:7">
      <c r="A746" s="45" t="str">
        <f>IF(COUNTIF($B$2:B746,B746)=1,"ok","dup")</f>
        <v>ok</v>
      </c>
      <c r="B746" s="45" t="str">
        <f t="shared" si="11"/>
        <v>Papio_anubis65</v>
      </c>
      <c r="C746" s="6" t="s">
        <v>99</v>
      </c>
      <c r="D746" s="7">
        <v>65</v>
      </c>
      <c r="E746" s="14" t="s">
        <v>220</v>
      </c>
      <c r="F746" s="14" t="s">
        <v>504</v>
      </c>
      <c r="G746" s="6" t="s">
        <v>330</v>
      </c>
    </row>
    <row r="747" spans="1:7">
      <c r="A747" s="45" t="str">
        <f>IF(COUNTIF($B$2:B747,B747)=1,"ok","dup")</f>
        <v>dup</v>
      </c>
      <c r="B747" s="45" t="str">
        <f t="shared" si="11"/>
        <v>Papio_anubis65</v>
      </c>
      <c r="C747" s="6" t="s">
        <v>99</v>
      </c>
      <c r="D747" s="7">
        <v>65</v>
      </c>
      <c r="E747" s="14" t="s">
        <v>220</v>
      </c>
      <c r="F747" s="14" t="s">
        <v>493</v>
      </c>
      <c r="G747" s="6" t="s">
        <v>222</v>
      </c>
    </row>
    <row r="748" spans="1:7">
      <c r="A748" s="45" t="str">
        <f>IF(COUNTIF($B$2:B748,B748)=1,"ok","dup")</f>
        <v>ok</v>
      </c>
      <c r="B748" s="45" t="str">
        <f t="shared" si="11"/>
        <v>Papio_anubis78</v>
      </c>
      <c r="C748" s="6" t="s">
        <v>99</v>
      </c>
      <c r="D748" s="7">
        <v>78</v>
      </c>
      <c r="E748" s="14" t="s">
        <v>220</v>
      </c>
      <c r="F748" s="14" t="s">
        <v>502</v>
      </c>
    </row>
    <row r="749" spans="1:7">
      <c r="A749" s="45" t="str">
        <f>IF(COUNTIF($B$2:B749,B749)=1,"ok","dup")</f>
        <v>dup</v>
      </c>
      <c r="B749" s="45" t="str">
        <f t="shared" si="11"/>
        <v>Papio_anubis87</v>
      </c>
      <c r="C749" s="6" t="s">
        <v>99</v>
      </c>
      <c r="D749" s="7">
        <v>87</v>
      </c>
      <c r="E749" s="14" t="s">
        <v>220</v>
      </c>
      <c r="F749" s="14" t="s">
        <v>493</v>
      </c>
    </row>
    <row r="750" spans="1:7">
      <c r="A750" s="45" t="str">
        <f>IF(COUNTIF($B$2:B750,B750)=1,"ok","dup")</f>
        <v>ok</v>
      </c>
      <c r="B750" s="45" t="str">
        <f t="shared" si="11"/>
        <v>Papio_anubis9</v>
      </c>
      <c r="C750" s="6" t="s">
        <v>99</v>
      </c>
      <c r="D750" s="7">
        <v>9</v>
      </c>
      <c r="E750" s="14" t="s">
        <v>214</v>
      </c>
      <c r="F750" s="14" t="s">
        <v>505</v>
      </c>
    </row>
    <row r="751" spans="1:7">
      <c r="A751" s="45" t="str">
        <f>IF(COUNTIF($B$2:B751,B751)=1,"ok","dup")</f>
        <v>ok</v>
      </c>
      <c r="B751" s="45" t="str">
        <f t="shared" si="11"/>
        <v>Papio_cynocephalus80</v>
      </c>
      <c r="C751" s="6" t="s">
        <v>100</v>
      </c>
      <c r="D751" s="7">
        <v>80</v>
      </c>
      <c r="E751" s="14" t="s">
        <v>216</v>
      </c>
      <c r="F751" s="14" t="s">
        <v>435</v>
      </c>
    </row>
    <row r="752" spans="1:7">
      <c r="A752" s="45" t="str">
        <f>IF(COUNTIF($B$2:B752,B752)=1,"ok","dup")</f>
        <v>ok</v>
      </c>
      <c r="B752" s="45" t="str">
        <f t="shared" si="11"/>
        <v>Papio_cynocephalus28.3</v>
      </c>
      <c r="C752" s="6" t="s">
        <v>100</v>
      </c>
      <c r="D752" s="7">
        <v>28.3</v>
      </c>
      <c r="E752" s="14" t="s">
        <v>212</v>
      </c>
    </row>
    <row r="753" spans="1:7">
      <c r="A753" s="45" t="str">
        <f>IF(COUNTIF($B$2:B753,B753)=1,"ok","dup")</f>
        <v>ok</v>
      </c>
      <c r="B753" s="45" t="str">
        <f t="shared" si="11"/>
        <v>Papio_cynocephalus39</v>
      </c>
      <c r="C753" s="6" t="s">
        <v>100</v>
      </c>
      <c r="D753" s="7">
        <v>39</v>
      </c>
      <c r="E753" s="14" t="s">
        <v>212</v>
      </c>
    </row>
    <row r="754" spans="1:7">
      <c r="A754" s="45" t="str">
        <f>IF(COUNTIF($B$2:B754,B754)=1,"ok","dup")</f>
        <v>ok</v>
      </c>
      <c r="B754" s="45" t="str">
        <f t="shared" si="11"/>
        <v>Papio_cynocephalus40.5</v>
      </c>
      <c r="C754" s="6" t="s">
        <v>100</v>
      </c>
      <c r="D754" s="7">
        <v>40.5</v>
      </c>
      <c r="E754" s="14" t="s">
        <v>212</v>
      </c>
    </row>
    <row r="755" spans="1:7">
      <c r="A755" s="45" t="str">
        <f>IF(COUNTIF($B$2:B755,B755)=1,"ok","dup")</f>
        <v>ok</v>
      </c>
      <c r="B755" s="45" t="str">
        <f t="shared" si="11"/>
        <v>Papio_cynocephalus56</v>
      </c>
      <c r="C755" s="6" t="s">
        <v>100</v>
      </c>
      <c r="D755" s="7">
        <v>56</v>
      </c>
      <c r="E755" s="14" t="s">
        <v>212</v>
      </c>
    </row>
    <row r="756" spans="1:7">
      <c r="A756" s="45" t="str">
        <f>IF(COUNTIF($B$2:B756,B756)=1,"ok","dup")</f>
        <v>dup</v>
      </c>
      <c r="B756" s="45" t="str">
        <f t="shared" si="11"/>
        <v>Papio_cynocephalus80</v>
      </c>
      <c r="C756" s="6" t="s">
        <v>100</v>
      </c>
      <c r="D756" s="7">
        <v>80</v>
      </c>
      <c r="E756" s="14" t="s">
        <v>212</v>
      </c>
    </row>
    <row r="757" spans="1:7">
      <c r="A757" s="45" t="str">
        <f>IF(COUNTIF($B$2:B757,B757)=1,"ok","dup")</f>
        <v>ok</v>
      </c>
      <c r="B757" s="45" t="str">
        <f t="shared" si="11"/>
        <v>Papio_cynocephalus81.75</v>
      </c>
      <c r="C757" s="6" t="s">
        <v>100</v>
      </c>
      <c r="D757" s="7">
        <v>81.75</v>
      </c>
      <c r="E757" s="14" t="s">
        <v>212</v>
      </c>
    </row>
    <row r="758" spans="1:7">
      <c r="A758" s="45" t="str">
        <f>IF(COUNTIF($B$2:B758,B758)=1,"ok","dup")</f>
        <v>ok</v>
      </c>
      <c r="B758" s="45" t="str">
        <f t="shared" si="11"/>
        <v>Papio_cynocephalus67.5</v>
      </c>
      <c r="C758" s="6" t="s">
        <v>100</v>
      </c>
      <c r="D758" s="7">
        <v>67.5</v>
      </c>
      <c r="E758" s="14" t="s">
        <v>218</v>
      </c>
      <c r="F758" s="14" t="s">
        <v>491</v>
      </c>
    </row>
    <row r="759" spans="1:7">
      <c r="A759" s="45" t="str">
        <f>IF(COUNTIF($B$2:B759,B759)=1,"ok","dup")</f>
        <v>ok</v>
      </c>
      <c r="B759" s="45" t="str">
        <f t="shared" si="11"/>
        <v>Papio_cynocephalus43</v>
      </c>
      <c r="C759" s="6" t="s">
        <v>100</v>
      </c>
      <c r="D759" s="7">
        <v>43</v>
      </c>
      <c r="E759" s="14" t="s">
        <v>213</v>
      </c>
    </row>
    <row r="760" spans="1:7">
      <c r="A760" s="45" t="str">
        <f>IF(COUNTIF($B$2:B760,B760)=1,"ok","dup")</f>
        <v>ok</v>
      </c>
      <c r="B760" s="45" t="str">
        <f t="shared" si="11"/>
        <v>Papio_cynocephalus28</v>
      </c>
      <c r="C760" s="6" t="s">
        <v>100</v>
      </c>
      <c r="D760" s="7">
        <v>28</v>
      </c>
      <c r="E760" s="14" t="s">
        <v>211</v>
      </c>
    </row>
    <row r="761" spans="1:7">
      <c r="A761" s="45" t="str">
        <f>IF(COUNTIF($B$2:B761,B761)=1,"ok","dup")</f>
        <v>ok</v>
      </c>
      <c r="B761" s="45" t="str">
        <f t="shared" si="11"/>
        <v>Papio_cynocephalus18</v>
      </c>
      <c r="C761" s="6" t="s">
        <v>100</v>
      </c>
      <c r="D761" s="7">
        <v>18</v>
      </c>
      <c r="E761" s="14" t="s">
        <v>214</v>
      </c>
      <c r="F761" s="14" t="s">
        <v>506</v>
      </c>
    </row>
    <row r="762" spans="1:7">
      <c r="A762" s="45" t="str">
        <f>IF(COUNTIF($B$2:B762,B762)=1,"ok","dup")</f>
        <v>ok</v>
      </c>
      <c r="B762" s="45" t="str">
        <f t="shared" si="11"/>
        <v>Papio_hamadryas68</v>
      </c>
      <c r="C762" s="6" t="s">
        <v>101</v>
      </c>
      <c r="D762" s="7">
        <v>68</v>
      </c>
      <c r="E762" s="14" t="s">
        <v>216</v>
      </c>
      <c r="F762" s="14" t="s">
        <v>507</v>
      </c>
    </row>
    <row r="763" spans="1:7">
      <c r="A763" s="45" t="str">
        <f>IF(COUNTIF($B$2:B763,B763)=1,"ok","dup")</f>
        <v>ok</v>
      </c>
      <c r="B763" s="45" t="str">
        <f t="shared" si="11"/>
        <v>Papio_hamadryas51</v>
      </c>
      <c r="C763" s="6" t="s">
        <v>101</v>
      </c>
      <c r="D763" s="7">
        <v>51</v>
      </c>
      <c r="E763" s="14" t="s">
        <v>218</v>
      </c>
      <c r="F763" s="14" t="s">
        <v>503</v>
      </c>
    </row>
    <row r="764" spans="1:7">
      <c r="A764" s="45" t="str">
        <f>IF(COUNTIF($B$2:B764,B764)=1,"ok","dup")</f>
        <v>ok</v>
      </c>
      <c r="B764" s="45" t="str">
        <f t="shared" si="11"/>
        <v>Papio_hamadryas31.5</v>
      </c>
      <c r="C764" s="6" t="s">
        <v>101</v>
      </c>
      <c r="D764" s="7">
        <v>31.5</v>
      </c>
      <c r="E764" s="14" t="s">
        <v>211</v>
      </c>
      <c r="G764" s="6" t="s">
        <v>508</v>
      </c>
    </row>
    <row r="765" spans="1:7">
      <c r="A765" s="45" t="str">
        <f>IF(COUNTIF($B$2:B765,B765)=1,"ok","dup")</f>
        <v>ok</v>
      </c>
      <c r="B765" s="45" t="str">
        <f t="shared" si="11"/>
        <v>Papio_hamadryas14</v>
      </c>
      <c r="C765" s="6" t="s">
        <v>101</v>
      </c>
      <c r="D765" s="7">
        <v>14</v>
      </c>
      <c r="E765" s="14" t="s">
        <v>214</v>
      </c>
      <c r="F765" s="14" t="s">
        <v>509</v>
      </c>
    </row>
    <row r="766" spans="1:7">
      <c r="A766" s="45" t="str">
        <f>IF(COUNTIF($B$2:B766,B766)=1,"ok","dup")</f>
        <v>ok</v>
      </c>
      <c r="B766" s="45" t="str">
        <f t="shared" si="11"/>
        <v>Papio_papio240</v>
      </c>
      <c r="C766" s="6" t="s">
        <v>510</v>
      </c>
      <c r="D766" s="7">
        <v>240</v>
      </c>
      <c r="E766" s="14" t="s">
        <v>218</v>
      </c>
      <c r="F766" s="14" t="s">
        <v>511</v>
      </c>
    </row>
    <row r="767" spans="1:7">
      <c r="A767" s="45" t="str">
        <f>IF(COUNTIF($B$2:B767,B767)=1,"ok","dup")</f>
        <v>ok</v>
      </c>
      <c r="B767" s="45" t="str">
        <f t="shared" si="11"/>
        <v>Papio_papio50</v>
      </c>
      <c r="C767" s="6" t="s">
        <v>510</v>
      </c>
      <c r="D767" s="7">
        <v>50</v>
      </c>
      <c r="E767" s="14" t="s">
        <v>213</v>
      </c>
    </row>
    <row r="768" spans="1:7">
      <c r="A768" s="45" t="str">
        <f>IF(COUNTIF($B$2:B768,B768)=1,"ok","dup")</f>
        <v>ok</v>
      </c>
      <c r="B768" s="45" t="str">
        <f t="shared" si="11"/>
        <v>Papio_papio120</v>
      </c>
      <c r="C768" s="6" t="s">
        <v>510</v>
      </c>
      <c r="D768" s="7">
        <v>120</v>
      </c>
      <c r="E768" s="14" t="s">
        <v>211</v>
      </c>
    </row>
    <row r="769" spans="1:6">
      <c r="A769" s="45" t="str">
        <f>IF(COUNTIF($B$2:B769,B769)=1,"ok","dup")</f>
        <v>ok</v>
      </c>
      <c r="B769" s="45" t="str">
        <f t="shared" si="11"/>
        <v>Papio_ursinus45</v>
      </c>
      <c r="C769" s="6" t="s">
        <v>512</v>
      </c>
      <c r="D769" s="7">
        <v>45</v>
      </c>
      <c r="E769" s="14" t="s">
        <v>216</v>
      </c>
      <c r="F769" s="14" t="s">
        <v>435</v>
      </c>
    </row>
    <row r="770" spans="1:6">
      <c r="A770" s="45" t="str">
        <f>IF(COUNTIF($B$2:B770,B770)=1,"ok","dup")</f>
        <v>ok</v>
      </c>
      <c r="B770" s="45" t="str">
        <f t="shared" ref="B770:B833" si="12">C770&amp;D770</f>
        <v>Papio_ursinus47.2</v>
      </c>
      <c r="C770" s="6" t="s">
        <v>512</v>
      </c>
      <c r="D770" s="7">
        <v>47.2</v>
      </c>
      <c r="E770" s="14" t="s">
        <v>216</v>
      </c>
      <c r="F770" s="14" t="s">
        <v>435</v>
      </c>
    </row>
    <row r="771" spans="1:6">
      <c r="A771" s="45" t="str">
        <f>IF(COUNTIF($B$2:B771,B771)=1,"ok","dup")</f>
        <v>ok</v>
      </c>
      <c r="B771" s="45" t="str">
        <f t="shared" si="12"/>
        <v>Papio_ursinus24</v>
      </c>
      <c r="C771" s="6" t="s">
        <v>512</v>
      </c>
      <c r="D771" s="7">
        <v>24</v>
      </c>
      <c r="E771" s="14" t="s">
        <v>212</v>
      </c>
    </row>
    <row r="772" spans="1:6">
      <c r="A772" s="45" t="str">
        <f>IF(COUNTIF($B$2:B772,B772)=1,"ok","dup")</f>
        <v>ok</v>
      </c>
      <c r="B772" s="45" t="str">
        <f t="shared" si="12"/>
        <v>Papio_ursinus42.7</v>
      </c>
      <c r="C772" s="6" t="s">
        <v>512</v>
      </c>
      <c r="D772" s="7">
        <v>42.7</v>
      </c>
      <c r="E772" s="14" t="s">
        <v>212</v>
      </c>
    </row>
    <row r="773" spans="1:6">
      <c r="A773" s="45" t="str">
        <f>IF(COUNTIF($B$2:B773,B773)=1,"ok","dup")</f>
        <v>dup</v>
      </c>
      <c r="B773" s="45" t="str">
        <f t="shared" si="12"/>
        <v>Papio_ursinus45</v>
      </c>
      <c r="C773" s="6" t="s">
        <v>512</v>
      </c>
      <c r="D773" s="7">
        <v>45</v>
      </c>
      <c r="E773" s="14" t="s">
        <v>212</v>
      </c>
    </row>
    <row r="774" spans="1:6">
      <c r="A774" s="45" t="str">
        <f>IF(COUNTIF($B$2:B774,B774)=1,"ok","dup")</f>
        <v>dup</v>
      </c>
      <c r="B774" s="45" t="str">
        <f t="shared" si="12"/>
        <v>Papio_ursinus47.2</v>
      </c>
      <c r="C774" s="6" t="s">
        <v>512</v>
      </c>
      <c r="D774" s="7">
        <v>47.2</v>
      </c>
      <c r="E774" s="14" t="s">
        <v>212</v>
      </c>
    </row>
    <row r="775" spans="1:6">
      <c r="A775" s="45" t="str">
        <f>IF(COUNTIF($B$2:B775,B775)=1,"ok","dup")</f>
        <v>ok</v>
      </c>
      <c r="B775" s="45" t="str">
        <f t="shared" si="12"/>
        <v>Papio_ursinus79</v>
      </c>
      <c r="C775" s="6" t="s">
        <v>512</v>
      </c>
      <c r="D775" s="7">
        <v>79</v>
      </c>
      <c r="E775" s="14" t="s">
        <v>212</v>
      </c>
    </row>
    <row r="776" spans="1:6">
      <c r="A776" s="45" t="str">
        <f>IF(COUNTIF($B$2:B776,B776)=1,"ok","dup")</f>
        <v>ok</v>
      </c>
      <c r="B776" s="45" t="str">
        <f t="shared" si="12"/>
        <v>Papio_ursinus48</v>
      </c>
      <c r="C776" s="6" t="s">
        <v>512</v>
      </c>
      <c r="D776" s="7">
        <v>48</v>
      </c>
      <c r="E776" s="14" t="s">
        <v>218</v>
      </c>
      <c r="F776" s="14" t="s">
        <v>491</v>
      </c>
    </row>
    <row r="777" spans="1:6">
      <c r="A777" s="45" t="str">
        <f>IF(COUNTIF($B$2:B777,B777)=1,"ok","dup")</f>
        <v>ok</v>
      </c>
      <c r="B777" s="45" t="str">
        <f t="shared" si="12"/>
        <v>Papio_ursinus41</v>
      </c>
      <c r="C777" s="6" t="s">
        <v>512</v>
      </c>
      <c r="D777" s="7">
        <v>41</v>
      </c>
      <c r="E777" s="14" t="s">
        <v>213</v>
      </c>
    </row>
    <row r="778" spans="1:6">
      <c r="A778" s="45" t="str">
        <f>IF(COUNTIF($B$2:B778,B778)=1,"ok","dup")</f>
        <v>ok</v>
      </c>
      <c r="B778" s="45" t="str">
        <f t="shared" si="12"/>
        <v>Papio_ursinus35</v>
      </c>
      <c r="C778" s="6" t="s">
        <v>512</v>
      </c>
      <c r="D778" s="7">
        <v>35</v>
      </c>
      <c r="E778" s="14" t="s">
        <v>211</v>
      </c>
    </row>
    <row r="779" spans="1:6">
      <c r="A779" s="45" t="str">
        <f>IF(COUNTIF($B$2:B779,B779)=1,"ok","dup")</f>
        <v>ok</v>
      </c>
      <c r="B779" s="45" t="str">
        <f t="shared" si="12"/>
        <v>Papio_ursinus8</v>
      </c>
      <c r="C779" s="6" t="s">
        <v>512</v>
      </c>
      <c r="D779" s="7">
        <v>8</v>
      </c>
      <c r="E779" s="14" t="s">
        <v>214</v>
      </c>
      <c r="F779" s="14" t="s">
        <v>513</v>
      </c>
    </row>
    <row r="780" spans="1:6">
      <c r="A780" s="45" t="str">
        <f>IF(COUNTIF($B$2:B780,B780)=1,"ok","dup")</f>
        <v>ok</v>
      </c>
      <c r="B780" s="45" t="str">
        <f t="shared" si="12"/>
        <v>Perodicticus_potto1</v>
      </c>
      <c r="C780" s="6" t="s">
        <v>102</v>
      </c>
      <c r="D780" s="7">
        <v>1</v>
      </c>
      <c r="E780" s="14" t="s">
        <v>213</v>
      </c>
    </row>
    <row r="781" spans="1:6">
      <c r="A781" s="45" t="str">
        <f>IF(COUNTIF($B$2:B781,B781)=1,"ok","dup")</f>
        <v>ok</v>
      </c>
      <c r="B781" s="45" t="str">
        <f t="shared" si="12"/>
        <v>Perodicticus_potto1.5</v>
      </c>
      <c r="C781" s="6" t="s">
        <v>102</v>
      </c>
      <c r="D781" s="7">
        <v>1.5</v>
      </c>
      <c r="E781" s="14" t="s">
        <v>211</v>
      </c>
    </row>
    <row r="782" spans="1:6">
      <c r="A782" s="45" t="str">
        <f>IF(COUNTIF($B$2:B782,B782)=1,"ok","dup")</f>
        <v>ok</v>
      </c>
      <c r="B782" s="45" t="str">
        <f t="shared" si="12"/>
        <v>Piliocolobus_badius20</v>
      </c>
      <c r="C782" s="6" t="s">
        <v>103</v>
      </c>
      <c r="D782" s="7">
        <v>20</v>
      </c>
      <c r="E782" s="14" t="s">
        <v>216</v>
      </c>
      <c r="F782" s="14" t="s">
        <v>359</v>
      </c>
    </row>
    <row r="783" spans="1:6">
      <c r="A783" s="45" t="str">
        <f>IF(COUNTIF($B$2:B783,B783)=1,"ok","dup")</f>
        <v>ok</v>
      </c>
      <c r="B783" s="45" t="str">
        <f t="shared" si="12"/>
        <v>Piliocolobus_badius34</v>
      </c>
      <c r="C783" s="6" t="s">
        <v>103</v>
      </c>
      <c r="D783" s="7">
        <v>34</v>
      </c>
      <c r="E783" s="14" t="s">
        <v>216</v>
      </c>
      <c r="F783" s="14" t="s">
        <v>359</v>
      </c>
    </row>
    <row r="784" spans="1:6">
      <c r="A784" s="45" t="str">
        <f>IF(COUNTIF($B$2:B784,B784)=1,"ok","dup")</f>
        <v>dup</v>
      </c>
      <c r="B784" s="45" t="str">
        <f t="shared" si="12"/>
        <v>Piliocolobus_badius20</v>
      </c>
      <c r="C784" s="6" t="s">
        <v>103</v>
      </c>
      <c r="D784" s="7">
        <v>20</v>
      </c>
      <c r="E784" s="14" t="s">
        <v>212</v>
      </c>
    </row>
    <row r="785" spans="1:7">
      <c r="A785" s="45" t="str">
        <f>IF(COUNTIF($B$2:B785,B785)=1,"ok","dup")</f>
        <v>ok</v>
      </c>
      <c r="B785" s="45" t="str">
        <f t="shared" si="12"/>
        <v>Piliocolobus_badius24.2</v>
      </c>
      <c r="C785" s="6" t="s">
        <v>103</v>
      </c>
      <c r="D785" s="7">
        <v>24.2</v>
      </c>
      <c r="E785" s="14" t="s">
        <v>218</v>
      </c>
      <c r="F785" s="14" t="s">
        <v>514</v>
      </c>
    </row>
    <row r="786" spans="1:7">
      <c r="A786" s="45" t="str">
        <f>IF(COUNTIF($B$2:B786,B786)=1,"ok","dup")</f>
        <v>ok</v>
      </c>
      <c r="B786" s="45" t="str">
        <f t="shared" si="12"/>
        <v>Piliocolobus_badius50</v>
      </c>
      <c r="C786" s="6" t="s">
        <v>103</v>
      </c>
      <c r="D786" s="7">
        <v>50</v>
      </c>
      <c r="E786" s="14" t="s">
        <v>213</v>
      </c>
    </row>
    <row r="787" spans="1:7">
      <c r="A787" s="45" t="str">
        <f>IF(COUNTIF($B$2:B787,B787)=1,"ok","dup")</f>
        <v>ok</v>
      </c>
      <c r="B787" s="45" t="str">
        <f t="shared" si="12"/>
        <v>Piliocolobus_badius49.5</v>
      </c>
      <c r="C787" s="6" t="s">
        <v>103</v>
      </c>
      <c r="D787" s="7">
        <v>49.5</v>
      </c>
      <c r="E787" s="14" t="s">
        <v>211</v>
      </c>
    </row>
    <row r="788" spans="1:7">
      <c r="A788" s="45" t="str">
        <f>IF(COUNTIF($B$2:B788,B788)=1,"ok","dup")</f>
        <v>ok</v>
      </c>
      <c r="B788" s="45" t="str">
        <f t="shared" si="12"/>
        <v>Piliocolobus_badius10</v>
      </c>
      <c r="C788" s="6" t="s">
        <v>103</v>
      </c>
      <c r="D788" s="7">
        <v>10</v>
      </c>
      <c r="E788" s="14" t="s">
        <v>220</v>
      </c>
      <c r="F788" s="14" t="s">
        <v>515</v>
      </c>
    </row>
    <row r="789" spans="1:7">
      <c r="A789" s="45" t="str">
        <f>IF(COUNTIF($B$2:B789,B789)=1,"ok","dup")</f>
        <v>ok</v>
      </c>
      <c r="B789" s="45" t="str">
        <f t="shared" si="12"/>
        <v>Piliocolobus_badius10.8</v>
      </c>
      <c r="C789" s="6" t="s">
        <v>103</v>
      </c>
      <c r="D789" s="7">
        <v>10.8</v>
      </c>
      <c r="E789" s="14" t="s">
        <v>220</v>
      </c>
      <c r="F789" s="14" t="s">
        <v>516</v>
      </c>
      <c r="G789" s="6" t="s">
        <v>330</v>
      </c>
    </row>
    <row r="790" spans="1:7">
      <c r="A790" s="45" t="str">
        <f>IF(COUNTIF($B$2:B790,B790)=1,"ok","dup")</f>
        <v>dup</v>
      </c>
      <c r="B790" s="45" t="str">
        <f t="shared" si="12"/>
        <v>Piliocolobus_badius10.8</v>
      </c>
      <c r="C790" s="6" t="s">
        <v>103</v>
      </c>
      <c r="D790" s="7">
        <v>10.8</v>
      </c>
      <c r="E790" s="14" t="s">
        <v>220</v>
      </c>
      <c r="F790" s="14" t="s">
        <v>517</v>
      </c>
      <c r="G790" s="6" t="s">
        <v>225</v>
      </c>
    </row>
    <row r="791" spans="1:7">
      <c r="A791" s="45" t="str">
        <f>IF(COUNTIF($B$2:B791,B791)=1,"ok","dup")</f>
        <v>ok</v>
      </c>
      <c r="B791" s="45" t="str">
        <f t="shared" si="12"/>
        <v>Piliocolobus_badius16</v>
      </c>
      <c r="C791" s="6" t="s">
        <v>103</v>
      </c>
      <c r="D791" s="7">
        <v>16</v>
      </c>
      <c r="E791" s="14" t="s">
        <v>220</v>
      </c>
      <c r="F791" s="14" t="s">
        <v>515</v>
      </c>
      <c r="G791" s="6" t="s">
        <v>222</v>
      </c>
    </row>
    <row r="792" spans="1:7">
      <c r="A792" s="45" t="str">
        <f>IF(COUNTIF($B$2:B792,B792)=1,"ok","dup")</f>
        <v>ok</v>
      </c>
      <c r="B792" s="45" t="str">
        <f t="shared" si="12"/>
        <v>Piliocolobus_badius16.5</v>
      </c>
      <c r="C792" s="6" t="s">
        <v>103</v>
      </c>
      <c r="D792" s="7">
        <v>16.5</v>
      </c>
      <c r="E792" s="14" t="s">
        <v>220</v>
      </c>
      <c r="F792" s="14" t="s">
        <v>518</v>
      </c>
      <c r="G792" s="6" t="s">
        <v>225</v>
      </c>
    </row>
    <row r="793" spans="1:7">
      <c r="A793" s="45" t="str">
        <f>IF(COUNTIF($B$2:B793,B793)=1,"ok","dup")</f>
        <v>ok</v>
      </c>
      <c r="B793" s="45" t="str">
        <f t="shared" si="12"/>
        <v>Piliocolobus_badius17</v>
      </c>
      <c r="C793" s="6" t="s">
        <v>103</v>
      </c>
      <c r="D793" s="7">
        <v>17</v>
      </c>
      <c r="E793" s="14" t="s">
        <v>220</v>
      </c>
      <c r="F793" s="14" t="s">
        <v>519</v>
      </c>
      <c r="G793" s="6" t="s">
        <v>222</v>
      </c>
    </row>
    <row r="794" spans="1:7">
      <c r="A794" s="45" t="str">
        <f>IF(COUNTIF($B$2:B794,B794)=1,"ok","dup")</f>
        <v>ok</v>
      </c>
      <c r="B794" s="45" t="str">
        <f t="shared" si="12"/>
        <v>Piliocolobus_badius18</v>
      </c>
      <c r="C794" s="6" t="s">
        <v>103</v>
      </c>
      <c r="D794" s="7">
        <v>18</v>
      </c>
      <c r="E794" s="14" t="s">
        <v>220</v>
      </c>
      <c r="F794" s="14" t="s">
        <v>520</v>
      </c>
      <c r="G794" s="6" t="s">
        <v>330</v>
      </c>
    </row>
    <row r="795" spans="1:7">
      <c r="A795" s="45" t="str">
        <f>IF(COUNTIF($B$2:B795,B795)=1,"ok","dup")</f>
        <v>dup</v>
      </c>
      <c r="B795" s="45" t="str">
        <f t="shared" si="12"/>
        <v>Piliocolobus_badius18</v>
      </c>
      <c r="C795" s="6" t="s">
        <v>103</v>
      </c>
      <c r="D795" s="7">
        <v>18</v>
      </c>
      <c r="E795" s="14" t="s">
        <v>220</v>
      </c>
      <c r="F795" s="14" t="s">
        <v>520</v>
      </c>
      <c r="G795" s="6" t="s">
        <v>225</v>
      </c>
    </row>
    <row r="796" spans="1:7">
      <c r="A796" s="45" t="str">
        <f>IF(COUNTIF($B$2:B796,B796)=1,"ok","dup")</f>
        <v>ok</v>
      </c>
      <c r="B796" s="45" t="str">
        <f t="shared" si="12"/>
        <v>Piliocolobus_badius19</v>
      </c>
      <c r="C796" s="6" t="s">
        <v>103</v>
      </c>
      <c r="D796" s="7">
        <v>19</v>
      </c>
      <c r="E796" s="14" t="s">
        <v>220</v>
      </c>
      <c r="F796" s="14" t="s">
        <v>515</v>
      </c>
    </row>
    <row r="797" spans="1:7">
      <c r="A797" s="45" t="str">
        <f>IF(COUNTIF($B$2:B797,B797)=1,"ok","dup")</f>
        <v>dup</v>
      </c>
      <c r="B797" s="45" t="str">
        <f t="shared" si="12"/>
        <v>Piliocolobus_badius20</v>
      </c>
      <c r="C797" s="6" t="s">
        <v>103</v>
      </c>
      <c r="D797" s="7">
        <v>20</v>
      </c>
      <c r="E797" s="14" t="s">
        <v>220</v>
      </c>
      <c r="F797" s="14" t="s">
        <v>521</v>
      </c>
      <c r="G797" s="6" t="s">
        <v>228</v>
      </c>
    </row>
    <row r="798" spans="1:7">
      <c r="A798" s="45" t="str">
        <f>IF(COUNTIF($B$2:B798,B798)=1,"ok","dup")</f>
        <v>dup</v>
      </c>
      <c r="B798" s="45" t="str">
        <f t="shared" si="12"/>
        <v>Piliocolobus_badius20</v>
      </c>
      <c r="C798" s="6" t="s">
        <v>103</v>
      </c>
      <c r="D798" s="7">
        <v>20</v>
      </c>
      <c r="E798" s="14" t="s">
        <v>220</v>
      </c>
      <c r="F798" s="14" t="s">
        <v>325</v>
      </c>
    </row>
    <row r="799" spans="1:7">
      <c r="A799" s="45" t="str">
        <f>IF(COUNTIF($B$2:B799,B799)=1,"ok","dup")</f>
        <v>ok</v>
      </c>
      <c r="B799" s="45" t="str">
        <f t="shared" si="12"/>
        <v>Piliocolobus_badius20.2</v>
      </c>
      <c r="C799" s="6" t="s">
        <v>103</v>
      </c>
      <c r="D799" s="7">
        <v>20.2</v>
      </c>
      <c r="E799" s="14" t="s">
        <v>220</v>
      </c>
      <c r="F799" s="14" t="s">
        <v>518</v>
      </c>
      <c r="G799" s="6" t="s">
        <v>239</v>
      </c>
    </row>
    <row r="800" spans="1:7">
      <c r="A800" s="45" t="str">
        <f>IF(COUNTIF($B$2:B800,B800)=1,"ok","dup")</f>
        <v>ok</v>
      </c>
      <c r="B800" s="45" t="str">
        <f t="shared" si="12"/>
        <v>Piliocolobus_badius24</v>
      </c>
      <c r="C800" s="6" t="s">
        <v>103</v>
      </c>
      <c r="D800" s="7">
        <v>24</v>
      </c>
      <c r="E800" s="14" t="s">
        <v>220</v>
      </c>
      <c r="F800" s="14" t="s">
        <v>522</v>
      </c>
      <c r="G800" s="6" t="s">
        <v>222</v>
      </c>
    </row>
    <row r="801" spans="1:7">
      <c r="A801" s="45" t="str">
        <f>IF(COUNTIF($B$2:B801,B801)=1,"ok","dup")</f>
        <v>dup</v>
      </c>
      <c r="B801" s="45" t="str">
        <f t="shared" si="12"/>
        <v>Piliocolobus_badius24</v>
      </c>
      <c r="C801" s="6" t="s">
        <v>103</v>
      </c>
      <c r="D801" s="7">
        <v>24</v>
      </c>
      <c r="E801" s="14" t="s">
        <v>220</v>
      </c>
      <c r="F801" s="14" t="s">
        <v>522</v>
      </c>
    </row>
    <row r="802" spans="1:7">
      <c r="A802" s="45" t="str">
        <f>IF(COUNTIF($B$2:B802,B802)=1,"ok","dup")</f>
        <v>ok</v>
      </c>
      <c r="B802" s="45" t="str">
        <f t="shared" si="12"/>
        <v>Piliocolobus_badius26</v>
      </c>
      <c r="C802" s="6" t="s">
        <v>103</v>
      </c>
      <c r="D802" s="7">
        <v>26</v>
      </c>
      <c r="E802" s="14" t="s">
        <v>220</v>
      </c>
      <c r="F802" s="14" t="s">
        <v>369</v>
      </c>
      <c r="G802" s="6" t="s">
        <v>330</v>
      </c>
    </row>
    <row r="803" spans="1:7">
      <c r="A803" s="45" t="str">
        <f>IF(COUNTIF($B$2:B803,B803)=1,"ok","dup")</f>
        <v>ok</v>
      </c>
      <c r="B803" s="45" t="str">
        <f t="shared" si="12"/>
        <v>Piliocolobus_badius27.7</v>
      </c>
      <c r="C803" s="6" t="s">
        <v>103</v>
      </c>
      <c r="D803" s="7">
        <v>27.7</v>
      </c>
      <c r="E803" s="14" t="s">
        <v>220</v>
      </c>
      <c r="F803" s="14" t="s">
        <v>515</v>
      </c>
      <c r="G803" s="6" t="s">
        <v>330</v>
      </c>
    </row>
    <row r="804" spans="1:7">
      <c r="A804" s="45" t="str">
        <f>IF(COUNTIF($B$2:B804,B804)=1,"ok","dup")</f>
        <v>ok</v>
      </c>
      <c r="B804" s="45" t="str">
        <f t="shared" si="12"/>
        <v>Piliocolobus_badius29</v>
      </c>
      <c r="C804" s="6" t="s">
        <v>103</v>
      </c>
      <c r="D804" s="7">
        <v>29</v>
      </c>
      <c r="E804" s="14" t="s">
        <v>220</v>
      </c>
      <c r="F804" s="14" t="s">
        <v>523</v>
      </c>
      <c r="G804" s="6" t="s">
        <v>225</v>
      </c>
    </row>
    <row r="805" spans="1:7">
      <c r="A805" s="45" t="str">
        <f>IF(COUNTIF($B$2:B805,B805)=1,"ok","dup")</f>
        <v>ok</v>
      </c>
      <c r="B805" s="45" t="str">
        <f t="shared" si="12"/>
        <v>Piliocolobus_badius31</v>
      </c>
      <c r="C805" s="6" t="s">
        <v>103</v>
      </c>
      <c r="D805" s="7">
        <v>31</v>
      </c>
      <c r="E805" s="14" t="s">
        <v>220</v>
      </c>
      <c r="F805" s="14" t="s">
        <v>325</v>
      </c>
    </row>
    <row r="806" spans="1:7">
      <c r="A806" s="45" t="str">
        <f>IF(COUNTIF($B$2:B806,B806)=1,"ok","dup")</f>
        <v>ok</v>
      </c>
      <c r="B806" s="45" t="str">
        <f t="shared" si="12"/>
        <v>Piliocolobus_badius32</v>
      </c>
      <c r="C806" s="6" t="s">
        <v>103</v>
      </c>
      <c r="D806" s="7">
        <v>32</v>
      </c>
      <c r="E806" s="14" t="s">
        <v>220</v>
      </c>
      <c r="F806" s="14" t="s">
        <v>519</v>
      </c>
      <c r="G806" s="6" t="s">
        <v>222</v>
      </c>
    </row>
    <row r="807" spans="1:7">
      <c r="A807" s="45" t="str">
        <f>IF(COUNTIF($B$2:B807,B807)=1,"ok","dup")</f>
        <v>dup</v>
      </c>
      <c r="B807" s="45" t="str">
        <f t="shared" si="12"/>
        <v>Piliocolobus_badius32</v>
      </c>
      <c r="C807" s="6" t="s">
        <v>103</v>
      </c>
      <c r="D807" s="7">
        <v>32</v>
      </c>
      <c r="E807" s="14" t="s">
        <v>220</v>
      </c>
      <c r="F807" s="14" t="s">
        <v>524</v>
      </c>
      <c r="G807" s="6" t="s">
        <v>225</v>
      </c>
    </row>
    <row r="808" spans="1:7">
      <c r="A808" s="45" t="str">
        <f>IF(COUNTIF($B$2:B808,B808)=1,"ok","dup")</f>
        <v>ok</v>
      </c>
      <c r="B808" s="45" t="str">
        <f t="shared" si="12"/>
        <v>Piliocolobus_badius33.6</v>
      </c>
      <c r="C808" s="6" t="s">
        <v>103</v>
      </c>
      <c r="D808" s="7">
        <v>33.6</v>
      </c>
      <c r="E808" s="14" t="s">
        <v>220</v>
      </c>
      <c r="F808" s="14" t="s">
        <v>525</v>
      </c>
      <c r="G808" s="6" t="s">
        <v>330</v>
      </c>
    </row>
    <row r="809" spans="1:7">
      <c r="A809" s="45" t="str">
        <f>IF(COUNTIF($B$2:B809,B809)=1,"ok","dup")</f>
        <v>dup</v>
      </c>
      <c r="B809" s="45" t="str">
        <f t="shared" si="12"/>
        <v>Piliocolobus_badius34</v>
      </c>
      <c r="C809" s="6" t="s">
        <v>103</v>
      </c>
      <c r="D809" s="7">
        <v>34</v>
      </c>
      <c r="E809" s="14" t="s">
        <v>220</v>
      </c>
      <c r="F809" s="14" t="s">
        <v>521</v>
      </c>
      <c r="G809" s="6" t="s">
        <v>228</v>
      </c>
    </row>
    <row r="810" spans="1:7">
      <c r="A810" s="45" t="str">
        <f>IF(COUNTIF($B$2:B810,B810)=1,"ok","dup")</f>
        <v>dup</v>
      </c>
      <c r="B810" s="45" t="str">
        <f t="shared" si="12"/>
        <v>Piliocolobus_badius34</v>
      </c>
      <c r="C810" s="6" t="s">
        <v>103</v>
      </c>
      <c r="D810" s="7">
        <v>34</v>
      </c>
      <c r="E810" s="14" t="s">
        <v>220</v>
      </c>
      <c r="F810" s="14" t="s">
        <v>526</v>
      </c>
      <c r="G810" s="6" t="s">
        <v>330</v>
      </c>
    </row>
    <row r="811" spans="1:7">
      <c r="A811" s="45" t="str">
        <f>IF(COUNTIF($B$2:B811,B811)=1,"ok","dup")</f>
        <v>dup</v>
      </c>
      <c r="B811" s="45" t="str">
        <f t="shared" si="12"/>
        <v>Piliocolobus_badius34</v>
      </c>
      <c r="C811" s="6" t="s">
        <v>103</v>
      </c>
      <c r="D811" s="7">
        <v>34</v>
      </c>
      <c r="E811" s="14" t="s">
        <v>220</v>
      </c>
      <c r="F811" s="14" t="s">
        <v>527</v>
      </c>
      <c r="G811" s="6" t="s">
        <v>330</v>
      </c>
    </row>
    <row r="812" spans="1:7">
      <c r="A812" s="45" t="str">
        <f>IF(COUNTIF($B$2:B812,B812)=1,"ok","dup")</f>
        <v>ok</v>
      </c>
      <c r="B812" s="45" t="str">
        <f t="shared" si="12"/>
        <v>Piliocolobus_badius34.4</v>
      </c>
      <c r="C812" s="6" t="s">
        <v>103</v>
      </c>
      <c r="D812" s="7">
        <v>34.4</v>
      </c>
      <c r="E812" s="14" t="s">
        <v>220</v>
      </c>
      <c r="F812" s="14" t="s">
        <v>528</v>
      </c>
      <c r="G812" s="6" t="s">
        <v>226</v>
      </c>
    </row>
    <row r="813" spans="1:7">
      <c r="A813" s="45" t="str">
        <f>IF(COUNTIF($B$2:B813,B813)=1,"ok","dup")</f>
        <v>ok</v>
      </c>
      <c r="B813" s="45" t="str">
        <f t="shared" si="12"/>
        <v>Piliocolobus_badius35</v>
      </c>
      <c r="C813" s="6" t="s">
        <v>103</v>
      </c>
      <c r="D813" s="7">
        <v>35</v>
      </c>
      <c r="E813" s="14" t="s">
        <v>220</v>
      </c>
      <c r="F813" s="14" t="s">
        <v>529</v>
      </c>
      <c r="G813" s="6" t="s">
        <v>330</v>
      </c>
    </row>
    <row r="814" spans="1:7">
      <c r="A814" s="45" t="str">
        <f>IF(COUNTIF($B$2:B814,B814)=1,"ok","dup")</f>
        <v>dup</v>
      </c>
      <c r="B814" s="45" t="str">
        <f t="shared" si="12"/>
        <v>Piliocolobus_badius35</v>
      </c>
      <c r="C814" s="6" t="s">
        <v>103</v>
      </c>
      <c r="D814" s="7">
        <v>35</v>
      </c>
      <c r="E814" s="14" t="s">
        <v>220</v>
      </c>
      <c r="F814" s="14" t="s">
        <v>530</v>
      </c>
      <c r="G814" s="6" t="s">
        <v>225</v>
      </c>
    </row>
    <row r="815" spans="1:7">
      <c r="A815" s="45" t="str">
        <f>IF(COUNTIF($B$2:B815,B815)=1,"ok","dup")</f>
        <v>ok</v>
      </c>
      <c r="B815" s="45" t="str">
        <f t="shared" si="12"/>
        <v>Piliocolobus_badius37</v>
      </c>
      <c r="C815" s="6" t="s">
        <v>103</v>
      </c>
      <c r="D815" s="7">
        <v>37</v>
      </c>
      <c r="E815" s="14" t="s">
        <v>220</v>
      </c>
      <c r="F815" s="14" t="s">
        <v>325</v>
      </c>
    </row>
    <row r="816" spans="1:7">
      <c r="A816" s="45" t="str">
        <f>IF(COUNTIF($B$2:B816,B816)=1,"ok","dup")</f>
        <v>ok</v>
      </c>
      <c r="B816" s="45" t="str">
        <f t="shared" si="12"/>
        <v>Piliocolobus_badius40</v>
      </c>
      <c r="C816" s="6" t="s">
        <v>103</v>
      </c>
      <c r="D816" s="7">
        <v>40</v>
      </c>
      <c r="E816" s="14" t="s">
        <v>220</v>
      </c>
      <c r="F816" s="14" t="s">
        <v>531</v>
      </c>
      <c r="G816" s="6" t="s">
        <v>330</v>
      </c>
    </row>
    <row r="817" spans="1:7">
      <c r="A817" s="45" t="str">
        <f>IF(COUNTIF($B$2:B817,B817)=1,"ok","dup")</f>
        <v>ok</v>
      </c>
      <c r="B817" s="45" t="str">
        <f t="shared" si="12"/>
        <v>Piliocolobus_badius48</v>
      </c>
      <c r="C817" s="6" t="s">
        <v>103</v>
      </c>
      <c r="D817" s="7">
        <v>48</v>
      </c>
      <c r="E817" s="14" t="s">
        <v>220</v>
      </c>
      <c r="F817" s="14" t="s">
        <v>522</v>
      </c>
      <c r="G817" s="6" t="s">
        <v>222</v>
      </c>
    </row>
    <row r="818" spans="1:7">
      <c r="A818" s="45" t="str">
        <f>IF(COUNTIF($B$2:B818,B818)=1,"ok","dup")</f>
        <v>dup</v>
      </c>
      <c r="B818" s="45" t="str">
        <f t="shared" si="12"/>
        <v>Piliocolobus_badius48</v>
      </c>
      <c r="C818" s="6" t="s">
        <v>103</v>
      </c>
      <c r="D818" s="7">
        <v>48</v>
      </c>
      <c r="E818" s="14" t="s">
        <v>220</v>
      </c>
      <c r="F818" s="14" t="s">
        <v>522</v>
      </c>
    </row>
    <row r="819" spans="1:7">
      <c r="A819" s="45" t="str">
        <f>IF(COUNTIF($B$2:B819,B819)=1,"ok","dup")</f>
        <v>dup</v>
      </c>
      <c r="B819" s="45" t="str">
        <f t="shared" si="12"/>
        <v>Piliocolobus_badius50</v>
      </c>
      <c r="C819" s="6" t="s">
        <v>103</v>
      </c>
      <c r="D819" s="7">
        <v>50</v>
      </c>
      <c r="E819" s="14" t="s">
        <v>220</v>
      </c>
      <c r="F819" s="14" t="s">
        <v>532</v>
      </c>
      <c r="G819" s="6" t="s">
        <v>235</v>
      </c>
    </row>
    <row r="820" spans="1:7">
      <c r="A820" s="45" t="str">
        <f>IF(COUNTIF($B$2:B820,B820)=1,"ok","dup")</f>
        <v>dup</v>
      </c>
      <c r="B820" s="45" t="str">
        <f t="shared" si="12"/>
        <v>Piliocolobus_badius50</v>
      </c>
      <c r="C820" s="6" t="s">
        <v>103</v>
      </c>
      <c r="D820" s="7">
        <v>50</v>
      </c>
      <c r="E820" s="14" t="s">
        <v>220</v>
      </c>
      <c r="F820" s="14" t="s">
        <v>518</v>
      </c>
      <c r="G820" s="6" t="s">
        <v>225</v>
      </c>
    </row>
    <row r="821" spans="1:7">
      <c r="A821" s="45" t="str">
        <f>IF(COUNTIF($B$2:B821,B821)=1,"ok","dup")</f>
        <v>ok</v>
      </c>
      <c r="B821" s="45" t="str">
        <f t="shared" si="12"/>
        <v>Piliocolobus_badius64</v>
      </c>
      <c r="C821" s="6" t="s">
        <v>103</v>
      </c>
      <c r="D821" s="7">
        <v>64</v>
      </c>
      <c r="E821" s="14" t="s">
        <v>220</v>
      </c>
      <c r="F821" s="14" t="s">
        <v>533</v>
      </c>
      <c r="G821" s="6" t="s">
        <v>330</v>
      </c>
    </row>
    <row r="822" spans="1:7">
      <c r="A822" s="45" t="str">
        <f>IF(COUNTIF($B$2:B822,B822)=1,"ok","dup")</f>
        <v>ok</v>
      </c>
      <c r="B822" s="45" t="str">
        <f t="shared" si="12"/>
        <v>Piliocolobus_badius8</v>
      </c>
      <c r="C822" s="6" t="s">
        <v>103</v>
      </c>
      <c r="D822" s="7">
        <v>8</v>
      </c>
      <c r="E822" s="14" t="s">
        <v>220</v>
      </c>
      <c r="F822" s="14" t="s">
        <v>515</v>
      </c>
      <c r="G822" s="6" t="s">
        <v>222</v>
      </c>
    </row>
    <row r="823" spans="1:7">
      <c r="A823" s="45" t="str">
        <f>IF(COUNTIF($B$2:B823,B823)=1,"ok","dup")</f>
        <v>dup</v>
      </c>
      <c r="B823" s="45" t="str">
        <f t="shared" si="12"/>
        <v>Piliocolobus_badius8</v>
      </c>
      <c r="C823" s="6" t="s">
        <v>103</v>
      </c>
      <c r="D823" s="7">
        <v>8</v>
      </c>
      <c r="E823" s="14" t="s">
        <v>220</v>
      </c>
      <c r="F823" s="14" t="s">
        <v>534</v>
      </c>
    </row>
    <row r="824" spans="1:7">
      <c r="A824" s="45" t="str">
        <f>IF(COUNTIF($B$2:B824,B824)=1,"ok","dup")</f>
        <v>ok</v>
      </c>
      <c r="B824" s="45" t="str">
        <f t="shared" si="12"/>
        <v>Piliocolobus_badius82</v>
      </c>
      <c r="C824" s="6" t="s">
        <v>103</v>
      </c>
      <c r="D824" s="7">
        <v>82</v>
      </c>
      <c r="E824" s="14" t="s">
        <v>220</v>
      </c>
      <c r="F824" s="14" t="s">
        <v>535</v>
      </c>
      <c r="G824" s="6" t="s">
        <v>225</v>
      </c>
    </row>
    <row r="825" spans="1:7">
      <c r="A825" s="45" t="str">
        <f>IF(COUNTIF($B$2:B825,B825)=1,"ok","dup")</f>
        <v>ok</v>
      </c>
      <c r="B825" s="45" t="str">
        <f t="shared" si="12"/>
        <v>Piliocolobus_badius9</v>
      </c>
      <c r="C825" s="6" t="s">
        <v>103</v>
      </c>
      <c r="D825" s="7">
        <v>9</v>
      </c>
      <c r="E825" s="14" t="s">
        <v>220</v>
      </c>
      <c r="F825" s="14" t="s">
        <v>325</v>
      </c>
    </row>
    <row r="826" spans="1:7">
      <c r="A826" s="45" t="str">
        <f>IF(COUNTIF($B$2:B826,B826)=1,"ok","dup")</f>
        <v>ok</v>
      </c>
      <c r="B826" s="45" t="str">
        <f t="shared" si="12"/>
        <v>Piliocolobus_badius9.5</v>
      </c>
      <c r="C826" s="6" t="s">
        <v>103</v>
      </c>
      <c r="D826" s="7">
        <v>9.5</v>
      </c>
      <c r="E826" s="14" t="s">
        <v>220</v>
      </c>
      <c r="F826" s="14" t="s">
        <v>525</v>
      </c>
      <c r="G826" s="6" t="s">
        <v>330</v>
      </c>
    </row>
    <row r="827" spans="1:7">
      <c r="A827" s="45" t="str">
        <f>IF(COUNTIF($B$2:B827,B827)=1,"ok","dup")</f>
        <v>dup</v>
      </c>
      <c r="B827" s="45" t="str">
        <f t="shared" si="12"/>
        <v>Piliocolobus_badius8</v>
      </c>
      <c r="C827" s="6" t="s">
        <v>103</v>
      </c>
      <c r="D827" s="7">
        <v>8</v>
      </c>
      <c r="E827" s="14" t="s">
        <v>214</v>
      </c>
      <c r="F827" s="14" t="s">
        <v>518</v>
      </c>
    </row>
    <row r="828" spans="1:7">
      <c r="A828" s="45" t="str">
        <f>IF(COUNTIF($B$2:B828,B828)=1,"ok","dup")</f>
        <v>ok</v>
      </c>
      <c r="B828" s="45" t="str">
        <f t="shared" si="12"/>
        <v>Pithecia_pithecia2.7</v>
      </c>
      <c r="C828" s="6" t="s">
        <v>105</v>
      </c>
      <c r="D828" s="7">
        <v>2.7</v>
      </c>
      <c r="E828" s="14" t="s">
        <v>212</v>
      </c>
    </row>
    <row r="829" spans="1:7">
      <c r="A829" s="45" t="str">
        <f>IF(COUNTIF($B$2:B829,B829)=1,"ok","dup")</f>
        <v>ok</v>
      </c>
      <c r="B829" s="45" t="str">
        <f t="shared" si="12"/>
        <v>Pithecia_pithecia2.6</v>
      </c>
      <c r="C829" s="6" t="s">
        <v>105</v>
      </c>
      <c r="D829" s="7">
        <v>2.6</v>
      </c>
      <c r="E829" s="14" t="s">
        <v>211</v>
      </c>
    </row>
    <row r="830" spans="1:7">
      <c r="A830" s="45" t="str">
        <f>IF(COUNTIF($B$2:B830,B830)=1,"ok","dup")</f>
        <v>ok</v>
      </c>
      <c r="B830" s="45" t="str">
        <f t="shared" si="12"/>
        <v>Pongo_abelii2</v>
      </c>
      <c r="C830" s="6" t="s">
        <v>106</v>
      </c>
      <c r="D830" s="7">
        <v>2</v>
      </c>
      <c r="E830" s="14" t="s">
        <v>211</v>
      </c>
    </row>
    <row r="831" spans="1:7">
      <c r="A831" s="45" t="str">
        <f>IF(COUNTIF($B$2:B831,B831)=1,"ok","dup")</f>
        <v>ok</v>
      </c>
      <c r="B831" s="45" t="str">
        <f t="shared" si="12"/>
        <v>Pongo_pygmaeus1.8</v>
      </c>
      <c r="C831" s="6" t="s">
        <v>107</v>
      </c>
      <c r="D831" s="7">
        <v>1.8</v>
      </c>
      <c r="E831" s="14" t="s">
        <v>216</v>
      </c>
      <c r="F831" s="14" t="s">
        <v>536</v>
      </c>
    </row>
    <row r="832" spans="1:7">
      <c r="A832" s="45" t="str">
        <f>IF(COUNTIF($B$2:B832,B832)=1,"ok","dup")</f>
        <v>ok</v>
      </c>
      <c r="B832" s="45" t="str">
        <f t="shared" si="12"/>
        <v>Pongo_pygmaeus1</v>
      </c>
      <c r="C832" s="6" t="s">
        <v>107</v>
      </c>
      <c r="D832" s="7">
        <v>1</v>
      </c>
      <c r="E832" s="14" t="s">
        <v>218</v>
      </c>
      <c r="F832" s="14" t="s">
        <v>537</v>
      </c>
    </row>
    <row r="833" spans="1:6">
      <c r="A833" s="45" t="str">
        <f>IF(COUNTIF($B$2:B833,B833)=1,"ok","dup")</f>
        <v>ok</v>
      </c>
      <c r="B833" s="45" t="str">
        <f t="shared" si="12"/>
        <v>Pongo_pygmaeus2</v>
      </c>
      <c r="C833" s="6" t="s">
        <v>107</v>
      </c>
      <c r="D833" s="7">
        <v>2</v>
      </c>
      <c r="E833" s="14" t="s">
        <v>211</v>
      </c>
    </row>
    <row r="834" spans="1:6">
      <c r="A834" s="45" t="str">
        <f>IF(COUNTIF($B$2:B834,B834)=1,"ok","dup")</f>
        <v>ok</v>
      </c>
      <c r="B834" s="45" t="str">
        <f t="shared" ref="B834:B897" si="13">C834&amp;D834</f>
        <v>Presbytis_comata7</v>
      </c>
      <c r="C834" s="6" t="s">
        <v>538</v>
      </c>
      <c r="D834" s="7">
        <v>7</v>
      </c>
      <c r="E834" s="14" t="s">
        <v>211</v>
      </c>
    </row>
    <row r="835" spans="1:6">
      <c r="A835" s="45" t="str">
        <f>IF(COUNTIF($B$2:B835,B835)=1,"ok","dup")</f>
        <v>ok</v>
      </c>
      <c r="B835" s="45" t="str">
        <f t="shared" si="13"/>
        <v>Presbytis_melalophos14</v>
      </c>
      <c r="C835" s="6" t="s">
        <v>539</v>
      </c>
      <c r="D835" s="7">
        <v>14</v>
      </c>
      <c r="E835" s="14" t="s">
        <v>216</v>
      </c>
      <c r="F835" s="14" t="s">
        <v>359</v>
      </c>
    </row>
    <row r="836" spans="1:6">
      <c r="A836" s="45" t="str">
        <f>IF(COUNTIF($B$2:B836,B836)=1,"ok","dup")</f>
        <v>ok</v>
      </c>
      <c r="B836" s="45" t="str">
        <f t="shared" si="13"/>
        <v>Presbytis_melalophos9.3</v>
      </c>
      <c r="C836" s="6" t="s">
        <v>539</v>
      </c>
      <c r="D836" s="7">
        <v>9.3000000000000007</v>
      </c>
      <c r="E836" s="14" t="s">
        <v>216</v>
      </c>
      <c r="F836" s="14" t="s">
        <v>359</v>
      </c>
    </row>
    <row r="837" spans="1:6">
      <c r="A837" s="45" t="str">
        <f>IF(COUNTIF($B$2:B837,B837)=1,"ok","dup")</f>
        <v>dup</v>
      </c>
      <c r="B837" s="45" t="str">
        <f t="shared" si="13"/>
        <v>Presbytis_melalophos14</v>
      </c>
      <c r="C837" s="6" t="s">
        <v>539</v>
      </c>
      <c r="D837" s="7">
        <v>14</v>
      </c>
      <c r="E837" s="14" t="s">
        <v>212</v>
      </c>
    </row>
    <row r="838" spans="1:6">
      <c r="A838" s="45" t="str">
        <f>IF(COUNTIF($B$2:B838,B838)=1,"ok","dup")</f>
        <v>ok</v>
      </c>
      <c r="B838" s="45" t="str">
        <f t="shared" si="13"/>
        <v>Presbytis_melalophos15</v>
      </c>
      <c r="C838" s="6" t="s">
        <v>539</v>
      </c>
      <c r="D838" s="7">
        <v>15</v>
      </c>
      <c r="E838" s="14" t="s">
        <v>212</v>
      </c>
    </row>
    <row r="839" spans="1:6">
      <c r="A839" s="45" t="str">
        <f>IF(COUNTIF($B$2:B839,B839)=1,"ok","dup")</f>
        <v>dup</v>
      </c>
      <c r="B839" s="45" t="str">
        <f t="shared" si="13"/>
        <v>Presbytis_melalophos9.3</v>
      </c>
      <c r="C839" s="6" t="s">
        <v>539</v>
      </c>
      <c r="D839" s="7">
        <v>9.3000000000000007</v>
      </c>
      <c r="E839" s="14" t="s">
        <v>212</v>
      </c>
    </row>
    <row r="840" spans="1:6">
      <c r="A840" s="45" t="str">
        <f>IF(COUNTIF($B$2:B840,B840)=1,"ok","dup")</f>
        <v>dup</v>
      </c>
      <c r="B840" s="45" t="str">
        <f t="shared" si="13"/>
        <v>Presbytis_melalophos15</v>
      </c>
      <c r="C840" s="6" t="s">
        <v>539</v>
      </c>
      <c r="D840" s="7">
        <v>15</v>
      </c>
      <c r="E840" s="14" t="s">
        <v>211</v>
      </c>
    </row>
    <row r="841" spans="1:6">
      <c r="A841" s="45" t="str">
        <f>IF(COUNTIF($B$2:B841,B841)=1,"ok","dup")</f>
        <v>ok</v>
      </c>
      <c r="B841" s="45" t="str">
        <f t="shared" si="13"/>
        <v>Presbytis_potenziani4</v>
      </c>
      <c r="C841" s="6" t="s">
        <v>540</v>
      </c>
      <c r="D841" s="7">
        <v>4</v>
      </c>
      <c r="E841" s="14" t="s">
        <v>211</v>
      </c>
    </row>
    <row r="842" spans="1:6">
      <c r="A842" s="45" t="str">
        <f>IF(COUNTIF($B$2:B842,B842)=1,"ok","dup")</f>
        <v>ok</v>
      </c>
      <c r="B842" s="45" t="str">
        <f t="shared" si="13"/>
        <v>Procolobus_verus8</v>
      </c>
      <c r="C842" s="6" t="s">
        <v>541</v>
      </c>
      <c r="D842" s="7">
        <v>8</v>
      </c>
      <c r="E842" s="14" t="s">
        <v>211</v>
      </c>
    </row>
    <row r="843" spans="1:6">
      <c r="A843" s="45" t="str">
        <f>IF(COUNTIF($B$2:B843,B843)=1,"ok","dup")</f>
        <v>ok</v>
      </c>
      <c r="B843" s="45" t="str">
        <f t="shared" si="13"/>
        <v>Propithecus_diadema5.1</v>
      </c>
      <c r="C843" s="6" t="s">
        <v>542</v>
      </c>
      <c r="D843" s="7">
        <v>5.0999999999999996</v>
      </c>
      <c r="E843" s="14" t="s">
        <v>276</v>
      </c>
      <c r="F843" s="14" t="s">
        <v>277</v>
      </c>
    </row>
    <row r="844" spans="1:6">
      <c r="A844" s="45" t="str">
        <f>IF(COUNTIF($B$2:B844,B844)=1,"ok","dup")</f>
        <v>ok</v>
      </c>
      <c r="B844" s="45" t="str">
        <f t="shared" si="13"/>
        <v>Propithecus_diadema6</v>
      </c>
      <c r="C844" s="6" t="s">
        <v>542</v>
      </c>
      <c r="D844" s="7">
        <v>6</v>
      </c>
      <c r="E844" s="14" t="s">
        <v>211</v>
      </c>
    </row>
    <row r="845" spans="1:6">
      <c r="A845" s="45" t="str">
        <f>IF(COUNTIF($B$2:B845,B845)=1,"ok","dup")</f>
        <v>ok</v>
      </c>
      <c r="B845" s="45" t="str">
        <f t="shared" si="13"/>
        <v>Propithecus_verreauxi6</v>
      </c>
      <c r="C845" s="6" t="s">
        <v>108</v>
      </c>
      <c r="D845" s="7">
        <v>6</v>
      </c>
      <c r="E845" s="14" t="s">
        <v>276</v>
      </c>
      <c r="F845" s="14" t="s">
        <v>277</v>
      </c>
    </row>
    <row r="846" spans="1:6">
      <c r="A846" s="45" t="str">
        <f>IF(COUNTIF($B$2:B846,B846)=1,"ok","dup")</f>
        <v>ok</v>
      </c>
      <c r="B846" s="45" t="str">
        <f t="shared" si="13"/>
        <v>Propithecus_verreauxi6.5</v>
      </c>
      <c r="C846" s="6" t="s">
        <v>108</v>
      </c>
      <c r="D846" s="7">
        <v>6.5</v>
      </c>
      <c r="E846" s="14" t="s">
        <v>216</v>
      </c>
      <c r="F846" s="14" t="s">
        <v>320</v>
      </c>
    </row>
    <row r="847" spans="1:6">
      <c r="A847" s="45" t="str">
        <f>IF(COUNTIF($B$2:B847,B847)=1,"ok","dup")</f>
        <v>ok</v>
      </c>
      <c r="B847" s="45" t="str">
        <f t="shared" si="13"/>
        <v>Propithecus_verreauxi5</v>
      </c>
      <c r="C847" s="6" t="s">
        <v>108</v>
      </c>
      <c r="D847" s="7">
        <v>5</v>
      </c>
      <c r="E847" s="14" t="s">
        <v>212</v>
      </c>
    </row>
    <row r="848" spans="1:6">
      <c r="A848" s="45" t="str">
        <f>IF(COUNTIF($B$2:B848,B848)=1,"ok","dup")</f>
        <v>ok</v>
      </c>
      <c r="B848" s="45" t="str">
        <f t="shared" si="13"/>
        <v>Propithecus_verreauxi5.1</v>
      </c>
      <c r="C848" s="6" t="s">
        <v>108</v>
      </c>
      <c r="D848" s="7">
        <v>5.0999999999999996</v>
      </c>
      <c r="E848" s="14" t="s">
        <v>218</v>
      </c>
      <c r="F848" s="14" t="s">
        <v>543</v>
      </c>
    </row>
    <row r="849" spans="1:7">
      <c r="A849" s="45" t="str">
        <f>IF(COUNTIF($B$2:B849,B849)=1,"ok","dup")</f>
        <v>dup</v>
      </c>
      <c r="B849" s="45" t="str">
        <f t="shared" si="13"/>
        <v>Propithecus_verreauxi6.5</v>
      </c>
      <c r="C849" s="6" t="s">
        <v>108</v>
      </c>
      <c r="D849" s="7">
        <v>6.5</v>
      </c>
      <c r="E849" s="14" t="s">
        <v>213</v>
      </c>
    </row>
    <row r="850" spans="1:7">
      <c r="A850" s="45" t="str">
        <f>IF(COUNTIF($B$2:B850,B850)=1,"ok","dup")</f>
        <v>ok</v>
      </c>
      <c r="B850" s="45" t="str">
        <f t="shared" si="13"/>
        <v>Propithecus_verreauxi7</v>
      </c>
      <c r="C850" s="6" t="s">
        <v>108</v>
      </c>
      <c r="D850" s="7">
        <v>7</v>
      </c>
      <c r="E850" s="14" t="s">
        <v>211</v>
      </c>
    </row>
    <row r="851" spans="1:7">
      <c r="A851" s="45" t="str">
        <f>IF(COUNTIF($B$2:B851,B851)=1,"ok","dup")</f>
        <v>ok</v>
      </c>
      <c r="B851" s="45" t="str">
        <f t="shared" si="13"/>
        <v>Pygathrix_nemaeus14.5</v>
      </c>
      <c r="C851" s="6" t="s">
        <v>109</v>
      </c>
      <c r="D851" s="7">
        <v>14.5</v>
      </c>
      <c r="E851" s="14" t="s">
        <v>211</v>
      </c>
    </row>
    <row r="852" spans="1:7">
      <c r="A852" s="45" t="str">
        <f>IF(COUNTIF($B$2:B852,B852)=1,"ok","dup")</f>
        <v>ok</v>
      </c>
      <c r="B852" s="45" t="str">
        <f t="shared" si="13"/>
        <v>Pygathrix_nemaeus19</v>
      </c>
      <c r="C852" s="6" t="s">
        <v>109</v>
      </c>
      <c r="D852" s="7">
        <v>19</v>
      </c>
      <c r="E852" s="14" t="s">
        <v>220</v>
      </c>
      <c r="F852" s="14" t="s">
        <v>544</v>
      </c>
    </row>
    <row r="853" spans="1:7">
      <c r="A853" s="45" t="str">
        <f>IF(COUNTIF($B$2:B853,B853)=1,"ok","dup")</f>
        <v>dup</v>
      </c>
      <c r="B853" s="45" t="str">
        <f t="shared" si="13"/>
        <v>Pygathrix_nemaeus19</v>
      </c>
      <c r="C853" s="6" t="s">
        <v>109</v>
      </c>
      <c r="D853" s="7">
        <v>19</v>
      </c>
      <c r="E853" s="14" t="s">
        <v>220</v>
      </c>
      <c r="F853" s="14" t="s">
        <v>544</v>
      </c>
    </row>
    <row r="854" spans="1:7">
      <c r="A854" s="45" t="str">
        <f>IF(COUNTIF($B$2:B854,B854)=1,"ok","dup")</f>
        <v>ok</v>
      </c>
      <c r="B854" s="45" t="str">
        <f t="shared" si="13"/>
        <v>Pygathrix_nemaeus43</v>
      </c>
      <c r="C854" s="6" t="s">
        <v>109</v>
      </c>
      <c r="D854" s="7">
        <v>43</v>
      </c>
      <c r="E854" s="14" t="s">
        <v>220</v>
      </c>
      <c r="F854" s="14" t="s">
        <v>544</v>
      </c>
    </row>
    <row r="855" spans="1:7">
      <c r="A855" s="45" t="str">
        <f>IF(COUNTIF($B$2:B855,B855)=1,"ok","dup")</f>
        <v>ok</v>
      </c>
      <c r="B855" s="45" t="str">
        <f t="shared" si="13"/>
        <v>Pygathrix_nemaeus9.3</v>
      </c>
      <c r="C855" s="6" t="s">
        <v>109</v>
      </c>
      <c r="D855" s="7">
        <v>9.3000000000000007</v>
      </c>
      <c r="E855" s="14" t="s">
        <v>220</v>
      </c>
      <c r="F855" s="14" t="s">
        <v>545</v>
      </c>
      <c r="G855" s="6" t="s">
        <v>330</v>
      </c>
    </row>
    <row r="856" spans="1:7">
      <c r="A856" s="45" t="str">
        <f>IF(COUNTIF($B$2:B856,B856)=1,"ok","dup")</f>
        <v>ok</v>
      </c>
      <c r="B856" s="45" t="str">
        <f t="shared" si="13"/>
        <v>Rhinopithecus_roxellana110</v>
      </c>
      <c r="C856" s="6" t="s">
        <v>546</v>
      </c>
      <c r="D856" s="7">
        <v>110</v>
      </c>
      <c r="E856" s="14" t="s">
        <v>211</v>
      </c>
    </row>
    <row r="857" spans="1:7">
      <c r="A857" s="45" t="str">
        <f>IF(COUNTIF($B$2:B857,B857)=1,"ok","dup")</f>
        <v>ok</v>
      </c>
      <c r="B857" s="45" t="str">
        <f t="shared" si="13"/>
        <v>Saguinus_fuscicollis4.7</v>
      </c>
      <c r="C857" s="6" t="s">
        <v>547</v>
      </c>
      <c r="D857" s="7">
        <v>4.7</v>
      </c>
      <c r="E857" s="14" t="s">
        <v>216</v>
      </c>
      <c r="F857" s="14" t="s">
        <v>548</v>
      </c>
    </row>
    <row r="858" spans="1:7">
      <c r="A858" s="45" t="str">
        <f>IF(COUNTIF($B$2:B858,B858)=1,"ok","dup")</f>
        <v>ok</v>
      </c>
      <c r="B858" s="45" t="str">
        <f t="shared" si="13"/>
        <v>Saguinus_fuscicollis6.5</v>
      </c>
      <c r="C858" s="6" t="s">
        <v>547</v>
      </c>
      <c r="D858" s="7">
        <v>6.5</v>
      </c>
      <c r="E858" s="14" t="s">
        <v>216</v>
      </c>
      <c r="F858" s="14" t="s">
        <v>548</v>
      </c>
    </row>
    <row r="859" spans="1:7">
      <c r="A859" s="45" t="str">
        <f>IF(COUNTIF($B$2:B859,B859)=1,"ok","dup")</f>
        <v>ok</v>
      </c>
      <c r="B859" s="45" t="str">
        <f t="shared" si="13"/>
        <v>Saguinus_fuscicollis5.9</v>
      </c>
      <c r="C859" s="6" t="s">
        <v>547</v>
      </c>
      <c r="D859" s="7">
        <v>5.9</v>
      </c>
      <c r="E859" s="14" t="s">
        <v>211</v>
      </c>
    </row>
    <row r="860" spans="1:7">
      <c r="A860" s="45" t="str">
        <f>IF(COUNTIF($B$2:B860,B860)=1,"ok","dup")</f>
        <v>ok</v>
      </c>
      <c r="B860" s="45" t="str">
        <f t="shared" si="13"/>
        <v>Saguinus_geoffroyi5.15</v>
      </c>
      <c r="C860" s="6" t="s">
        <v>110</v>
      </c>
      <c r="D860" s="7">
        <v>5.15</v>
      </c>
      <c r="E860" s="14" t="s">
        <v>211</v>
      </c>
    </row>
    <row r="861" spans="1:7">
      <c r="A861" s="45" t="str">
        <f>IF(COUNTIF($B$2:B861,B861)=1,"ok","dup")</f>
        <v>ok</v>
      </c>
      <c r="B861" s="45" t="str">
        <f t="shared" si="13"/>
        <v>Saguinus_imperator4</v>
      </c>
      <c r="C861" s="6" t="s">
        <v>549</v>
      </c>
      <c r="D861" s="7">
        <v>4</v>
      </c>
      <c r="E861" s="14" t="s">
        <v>216</v>
      </c>
      <c r="F861" s="14" t="s">
        <v>548</v>
      </c>
    </row>
    <row r="862" spans="1:7">
      <c r="A862" s="45" t="str">
        <f>IF(COUNTIF($B$2:B862,B862)=1,"ok","dup")</f>
        <v>dup</v>
      </c>
      <c r="B862" s="45" t="str">
        <f t="shared" si="13"/>
        <v>Saguinus_imperator4</v>
      </c>
      <c r="C862" s="6" t="s">
        <v>549</v>
      </c>
      <c r="D862" s="7">
        <v>4</v>
      </c>
      <c r="E862" s="14" t="s">
        <v>211</v>
      </c>
    </row>
    <row r="863" spans="1:7">
      <c r="A863" s="45" t="str">
        <f>IF(COUNTIF($B$2:B863,B863)=1,"ok","dup")</f>
        <v>ok</v>
      </c>
      <c r="B863" s="45" t="str">
        <f t="shared" si="13"/>
        <v>Saguinus_leucopus8.5</v>
      </c>
      <c r="C863" s="6" t="s">
        <v>550</v>
      </c>
      <c r="D863" s="7">
        <v>8.5</v>
      </c>
      <c r="E863" s="14" t="s">
        <v>211</v>
      </c>
    </row>
    <row r="864" spans="1:7">
      <c r="A864" s="45" t="str">
        <f>IF(COUNTIF($B$2:B864,B864)=1,"ok","dup")</f>
        <v>ok</v>
      </c>
      <c r="B864" s="45" t="str">
        <f t="shared" si="13"/>
        <v>Saguinus_midas5</v>
      </c>
      <c r="C864" s="6" t="s">
        <v>111</v>
      </c>
      <c r="D864" s="7">
        <v>5</v>
      </c>
      <c r="E864" s="14" t="s">
        <v>211</v>
      </c>
    </row>
    <row r="865" spans="1:7">
      <c r="A865" s="45" t="str">
        <f>IF(COUNTIF($B$2:B865,B865)=1,"ok","dup")</f>
        <v>ok</v>
      </c>
      <c r="B865" s="45" t="str">
        <f t="shared" si="13"/>
        <v>Saguinus_mystax5.3</v>
      </c>
      <c r="C865" s="6" t="s">
        <v>551</v>
      </c>
      <c r="D865" s="7">
        <v>5.3</v>
      </c>
      <c r="E865" s="14" t="s">
        <v>212</v>
      </c>
    </row>
    <row r="866" spans="1:7">
      <c r="A866" s="45" t="str">
        <f>IF(COUNTIF($B$2:B866,B866)=1,"ok","dup")</f>
        <v>dup</v>
      </c>
      <c r="B866" s="45" t="str">
        <f t="shared" si="13"/>
        <v>Saguinus_mystax5.3</v>
      </c>
      <c r="C866" s="6" t="s">
        <v>551</v>
      </c>
      <c r="D866" s="7">
        <v>5.3</v>
      </c>
      <c r="E866" s="14" t="s">
        <v>211</v>
      </c>
    </row>
    <row r="867" spans="1:7">
      <c r="A867" s="45" t="str">
        <f>IF(COUNTIF($B$2:B867,B867)=1,"ok","dup")</f>
        <v>ok</v>
      </c>
      <c r="B867" s="45" t="str">
        <f t="shared" si="13"/>
        <v>Saguinus_oedipus7.4</v>
      </c>
      <c r="C867" s="6" t="s">
        <v>112</v>
      </c>
      <c r="D867" s="7">
        <v>7.4</v>
      </c>
      <c r="E867" s="14" t="s">
        <v>216</v>
      </c>
      <c r="F867" s="14" t="s">
        <v>548</v>
      </c>
    </row>
    <row r="868" spans="1:7">
      <c r="A868" s="45" t="str">
        <f>IF(COUNTIF($B$2:B868,B868)=1,"ok","dup")</f>
        <v>ok</v>
      </c>
      <c r="B868" s="45" t="str">
        <f t="shared" si="13"/>
        <v>Saguinus_oedipus6.39</v>
      </c>
      <c r="C868" s="6" t="s">
        <v>112</v>
      </c>
      <c r="D868" s="7">
        <v>6.39</v>
      </c>
      <c r="E868" s="14" t="s">
        <v>212</v>
      </c>
    </row>
    <row r="869" spans="1:7">
      <c r="A869" s="45" t="str">
        <f>IF(COUNTIF($B$2:B869,B869)=1,"ok","dup")</f>
        <v>dup</v>
      </c>
      <c r="B869" s="45" t="str">
        <f t="shared" si="13"/>
        <v>Saguinus_oedipus7.4</v>
      </c>
      <c r="C869" s="6" t="s">
        <v>112</v>
      </c>
      <c r="D869" s="7">
        <v>7.4</v>
      </c>
      <c r="E869" s="14" t="s">
        <v>211</v>
      </c>
    </row>
    <row r="870" spans="1:7">
      <c r="A870" s="45" t="str">
        <f>IF(COUNTIF($B$2:B870,B870)=1,"ok","dup")</f>
        <v>ok</v>
      </c>
      <c r="B870" s="45" t="str">
        <f t="shared" si="13"/>
        <v>Saguinus_oedipus3</v>
      </c>
      <c r="C870" s="6" t="s">
        <v>112</v>
      </c>
      <c r="D870" s="7">
        <v>3</v>
      </c>
      <c r="E870" s="14" t="s">
        <v>220</v>
      </c>
      <c r="F870" s="14" t="s">
        <v>552</v>
      </c>
    </row>
    <row r="871" spans="1:7">
      <c r="A871" s="45" t="str">
        <f>IF(COUNTIF($B$2:B871,B871)=1,"ok","dup")</f>
        <v>dup</v>
      </c>
      <c r="B871" s="45" t="str">
        <f t="shared" si="13"/>
        <v>Saguinus_oedipus3</v>
      </c>
      <c r="C871" s="6" t="s">
        <v>112</v>
      </c>
      <c r="D871" s="7">
        <v>3</v>
      </c>
      <c r="E871" s="14" t="s">
        <v>220</v>
      </c>
      <c r="F871" s="14" t="s">
        <v>552</v>
      </c>
    </row>
    <row r="872" spans="1:7">
      <c r="A872" s="45" t="str">
        <f>IF(COUNTIF($B$2:B872,B872)=1,"ok","dup")</f>
        <v>dup</v>
      </c>
      <c r="B872" s="45" t="str">
        <f t="shared" si="13"/>
        <v>Saguinus_oedipus3</v>
      </c>
      <c r="C872" s="6" t="s">
        <v>112</v>
      </c>
      <c r="D872" s="7">
        <v>3</v>
      </c>
      <c r="E872" s="14" t="s">
        <v>220</v>
      </c>
      <c r="F872" s="14" t="s">
        <v>552</v>
      </c>
    </row>
    <row r="873" spans="1:7">
      <c r="A873" s="45" t="str">
        <f>IF(COUNTIF($B$2:B873,B873)=1,"ok","dup")</f>
        <v>ok</v>
      </c>
      <c r="B873" s="45" t="str">
        <f t="shared" si="13"/>
        <v>Saguinus_oedipus6</v>
      </c>
      <c r="C873" s="6" t="s">
        <v>112</v>
      </c>
      <c r="D873" s="7">
        <v>6</v>
      </c>
      <c r="E873" s="14" t="s">
        <v>220</v>
      </c>
      <c r="F873" s="14" t="s">
        <v>552</v>
      </c>
    </row>
    <row r="874" spans="1:7">
      <c r="A874" s="45" t="str">
        <f>IF(COUNTIF($B$2:B874,B874)=1,"ok","dup")</f>
        <v>ok</v>
      </c>
      <c r="B874" s="45" t="str">
        <f t="shared" si="13"/>
        <v>Saguinus_oedipus7</v>
      </c>
      <c r="C874" s="6" t="s">
        <v>112</v>
      </c>
      <c r="D874" s="7">
        <v>7</v>
      </c>
      <c r="E874" s="14" t="s">
        <v>220</v>
      </c>
      <c r="F874" s="14" t="s">
        <v>552</v>
      </c>
    </row>
    <row r="875" spans="1:7">
      <c r="A875" s="45" t="str">
        <f>IF(COUNTIF($B$2:B875,B875)=1,"ok","dup")</f>
        <v>dup</v>
      </c>
      <c r="B875" s="45" t="str">
        <f t="shared" si="13"/>
        <v>Saguinus_oedipus7.4</v>
      </c>
      <c r="C875" s="6" t="s">
        <v>112</v>
      </c>
      <c r="D875" s="7">
        <v>7.4</v>
      </c>
      <c r="E875" s="14" t="s">
        <v>220</v>
      </c>
      <c r="F875" s="14" t="s">
        <v>553</v>
      </c>
      <c r="G875" s="6" t="s">
        <v>228</v>
      </c>
    </row>
    <row r="876" spans="1:7">
      <c r="A876" s="45" t="str">
        <f>IF(COUNTIF($B$2:B876,B876)=1,"ok","dup")</f>
        <v>ok</v>
      </c>
      <c r="B876" s="45" t="str">
        <f t="shared" si="13"/>
        <v>Saguinus_oedipus8</v>
      </c>
      <c r="C876" s="6" t="s">
        <v>112</v>
      </c>
      <c r="D876" s="7">
        <v>8</v>
      </c>
      <c r="E876" s="14" t="s">
        <v>220</v>
      </c>
      <c r="F876" s="14" t="s">
        <v>552</v>
      </c>
    </row>
    <row r="877" spans="1:7">
      <c r="A877" s="45" t="str">
        <f>IF(COUNTIF($B$2:B877,B877)=1,"ok","dup")</f>
        <v>dup</v>
      </c>
      <c r="B877" s="45" t="str">
        <f t="shared" si="13"/>
        <v>Saguinus_oedipus8</v>
      </c>
      <c r="C877" s="6" t="s">
        <v>112</v>
      </c>
      <c r="D877" s="7">
        <v>8</v>
      </c>
      <c r="E877" s="14" t="s">
        <v>220</v>
      </c>
      <c r="F877" s="14" t="s">
        <v>552</v>
      </c>
    </row>
    <row r="878" spans="1:7">
      <c r="A878" s="45" t="str">
        <f>IF(COUNTIF($B$2:B878,B878)=1,"ok","dup")</f>
        <v>ok</v>
      </c>
      <c r="B878" s="45" t="str">
        <f t="shared" si="13"/>
        <v>Saimiri_boliviensis20</v>
      </c>
      <c r="C878" s="6" t="s">
        <v>554</v>
      </c>
      <c r="D878" s="7">
        <v>20</v>
      </c>
      <c r="E878" s="14" t="s">
        <v>211</v>
      </c>
    </row>
    <row r="879" spans="1:7">
      <c r="A879" s="45" t="str">
        <f>IF(COUNTIF($B$2:B879,B879)=1,"ok","dup")</f>
        <v>ok</v>
      </c>
      <c r="B879" s="45" t="str">
        <f t="shared" si="13"/>
        <v>Saimiri_oerstedii23</v>
      </c>
      <c r="C879" s="6" t="s">
        <v>555</v>
      </c>
      <c r="D879" s="7">
        <v>23</v>
      </c>
      <c r="E879" s="14" t="s">
        <v>216</v>
      </c>
      <c r="F879" s="14" t="s">
        <v>264</v>
      </c>
    </row>
    <row r="880" spans="1:7">
      <c r="A880" s="45" t="str">
        <f>IF(COUNTIF($B$2:B880,B880)=1,"ok","dup")</f>
        <v>dup</v>
      </c>
      <c r="B880" s="45" t="str">
        <f t="shared" si="13"/>
        <v>Saimiri_oerstedii23</v>
      </c>
      <c r="C880" s="6" t="s">
        <v>555</v>
      </c>
      <c r="D880" s="7">
        <v>23</v>
      </c>
      <c r="E880" s="14" t="s">
        <v>212</v>
      </c>
    </row>
    <row r="881" spans="1:7">
      <c r="A881" s="45" t="str">
        <f>IF(COUNTIF($B$2:B881,B881)=1,"ok","dup")</f>
        <v>ok</v>
      </c>
      <c r="B881" s="45" t="str">
        <f t="shared" si="13"/>
        <v>Saimiri_oerstedii25</v>
      </c>
      <c r="C881" s="6" t="s">
        <v>555</v>
      </c>
      <c r="D881" s="7">
        <v>25</v>
      </c>
      <c r="E881" s="14" t="s">
        <v>213</v>
      </c>
    </row>
    <row r="882" spans="1:7">
      <c r="A882" s="45" t="str">
        <f>IF(COUNTIF($B$2:B882,B882)=1,"ok","dup")</f>
        <v>dup</v>
      </c>
      <c r="B882" s="45" t="str">
        <f t="shared" si="13"/>
        <v>Saimiri_oerstedii23</v>
      </c>
      <c r="C882" s="6" t="s">
        <v>555</v>
      </c>
      <c r="D882" s="7">
        <v>23</v>
      </c>
      <c r="E882" s="14" t="s">
        <v>211</v>
      </c>
    </row>
    <row r="883" spans="1:7">
      <c r="A883" s="45" t="str">
        <f>IF(COUNTIF($B$2:B883,B883)=1,"ok","dup")</f>
        <v>ok</v>
      </c>
      <c r="B883" s="45" t="str">
        <f t="shared" si="13"/>
        <v>Saimiri_sciureus42</v>
      </c>
      <c r="C883" s="6" t="s">
        <v>113</v>
      </c>
      <c r="D883" s="7">
        <v>42</v>
      </c>
      <c r="E883" s="14" t="s">
        <v>216</v>
      </c>
      <c r="F883" s="14" t="s">
        <v>264</v>
      </c>
    </row>
    <row r="884" spans="1:7">
      <c r="A884" s="45" t="str">
        <f>IF(COUNTIF($B$2:B884,B884)=1,"ok","dup")</f>
        <v>ok</v>
      </c>
      <c r="B884" s="45" t="str">
        <f t="shared" si="13"/>
        <v>Saimiri_sciureus19</v>
      </c>
      <c r="C884" s="6" t="s">
        <v>113</v>
      </c>
      <c r="D884" s="7">
        <v>19</v>
      </c>
      <c r="E884" s="14" t="s">
        <v>212</v>
      </c>
    </row>
    <row r="885" spans="1:7">
      <c r="A885" s="45" t="str">
        <f>IF(COUNTIF($B$2:B885,B885)=1,"ok","dup")</f>
        <v>ok</v>
      </c>
      <c r="B885" s="45" t="str">
        <f t="shared" si="13"/>
        <v>Saimiri_sciureus22</v>
      </c>
      <c r="C885" s="6" t="s">
        <v>113</v>
      </c>
      <c r="D885" s="7">
        <v>22</v>
      </c>
      <c r="E885" s="14" t="s">
        <v>212</v>
      </c>
    </row>
    <row r="886" spans="1:7">
      <c r="A886" s="45" t="str">
        <f>IF(COUNTIF($B$2:B886,B886)=1,"ok","dup")</f>
        <v>ok</v>
      </c>
      <c r="B886" s="45" t="str">
        <f t="shared" si="13"/>
        <v>Saimiri_sciureus25</v>
      </c>
      <c r="C886" s="6" t="s">
        <v>113</v>
      </c>
      <c r="D886" s="7">
        <v>25</v>
      </c>
      <c r="E886" s="14" t="s">
        <v>212</v>
      </c>
    </row>
    <row r="887" spans="1:7">
      <c r="A887" s="45" t="str">
        <f>IF(COUNTIF($B$2:B887,B887)=1,"ok","dup")</f>
        <v>ok</v>
      </c>
      <c r="B887" s="45" t="str">
        <f t="shared" si="13"/>
        <v>Saimiri_sciureus30</v>
      </c>
      <c r="C887" s="6" t="s">
        <v>113</v>
      </c>
      <c r="D887" s="7">
        <v>30</v>
      </c>
      <c r="E887" s="14" t="s">
        <v>212</v>
      </c>
    </row>
    <row r="888" spans="1:7">
      <c r="A888" s="45" t="str">
        <f>IF(COUNTIF($B$2:B888,B888)=1,"ok","dup")</f>
        <v>ok</v>
      </c>
      <c r="B888" s="45" t="str">
        <f t="shared" si="13"/>
        <v>Saimiri_sciureus35</v>
      </c>
      <c r="C888" s="6" t="s">
        <v>113</v>
      </c>
      <c r="D888" s="7">
        <v>35</v>
      </c>
      <c r="E888" s="14" t="s">
        <v>212</v>
      </c>
    </row>
    <row r="889" spans="1:7">
      <c r="A889" s="45" t="str">
        <f>IF(COUNTIF($B$2:B889,B889)=1,"ok","dup")</f>
        <v>ok</v>
      </c>
      <c r="B889" s="45" t="str">
        <f t="shared" si="13"/>
        <v>Saimiri_sciureus41.7</v>
      </c>
      <c r="C889" s="6" t="s">
        <v>113</v>
      </c>
      <c r="D889" s="7">
        <v>41.7</v>
      </c>
      <c r="E889" s="14" t="s">
        <v>212</v>
      </c>
    </row>
    <row r="890" spans="1:7">
      <c r="A890" s="45" t="str">
        <f>IF(COUNTIF($B$2:B890,B890)=1,"ok","dup")</f>
        <v>ok</v>
      </c>
      <c r="B890" s="45" t="str">
        <f t="shared" si="13"/>
        <v>Saimiri_sciureus48</v>
      </c>
      <c r="C890" s="6" t="s">
        <v>113</v>
      </c>
      <c r="D890" s="7">
        <v>48</v>
      </c>
      <c r="E890" s="14" t="s">
        <v>212</v>
      </c>
    </row>
    <row r="891" spans="1:7">
      <c r="A891" s="45" t="str">
        <f>IF(COUNTIF($B$2:B891,B891)=1,"ok","dup")</f>
        <v>dup</v>
      </c>
      <c r="B891" s="45" t="str">
        <f t="shared" si="13"/>
        <v>Saimiri_sciureus35</v>
      </c>
      <c r="C891" s="6" t="s">
        <v>113</v>
      </c>
      <c r="D891" s="7">
        <v>35</v>
      </c>
      <c r="E891" s="14" t="s">
        <v>218</v>
      </c>
      <c r="F891" s="14" t="s">
        <v>307</v>
      </c>
    </row>
    <row r="892" spans="1:7">
      <c r="A892" s="45" t="str">
        <f>IF(COUNTIF($B$2:B892,B892)=1,"ok","dup")</f>
        <v>ok</v>
      </c>
      <c r="B892" s="45" t="str">
        <f t="shared" si="13"/>
        <v>Saimiri_sciureus32</v>
      </c>
      <c r="C892" s="6" t="s">
        <v>113</v>
      </c>
      <c r="D892" s="7">
        <v>32</v>
      </c>
      <c r="E892" s="14" t="s">
        <v>211</v>
      </c>
    </row>
    <row r="893" spans="1:7">
      <c r="A893" s="45" t="str">
        <f>IF(COUNTIF($B$2:B893,B893)=1,"ok","dup")</f>
        <v>dup</v>
      </c>
      <c r="B893" s="45" t="str">
        <f t="shared" si="13"/>
        <v>Saimiri_sciureus42</v>
      </c>
      <c r="C893" s="6" t="s">
        <v>113</v>
      </c>
      <c r="D893" s="7">
        <v>42</v>
      </c>
      <c r="E893" s="14" t="s">
        <v>220</v>
      </c>
      <c r="F893" s="14" t="s">
        <v>314</v>
      </c>
      <c r="G893" s="6" t="s">
        <v>228</v>
      </c>
    </row>
    <row r="894" spans="1:7">
      <c r="A894" s="45" t="str">
        <f>IF(COUNTIF($B$2:B894,B894)=1,"ok","dup")</f>
        <v>ok</v>
      </c>
      <c r="B894" s="45" t="str">
        <f t="shared" si="13"/>
        <v>Saimiri_sciureus44</v>
      </c>
      <c r="C894" s="6" t="s">
        <v>113</v>
      </c>
      <c r="D894" s="7">
        <v>44</v>
      </c>
      <c r="E894" s="14" t="s">
        <v>220</v>
      </c>
      <c r="F894" s="14" t="s">
        <v>556</v>
      </c>
    </row>
    <row r="895" spans="1:7">
      <c r="A895" s="45" t="str">
        <f>IF(COUNTIF($B$2:B895,B895)=1,"ok","dup")</f>
        <v>ok</v>
      </c>
      <c r="B895" s="45" t="str">
        <f t="shared" si="13"/>
        <v>Saimiri_sciureus50</v>
      </c>
      <c r="C895" s="6" t="s">
        <v>113</v>
      </c>
      <c r="D895" s="7">
        <v>50</v>
      </c>
      <c r="E895" s="14" t="s">
        <v>220</v>
      </c>
      <c r="F895" s="14" t="s">
        <v>556</v>
      </c>
    </row>
    <row r="896" spans="1:7">
      <c r="A896" s="45" t="str">
        <f>IF(COUNTIF($B$2:B896,B896)=1,"ok","dup")</f>
        <v>ok</v>
      </c>
      <c r="B896" s="45" t="str">
        <f t="shared" si="13"/>
        <v>Saimiri_sciureus65</v>
      </c>
      <c r="C896" s="6" t="s">
        <v>113</v>
      </c>
      <c r="D896" s="7">
        <v>65</v>
      </c>
      <c r="E896" s="14" t="s">
        <v>220</v>
      </c>
      <c r="F896" s="14" t="s">
        <v>557</v>
      </c>
    </row>
    <row r="897" spans="1:6">
      <c r="A897" s="45" t="str">
        <f>IF(COUNTIF($B$2:B897,B897)=1,"ok","dup")</f>
        <v>ok</v>
      </c>
      <c r="B897" s="45" t="str">
        <f t="shared" si="13"/>
        <v>Semnopithecus_entellus19</v>
      </c>
      <c r="C897" s="6" t="s">
        <v>114</v>
      </c>
      <c r="D897" s="7">
        <v>19</v>
      </c>
      <c r="E897" s="14" t="s">
        <v>216</v>
      </c>
      <c r="F897" s="14" t="s">
        <v>359</v>
      </c>
    </row>
    <row r="898" spans="1:6">
      <c r="A898" s="45" t="str">
        <f>IF(COUNTIF($B$2:B898,B898)=1,"ok","dup")</f>
        <v>ok</v>
      </c>
      <c r="B898" s="45" t="str">
        <f t="shared" ref="B898:B937" si="14">C898&amp;D898</f>
        <v>Semnopithecus_entellus33</v>
      </c>
      <c r="C898" s="6" t="s">
        <v>114</v>
      </c>
      <c r="D898" s="7">
        <v>33</v>
      </c>
      <c r="E898" s="14" t="s">
        <v>218</v>
      </c>
      <c r="F898" s="14" t="s">
        <v>558</v>
      </c>
    </row>
    <row r="899" spans="1:6">
      <c r="A899" s="45" t="str">
        <f>IF(COUNTIF($B$2:B899,B899)=1,"ok","dup")</f>
        <v>dup</v>
      </c>
      <c r="B899" s="45" t="str">
        <f t="shared" si="14"/>
        <v>Semnopithecus_entellus19</v>
      </c>
      <c r="C899" s="6" t="s">
        <v>114</v>
      </c>
      <c r="D899" s="7">
        <v>19</v>
      </c>
      <c r="E899" s="14" t="s">
        <v>213</v>
      </c>
    </row>
    <row r="900" spans="1:6">
      <c r="A900" s="45" t="str">
        <f>IF(COUNTIF($B$2:B900,B900)=1,"ok","dup")</f>
        <v>ok</v>
      </c>
      <c r="B900" s="45" t="str">
        <f t="shared" si="14"/>
        <v>Semnopithecus_entellus37.5</v>
      </c>
      <c r="C900" s="6" t="s">
        <v>114</v>
      </c>
      <c r="D900" s="7">
        <v>37.5</v>
      </c>
      <c r="E900" s="14" t="s">
        <v>211</v>
      </c>
    </row>
    <row r="901" spans="1:6">
      <c r="A901" s="45" t="str">
        <f>IF(COUNTIF($B$2:B901,B901)=1,"ok","dup")</f>
        <v>ok</v>
      </c>
      <c r="B901" s="45" t="str">
        <f t="shared" si="14"/>
        <v>Semnopithecus_entellus9.5</v>
      </c>
      <c r="C901" s="6" t="s">
        <v>114</v>
      </c>
      <c r="D901" s="7">
        <v>9.5</v>
      </c>
      <c r="E901" s="14" t="s">
        <v>214</v>
      </c>
      <c r="F901" s="14" t="s">
        <v>559</v>
      </c>
    </row>
    <row r="902" spans="1:6">
      <c r="A902" s="45" t="str">
        <f>IF(COUNTIF($B$2:B902,B902)=1,"ok","dup")</f>
        <v>ok</v>
      </c>
      <c r="B902" s="45" t="str">
        <f t="shared" si="14"/>
        <v>Symphalangus_syndactylus3</v>
      </c>
      <c r="C902" s="6" t="s">
        <v>115</v>
      </c>
      <c r="D902" s="7">
        <v>3</v>
      </c>
      <c r="E902" s="14" t="s">
        <v>216</v>
      </c>
      <c r="F902" s="14" t="s">
        <v>406</v>
      </c>
    </row>
    <row r="903" spans="1:6">
      <c r="A903" s="45" t="str">
        <f>IF(COUNTIF($B$2:B903,B903)=1,"ok","dup")</f>
        <v>ok</v>
      </c>
      <c r="B903" s="45" t="str">
        <f t="shared" si="14"/>
        <v>Symphalangus_syndactylus3.8</v>
      </c>
      <c r="C903" s="6" t="s">
        <v>115</v>
      </c>
      <c r="D903" s="7">
        <v>3.8</v>
      </c>
      <c r="E903" s="14" t="s">
        <v>216</v>
      </c>
      <c r="F903" s="14" t="s">
        <v>406</v>
      </c>
    </row>
    <row r="904" spans="1:6">
      <c r="A904" s="45" t="str">
        <f>IF(COUNTIF($B$2:B904,B904)=1,"ok","dup")</f>
        <v>ok</v>
      </c>
      <c r="B904" s="45" t="str">
        <f t="shared" si="14"/>
        <v>Symphalangus_syndactylus4</v>
      </c>
      <c r="C904" s="6" t="s">
        <v>115</v>
      </c>
      <c r="D904" s="7">
        <v>4</v>
      </c>
      <c r="E904" s="14" t="s">
        <v>216</v>
      </c>
      <c r="F904" s="14" t="s">
        <v>406</v>
      </c>
    </row>
    <row r="905" spans="1:6">
      <c r="A905" s="45" t="str">
        <f>IF(COUNTIF($B$2:B905,B905)=1,"ok","dup")</f>
        <v>ok</v>
      </c>
      <c r="B905" s="45" t="str">
        <f t="shared" si="14"/>
        <v>Symphalangus_syndactylus5</v>
      </c>
      <c r="C905" s="6" t="s">
        <v>115</v>
      </c>
      <c r="D905" s="7">
        <v>5</v>
      </c>
      <c r="E905" s="14" t="s">
        <v>216</v>
      </c>
      <c r="F905" s="14" t="s">
        <v>406</v>
      </c>
    </row>
    <row r="906" spans="1:6">
      <c r="A906" s="45" t="str">
        <f>IF(COUNTIF($B$2:B906,B906)=1,"ok","dup")</f>
        <v>dup</v>
      </c>
      <c r="B906" s="45" t="str">
        <f t="shared" si="14"/>
        <v>Symphalangus_syndactylus3</v>
      </c>
      <c r="C906" s="6" t="s">
        <v>115</v>
      </c>
      <c r="D906" s="7">
        <v>3</v>
      </c>
      <c r="E906" s="14" t="s">
        <v>212</v>
      </c>
    </row>
    <row r="907" spans="1:6">
      <c r="A907" s="45" t="str">
        <f>IF(COUNTIF($B$2:B907,B907)=1,"ok","dup")</f>
        <v>dup</v>
      </c>
      <c r="B907" s="45" t="str">
        <f t="shared" si="14"/>
        <v>Symphalangus_syndactylus3.8</v>
      </c>
      <c r="C907" s="6" t="s">
        <v>115</v>
      </c>
      <c r="D907" s="7">
        <v>3.8</v>
      </c>
      <c r="E907" s="14" t="s">
        <v>212</v>
      </c>
    </row>
    <row r="908" spans="1:6">
      <c r="A908" s="45" t="str">
        <f>IF(COUNTIF($B$2:B908,B908)=1,"ok","dup")</f>
        <v>dup</v>
      </c>
      <c r="B908" s="45" t="str">
        <f t="shared" si="14"/>
        <v>Symphalangus_syndactylus4</v>
      </c>
      <c r="C908" s="6" t="s">
        <v>115</v>
      </c>
      <c r="D908" s="7">
        <v>4</v>
      </c>
      <c r="E908" s="14" t="s">
        <v>212</v>
      </c>
    </row>
    <row r="909" spans="1:6">
      <c r="A909" s="45" t="str">
        <f>IF(COUNTIF($B$2:B909,B909)=1,"ok","dup")</f>
        <v>dup</v>
      </c>
      <c r="B909" s="45" t="str">
        <f t="shared" si="14"/>
        <v>Symphalangus_syndactylus5</v>
      </c>
      <c r="C909" s="6" t="s">
        <v>115</v>
      </c>
      <c r="D909" s="7">
        <v>5</v>
      </c>
      <c r="E909" s="14" t="s">
        <v>212</v>
      </c>
    </row>
    <row r="910" spans="1:6">
      <c r="A910" s="45" t="str">
        <f>IF(COUNTIF($B$2:B910,B910)=1,"ok","dup")</f>
        <v>dup</v>
      </c>
      <c r="B910" s="45" t="str">
        <f t="shared" si="14"/>
        <v>Symphalangus_syndactylus3.8</v>
      </c>
      <c r="C910" s="6" t="s">
        <v>115</v>
      </c>
      <c r="D910" s="7">
        <v>3.8</v>
      </c>
      <c r="E910" s="14" t="s">
        <v>218</v>
      </c>
      <c r="F910" s="14" t="s">
        <v>560</v>
      </c>
    </row>
    <row r="911" spans="1:6">
      <c r="A911" s="45" t="str">
        <f>IF(COUNTIF($B$2:B911,B911)=1,"ok","dup")</f>
        <v>dup</v>
      </c>
      <c r="B911" s="45" t="str">
        <f t="shared" si="14"/>
        <v>Symphalangus_syndactylus3.8</v>
      </c>
      <c r="C911" s="6" t="s">
        <v>115</v>
      </c>
      <c r="D911" s="7">
        <v>3.8</v>
      </c>
      <c r="E911" s="14" t="s">
        <v>213</v>
      </c>
    </row>
    <row r="912" spans="1:6">
      <c r="A912" s="45" t="str">
        <f>IF(COUNTIF($B$2:B912,B912)=1,"ok","dup")</f>
        <v>ok</v>
      </c>
      <c r="B912" s="45" t="str">
        <f t="shared" si="14"/>
        <v>Symphalangus_syndactylus3.5</v>
      </c>
      <c r="C912" s="6" t="s">
        <v>115</v>
      </c>
      <c r="D912" s="7">
        <v>3.5</v>
      </c>
      <c r="E912" s="14" t="s">
        <v>211</v>
      </c>
    </row>
    <row r="913" spans="1:7">
      <c r="A913" s="45" t="str">
        <f>IF(COUNTIF($B$2:B913,B913)=1,"ok","dup")</f>
        <v>ok</v>
      </c>
      <c r="B913" s="45" t="str">
        <f t="shared" si="14"/>
        <v>Tarsius_bancanus2</v>
      </c>
      <c r="C913" s="6" t="s">
        <v>561</v>
      </c>
      <c r="D913" s="7">
        <v>2</v>
      </c>
      <c r="E913" s="14" t="s">
        <v>211</v>
      </c>
    </row>
    <row r="914" spans="1:7">
      <c r="A914" s="45" t="str">
        <f>IF(COUNTIF($B$2:B914,B914)=1,"ok","dup")</f>
        <v>ok</v>
      </c>
      <c r="B914" s="45" t="str">
        <f t="shared" si="14"/>
        <v>Tarsius_syrichta2</v>
      </c>
      <c r="C914" s="6" t="s">
        <v>116</v>
      </c>
      <c r="D914" s="7">
        <v>2</v>
      </c>
      <c r="E914" s="14" t="s">
        <v>211</v>
      </c>
    </row>
    <row r="915" spans="1:7">
      <c r="A915" s="45" t="str">
        <f>IF(COUNTIF($B$2:B915,B915)=1,"ok","dup")</f>
        <v>ok</v>
      </c>
      <c r="B915" s="45" t="str">
        <f t="shared" si="14"/>
        <v>Theropithecus_gelada320</v>
      </c>
      <c r="C915" s="6" t="s">
        <v>562</v>
      </c>
      <c r="D915" s="7">
        <v>320</v>
      </c>
      <c r="E915" s="14" t="s">
        <v>216</v>
      </c>
      <c r="F915" s="14" t="s">
        <v>320</v>
      </c>
    </row>
    <row r="916" spans="1:7">
      <c r="A916" s="45" t="str">
        <f>IF(COUNTIF($B$2:B916,B916)=1,"ok","dup")</f>
        <v>ok</v>
      </c>
      <c r="B916" s="45" t="str">
        <f t="shared" si="14"/>
        <v>Theropithecus_gelada113</v>
      </c>
      <c r="C916" s="6" t="s">
        <v>562</v>
      </c>
      <c r="D916" s="7">
        <v>113</v>
      </c>
      <c r="E916" s="14" t="s">
        <v>218</v>
      </c>
      <c r="F916" s="14" t="s">
        <v>563</v>
      </c>
    </row>
    <row r="917" spans="1:7">
      <c r="A917" s="45" t="str">
        <f>IF(COUNTIF($B$2:B917,B917)=1,"ok","dup")</f>
        <v>dup</v>
      </c>
      <c r="B917" s="45" t="str">
        <f t="shared" si="14"/>
        <v>Theropithecus_gelada113</v>
      </c>
      <c r="C917" s="6" t="s">
        <v>562</v>
      </c>
      <c r="D917" s="7">
        <v>113</v>
      </c>
      <c r="E917" s="14" t="s">
        <v>213</v>
      </c>
    </row>
    <row r="918" spans="1:7">
      <c r="A918" s="45" t="str">
        <f>IF(COUNTIF($B$2:B918,B918)=1,"ok","dup")</f>
        <v>ok</v>
      </c>
      <c r="B918" s="45" t="str">
        <f t="shared" si="14"/>
        <v>Theropithecus_gelada165</v>
      </c>
      <c r="C918" s="6" t="s">
        <v>562</v>
      </c>
      <c r="D918" s="7">
        <v>165</v>
      </c>
      <c r="E918" s="14" t="s">
        <v>211</v>
      </c>
      <c r="G918" s="6" t="s">
        <v>564</v>
      </c>
    </row>
    <row r="919" spans="1:7">
      <c r="A919" s="45" t="str">
        <f>IF(COUNTIF($B$2:B919,B919)=1,"ok","dup")</f>
        <v>ok</v>
      </c>
      <c r="B919" s="45" t="str">
        <f t="shared" si="14"/>
        <v>Theropithecus_gelada7.2</v>
      </c>
      <c r="C919" s="6" t="s">
        <v>562</v>
      </c>
      <c r="D919" s="7">
        <v>7.2</v>
      </c>
      <c r="E919" s="14" t="s">
        <v>214</v>
      </c>
      <c r="F919" s="14" t="s">
        <v>565</v>
      </c>
    </row>
    <row r="920" spans="1:7">
      <c r="A920" s="45" t="str">
        <f>IF(COUNTIF($B$2:B920,B920)=1,"ok","dup")</f>
        <v>ok</v>
      </c>
      <c r="B920" s="45" t="str">
        <f t="shared" si="14"/>
        <v>Trachypithecus_cristatus28</v>
      </c>
      <c r="C920" s="6" t="s">
        <v>566</v>
      </c>
      <c r="D920" s="7">
        <v>28</v>
      </c>
      <c r="E920" s="14" t="s">
        <v>213</v>
      </c>
    </row>
    <row r="921" spans="1:7">
      <c r="A921" s="45" t="str">
        <f>IF(COUNTIF($B$2:B921,B921)=1,"ok","dup")</f>
        <v>ok</v>
      </c>
      <c r="B921" s="45" t="str">
        <f t="shared" si="14"/>
        <v>Trachypithecus_cristatus21.5</v>
      </c>
      <c r="C921" s="6" t="s">
        <v>566</v>
      </c>
      <c r="D921" s="7">
        <v>21.5</v>
      </c>
      <c r="E921" s="14" t="s">
        <v>211</v>
      </c>
    </row>
    <row r="922" spans="1:7">
      <c r="A922" s="45" t="str">
        <f>IF(COUNTIF($B$2:B922,B922)=1,"ok","dup")</f>
        <v>ok</v>
      </c>
      <c r="B922" s="45" t="str">
        <f t="shared" si="14"/>
        <v>Trachypithecus_geei11.5</v>
      </c>
      <c r="C922" s="6" t="s">
        <v>567</v>
      </c>
      <c r="D922" s="7">
        <v>11.5</v>
      </c>
      <c r="E922" s="14" t="s">
        <v>213</v>
      </c>
    </row>
    <row r="923" spans="1:7">
      <c r="A923" s="45" t="str">
        <f>IF(COUNTIF($B$2:B923,B923)=1,"ok","dup")</f>
        <v>ok</v>
      </c>
      <c r="B923" s="45" t="str">
        <f t="shared" si="14"/>
        <v>Trachypithecus_geei16.7</v>
      </c>
      <c r="C923" s="6" t="s">
        <v>567</v>
      </c>
      <c r="D923" s="7">
        <v>16.7</v>
      </c>
      <c r="E923" s="14" t="s">
        <v>211</v>
      </c>
    </row>
    <row r="924" spans="1:7">
      <c r="A924" s="45" t="str">
        <f>IF(COUNTIF($B$2:B924,B924)=1,"ok","dup")</f>
        <v>ok</v>
      </c>
      <c r="B924" s="45" t="str">
        <f t="shared" si="14"/>
        <v>Trachypithecus_johnii32</v>
      </c>
      <c r="C924" s="6" t="s">
        <v>568</v>
      </c>
      <c r="D924" s="7">
        <v>32</v>
      </c>
      <c r="E924" s="14" t="s">
        <v>212</v>
      </c>
    </row>
    <row r="925" spans="1:7">
      <c r="A925" s="45" t="str">
        <f>IF(COUNTIF($B$2:B925,B925)=1,"ok","dup")</f>
        <v>ok</v>
      </c>
      <c r="B925" s="45" t="str">
        <f t="shared" si="14"/>
        <v>Trachypithecus_johnii9</v>
      </c>
      <c r="C925" s="6" t="s">
        <v>568</v>
      </c>
      <c r="D925" s="7">
        <v>9</v>
      </c>
      <c r="E925" s="14" t="s">
        <v>213</v>
      </c>
    </row>
    <row r="926" spans="1:7">
      <c r="A926" s="45" t="str">
        <f>IF(COUNTIF($B$2:B926,B926)=1,"ok","dup")</f>
        <v>ok</v>
      </c>
      <c r="B926" s="45" t="str">
        <f t="shared" si="14"/>
        <v>Trachypithecus_johnii17</v>
      </c>
      <c r="C926" s="6" t="s">
        <v>568</v>
      </c>
      <c r="D926" s="7">
        <v>17</v>
      </c>
      <c r="E926" s="14" t="s">
        <v>211</v>
      </c>
    </row>
    <row r="927" spans="1:7">
      <c r="A927" s="45" t="str">
        <f>IF(COUNTIF($B$2:B927,B927)=1,"ok","dup")</f>
        <v>ok</v>
      </c>
      <c r="B927" s="45" t="str">
        <f t="shared" si="14"/>
        <v>Trachypithecus_johnii8</v>
      </c>
      <c r="C927" s="6" t="s">
        <v>568</v>
      </c>
      <c r="D927" s="7">
        <v>8</v>
      </c>
      <c r="E927" s="14" t="s">
        <v>214</v>
      </c>
      <c r="F927" s="14" t="s">
        <v>569</v>
      </c>
    </row>
    <row r="928" spans="1:7">
      <c r="A928" s="45" t="str">
        <f>IF(COUNTIF($B$2:B928,B928)=1,"ok","dup")</f>
        <v>ok</v>
      </c>
      <c r="B928" s="45" t="str">
        <f t="shared" si="14"/>
        <v>Trachypithecus_obscurus10.3</v>
      </c>
      <c r="C928" s="6" t="s">
        <v>570</v>
      </c>
      <c r="D928" s="7">
        <v>10.3</v>
      </c>
      <c r="E928" s="14" t="s">
        <v>216</v>
      </c>
      <c r="F928" s="14" t="s">
        <v>359</v>
      </c>
    </row>
    <row r="929" spans="1:6">
      <c r="A929" s="45" t="str">
        <f>IF(COUNTIF($B$2:B929,B929)=1,"ok","dup")</f>
        <v>dup</v>
      </c>
      <c r="B929" s="45" t="str">
        <f t="shared" si="14"/>
        <v>Trachypithecus_obscurus10.3</v>
      </c>
      <c r="C929" s="6" t="s">
        <v>570</v>
      </c>
      <c r="D929" s="7">
        <v>10.3</v>
      </c>
      <c r="E929" s="14" t="s">
        <v>212</v>
      </c>
    </row>
    <row r="930" spans="1:6">
      <c r="A930" s="45" t="str">
        <f>IF(COUNTIF($B$2:B930,B930)=1,"ok","dup")</f>
        <v>dup</v>
      </c>
      <c r="B930" s="45" t="str">
        <f t="shared" si="14"/>
        <v>Trachypithecus_obscurus10.3</v>
      </c>
      <c r="C930" s="6" t="s">
        <v>570</v>
      </c>
      <c r="D930" s="7">
        <v>10.3</v>
      </c>
      <c r="E930" s="14" t="s">
        <v>211</v>
      </c>
    </row>
    <row r="931" spans="1:6">
      <c r="A931" s="45" t="str">
        <f>IF(COUNTIF($B$2:B931,B931)=1,"ok","dup")</f>
        <v>ok</v>
      </c>
      <c r="B931" s="45" t="str">
        <f t="shared" si="14"/>
        <v>Trachypithecus_phayrei8.8</v>
      </c>
      <c r="C931" s="6" t="s">
        <v>571</v>
      </c>
      <c r="D931" s="7">
        <v>8.8000000000000007</v>
      </c>
      <c r="E931" s="14" t="s">
        <v>211</v>
      </c>
    </row>
    <row r="932" spans="1:6">
      <c r="A932" s="45" t="str">
        <f>IF(COUNTIF($B$2:B932,B932)=1,"ok","dup")</f>
        <v>ok</v>
      </c>
      <c r="B932" s="45" t="str">
        <f t="shared" si="14"/>
        <v>Trachypithecus_pileatus6.4</v>
      </c>
      <c r="C932" s="6" t="s">
        <v>572</v>
      </c>
      <c r="D932" s="7">
        <v>6.4</v>
      </c>
      <c r="E932" s="14" t="s">
        <v>211</v>
      </c>
    </row>
    <row r="933" spans="1:6">
      <c r="A933" s="45" t="str">
        <f>IF(COUNTIF($B$2:B933,B933)=1,"ok","dup")</f>
        <v>ok</v>
      </c>
      <c r="B933" s="45" t="str">
        <f t="shared" si="14"/>
        <v>Trachypithecus_pileatus6</v>
      </c>
      <c r="C933" s="6" t="s">
        <v>572</v>
      </c>
      <c r="D933" s="7">
        <v>6</v>
      </c>
      <c r="E933" s="14" t="s">
        <v>214</v>
      </c>
      <c r="F933" s="14" t="s">
        <v>573</v>
      </c>
    </row>
    <row r="934" spans="1:6">
      <c r="A934" s="45" t="str">
        <f>IF(COUNTIF($B$2:B934,B934)=1,"ok","dup")</f>
        <v>ok</v>
      </c>
      <c r="B934" s="45" t="str">
        <f t="shared" si="14"/>
        <v>Trachypithecus_vetulus13</v>
      </c>
      <c r="C934" s="6" t="s">
        <v>574</v>
      </c>
      <c r="D934" s="7">
        <v>13</v>
      </c>
      <c r="E934" s="14" t="s">
        <v>211</v>
      </c>
    </row>
    <row r="935" spans="1:6">
      <c r="A935" s="45" t="str">
        <f>IF(COUNTIF($B$2:B935,B935)=1,"ok","dup")</f>
        <v>ok</v>
      </c>
      <c r="B935" s="45" t="str">
        <f t="shared" si="14"/>
        <v>Varecia_variegata_variegata5.3</v>
      </c>
      <c r="C935" s="6" t="s">
        <v>118</v>
      </c>
      <c r="D935" s="7">
        <v>5.3</v>
      </c>
      <c r="E935" s="14" t="s">
        <v>276</v>
      </c>
      <c r="F935" s="14" t="s">
        <v>277</v>
      </c>
    </row>
    <row r="936" spans="1:6">
      <c r="A936" s="45" t="str">
        <f>IF(COUNTIF($B$2:B936,B936)=1,"ok","dup")</f>
        <v>ok</v>
      </c>
      <c r="B936" s="45" t="str">
        <f t="shared" si="14"/>
        <v>Varecia_variegata_variegata2</v>
      </c>
      <c r="C936" s="6" t="s">
        <v>118</v>
      </c>
      <c r="D936" s="7">
        <v>2</v>
      </c>
      <c r="E936" s="14" t="s">
        <v>212</v>
      </c>
    </row>
    <row r="937" spans="1:6">
      <c r="A937" s="45" t="str">
        <f>IF(COUNTIF($B$2:B937,B937)=1,"ok","dup")</f>
        <v>ok</v>
      </c>
      <c r="B937" s="45" t="str">
        <f t="shared" si="14"/>
        <v>Varecia_variegata_variegata10.5</v>
      </c>
      <c r="C937" s="6" t="s">
        <v>118</v>
      </c>
      <c r="D937" s="7">
        <v>10.5</v>
      </c>
      <c r="E937" s="14" t="s">
        <v>211</v>
      </c>
    </row>
  </sheetData>
  <autoFilter ref="A1:G937" xr:uid="{00000000-0009-0000-0000-000007000000}"/>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A15"/>
  <sheetViews>
    <sheetView workbookViewId="0"/>
  </sheetViews>
  <sheetFormatPr defaultColWidth="9.140625" defaultRowHeight="12.95"/>
  <cols>
    <col min="1" max="1" width="182.140625" style="47" bestFit="1" customWidth="1"/>
    <col min="2" max="16384" width="9.140625" style="47"/>
  </cols>
  <sheetData>
    <row r="1" spans="1:1">
      <c r="A1" s="48" t="s">
        <v>575</v>
      </c>
    </row>
    <row r="2" spans="1:1">
      <c r="A2" s="47" t="s">
        <v>576</v>
      </c>
    </row>
    <row r="3" spans="1:1">
      <c r="A3" s="47" t="s">
        <v>577</v>
      </c>
    </row>
    <row r="4" spans="1:1">
      <c r="A4" s="47" t="s">
        <v>578</v>
      </c>
    </row>
    <row r="5" spans="1:1">
      <c r="A5" s="47" t="s">
        <v>579</v>
      </c>
    </row>
    <row r="6" spans="1:1">
      <c r="A6" s="47" t="s">
        <v>580</v>
      </c>
    </row>
    <row r="7" spans="1:1">
      <c r="A7" s="47" t="s">
        <v>581</v>
      </c>
    </row>
    <row r="8" spans="1:1">
      <c r="A8" s="47" t="s">
        <v>582</v>
      </c>
    </row>
    <row r="9" spans="1:1">
      <c r="A9" s="47" t="s">
        <v>583</v>
      </c>
    </row>
    <row r="10" spans="1:1">
      <c r="A10" s="47" t="s">
        <v>584</v>
      </c>
    </row>
    <row r="11" spans="1:1">
      <c r="A11" s="47" t="s">
        <v>585</v>
      </c>
    </row>
    <row r="12" spans="1:1">
      <c r="A12" s="47" t="s">
        <v>586</v>
      </c>
    </row>
    <row r="13" spans="1:1">
      <c r="A13" s="47" t="s">
        <v>587</v>
      </c>
    </row>
    <row r="14" spans="1:1">
      <c r="A14" s="47" t="s">
        <v>588</v>
      </c>
    </row>
    <row r="15" spans="1:1">
      <c r="A15" s="47" t="s">
        <v>589</v>
      </c>
    </row>
  </sheetData>
  <sortState xmlns:xlrd2="http://schemas.microsoft.com/office/spreadsheetml/2017/richdata2"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EB969C-98EF-4829-BF7C-86661B20532E}"/>
</file>

<file path=customXml/itemProps2.xml><?xml version="1.0" encoding="utf-8"?>
<ds:datastoreItem xmlns:ds="http://schemas.openxmlformats.org/officeDocument/2006/customXml" ds:itemID="{F3E8A6A1-4C80-4438-A594-590A4C09E6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DeCasien</dc:creator>
  <cp:keywords/>
  <dc:description/>
  <cp:lastModifiedBy>Alexandra de Sousa</cp:lastModifiedBy>
  <cp:revision/>
  <dcterms:created xsi:type="dcterms:W3CDTF">2018-09-09T17:06:15Z</dcterms:created>
  <dcterms:modified xsi:type="dcterms:W3CDTF">2024-03-22T00:00:55Z</dcterms:modified>
  <cp:category/>
  <cp:contentStatus/>
</cp:coreProperties>
</file>