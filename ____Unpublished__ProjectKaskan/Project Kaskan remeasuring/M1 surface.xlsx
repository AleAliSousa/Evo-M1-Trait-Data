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____Unpublished__ProjectKaskan/Project Kaskan remeasuring/"/>
    </mc:Choice>
  </mc:AlternateContent>
  <xr:revisionPtr revIDLastSave="2065" documentId="8_{E747E469-FF29-8840-ADA2-2E9421160776}" xr6:coauthVersionLast="47" xr6:coauthVersionMax="47" xr10:uidLastSave="{C0212882-DECB-2E42-9971-BF43960A2102}"/>
  <bookViews>
    <workbookView xWindow="59700" yWindow="-5960" windowWidth="26060" windowHeight="28300" xr2:uid="{025E72A4-4978-DB43-83EA-AA918C89B7E3}"/>
  </bookViews>
  <sheets>
    <sheet name="M1 surface" sheetId="1" r:id="rId1"/>
  </sheets>
  <definedNames>
    <definedName name="_xlnm._FilterDatabase" localSheetId="0" hidden="1">'M1 surface'!$B$1:$B$499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6" i="1" l="1"/>
  <c r="E504" i="1"/>
  <c r="E503" i="1"/>
  <c r="E4" i="1"/>
  <c r="E3" i="1"/>
  <c r="E2" i="1"/>
  <c r="E499" i="1"/>
  <c r="E498" i="1"/>
  <c r="E18" i="1"/>
  <c r="E497" i="1"/>
  <c r="E496" i="1"/>
  <c r="E495" i="1"/>
  <c r="E494" i="1"/>
  <c r="E493" i="1"/>
  <c r="E492" i="1"/>
  <c r="G20" i="1"/>
  <c r="G14" i="1"/>
  <c r="G15" i="1"/>
  <c r="G16" i="1"/>
  <c r="G17" i="1"/>
  <c r="G19" i="1"/>
  <c r="E10" i="1"/>
  <c r="E9" i="1"/>
  <c r="E491" i="1" s="1"/>
  <c r="E6" i="1"/>
  <c r="E5" i="1"/>
  <c r="E477" i="1"/>
  <c r="G477" i="1" s="1"/>
  <c r="G105" i="1"/>
  <c r="G133" i="1"/>
  <c r="G22" i="1"/>
  <c r="E481" i="1"/>
  <c r="G481" i="1" s="1"/>
  <c r="G96" i="1"/>
  <c r="E46" i="1"/>
  <c r="E483" i="1"/>
  <c r="G483" i="1" s="1"/>
  <c r="E482" i="1"/>
  <c r="G482" i="1" s="1"/>
  <c r="E480" i="1"/>
  <c r="G480" i="1" s="1"/>
  <c r="E157" i="1"/>
  <c r="E479" i="1" s="1"/>
  <c r="G479" i="1" s="1"/>
  <c r="E245" i="1"/>
  <c r="G245" i="1" s="1"/>
  <c r="E473" i="1"/>
  <c r="G473" i="1" s="1"/>
  <c r="E472" i="1"/>
  <c r="G472" i="1" s="1"/>
  <c r="E239" i="1"/>
  <c r="G239" i="1" s="1"/>
  <c r="G240" i="1"/>
  <c r="G241" i="1"/>
  <c r="G242" i="1"/>
  <c r="G128" i="1"/>
  <c r="G224" i="1"/>
  <c r="G225" i="1"/>
  <c r="G229" i="1"/>
  <c r="G230" i="1"/>
  <c r="G223" i="1"/>
  <c r="G11" i="1"/>
  <c r="G13" i="1"/>
  <c r="G56" i="1"/>
  <c r="G45" i="1"/>
  <c r="G49" i="1"/>
  <c r="G12" i="1"/>
  <c r="I441" i="1"/>
  <c r="J441" i="1"/>
  <c r="J333" i="1"/>
  <c r="I333" i="1"/>
  <c r="I332" i="1"/>
  <c r="I331" i="1"/>
  <c r="J330" i="1"/>
  <c r="I330" i="1"/>
  <c r="I327" i="1"/>
  <c r="J327" i="1"/>
  <c r="I328" i="1"/>
  <c r="J328" i="1"/>
  <c r="J437" i="1"/>
  <c r="J438" i="1"/>
  <c r="J439" i="1"/>
  <c r="J440" i="1"/>
  <c r="I438" i="1"/>
  <c r="I439" i="1"/>
  <c r="I440" i="1"/>
  <c r="J431" i="1"/>
  <c r="J432" i="1"/>
  <c r="J433" i="1"/>
  <c r="J434" i="1"/>
  <c r="J435" i="1"/>
  <c r="J436" i="1"/>
  <c r="I431" i="1"/>
  <c r="I432" i="1"/>
  <c r="I433" i="1"/>
  <c r="I434" i="1"/>
  <c r="I435" i="1"/>
  <c r="I436" i="1"/>
  <c r="I437" i="1"/>
  <c r="J429" i="1"/>
  <c r="J430" i="1"/>
  <c r="I429" i="1"/>
  <c r="I430" i="1"/>
  <c r="I428" i="1"/>
  <c r="J428" i="1"/>
  <c r="J346" i="1"/>
  <c r="J347" i="1"/>
  <c r="J348" i="1"/>
  <c r="J345" i="1"/>
  <c r="J341" i="1"/>
  <c r="J342" i="1"/>
  <c r="J343" i="1"/>
  <c r="J344" i="1"/>
  <c r="J340" i="1"/>
  <c r="I341" i="1"/>
  <c r="I342" i="1"/>
  <c r="I343" i="1"/>
  <c r="I344" i="1"/>
  <c r="I345" i="1"/>
  <c r="I346" i="1"/>
  <c r="I347" i="1"/>
  <c r="I348" i="1"/>
  <c r="I340" i="1"/>
  <c r="I335" i="1"/>
  <c r="I336" i="1"/>
  <c r="I337" i="1"/>
  <c r="I338" i="1"/>
  <c r="I339" i="1"/>
  <c r="I334" i="1"/>
  <c r="J337" i="1"/>
  <c r="J338" i="1"/>
  <c r="J335" i="1"/>
  <c r="J336" i="1"/>
  <c r="J334" i="1"/>
  <c r="P72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66" i="1"/>
  <c r="P107" i="1"/>
  <c r="P108" i="1"/>
  <c r="P109" i="1"/>
  <c r="P111" i="1"/>
  <c r="P112" i="1"/>
  <c r="P113" i="1"/>
  <c r="P114" i="1"/>
  <c r="P115" i="1"/>
  <c r="P116" i="1"/>
  <c r="P118" i="1"/>
  <c r="P119" i="1"/>
  <c r="P120" i="1"/>
  <c r="P121" i="1"/>
  <c r="P122" i="1"/>
  <c r="P123" i="1"/>
  <c r="P125" i="1"/>
  <c r="P126" i="1"/>
  <c r="P127" i="1"/>
  <c r="P128" i="1"/>
  <c r="P129" i="1"/>
  <c r="P130" i="1"/>
  <c r="P131" i="1"/>
  <c r="P132" i="1"/>
  <c r="P133" i="1"/>
  <c r="P106" i="1"/>
  <c r="P135" i="1"/>
  <c r="P134" i="1"/>
  <c r="P150" i="1"/>
  <c r="P137" i="1"/>
  <c r="P138" i="1"/>
  <c r="P139" i="1"/>
  <c r="P140" i="1"/>
  <c r="P141" i="1"/>
  <c r="P142" i="1"/>
  <c r="P143" i="1"/>
  <c r="P149" i="1"/>
  <c r="P144" i="1"/>
  <c r="P145" i="1"/>
  <c r="P146" i="1"/>
  <c r="P147" i="1"/>
  <c r="P148" i="1"/>
  <c r="P151" i="1"/>
  <c r="P152" i="1"/>
  <c r="P136" i="1"/>
  <c r="P74" i="1"/>
  <c r="P75" i="1"/>
  <c r="P76" i="1"/>
  <c r="P77" i="1"/>
  <c r="P79" i="1"/>
  <c r="P80" i="1"/>
  <c r="P81" i="1"/>
  <c r="P82" i="1"/>
  <c r="P83" i="1"/>
  <c r="P84" i="1"/>
  <c r="P85" i="1"/>
  <c r="P86" i="1"/>
  <c r="P87" i="1"/>
  <c r="P88" i="1"/>
  <c r="P89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73" i="1"/>
  <c r="P65" i="1"/>
  <c r="P66" i="1"/>
  <c r="P67" i="1"/>
  <c r="P68" i="1"/>
  <c r="P64" i="1"/>
  <c r="E54" i="1"/>
  <c r="E117" i="1"/>
  <c r="P117" i="1" s="1"/>
  <c r="E124" i="1"/>
  <c r="P124" i="1" s="1"/>
  <c r="E110" i="1"/>
  <c r="P110" i="1" s="1"/>
  <c r="E78" i="1"/>
  <c r="P78" i="1" s="1"/>
  <c r="E90" i="1"/>
  <c r="P90" i="1" s="1"/>
  <c r="E21" i="1"/>
  <c r="R71" i="1"/>
  <c r="R70" i="1"/>
  <c r="R69" i="1"/>
  <c r="E57" i="1"/>
  <c r="S68" i="1"/>
  <c r="S65" i="1"/>
  <c r="S66" i="1"/>
  <c r="S67" i="1"/>
  <c r="S64" i="1"/>
  <c r="E28" i="1"/>
  <c r="J332" i="1" s="1"/>
  <c r="E25" i="1"/>
  <c r="J331" i="1" s="1"/>
  <c r="E31" i="1"/>
  <c r="G157" i="1" l="1"/>
  <c r="E478" i="1"/>
  <c r="G478" i="1" s="1"/>
  <c r="E471" i="1"/>
  <c r="G471" i="1" s="1"/>
  <c r="J3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tc={308C875D-AF8A-9447-BEEC-96CD0B315D21}</author>
  </authors>
  <commentList>
    <comment ref="E1" authorId="0" shapeId="0" xr:uid="{308C875D-AF8A-9447-BEEC-96CD0B315D21}">
      <text>
        <t>[Threaded comment]
Your version of Excel allows you to read this threaded comment; however, any edits to it will get removed if the file is opened in a newer version of Excel. Learn more: https://go.microsoft.com/fwlink/?linkid=870924
Comment:
    Single hemisphere</t>
      </text>
    </comment>
  </commentList>
</comments>
</file>

<file path=xl/sharedStrings.xml><?xml version="1.0" encoding="utf-8"?>
<sst xmlns="http://schemas.openxmlformats.org/spreadsheetml/2006/main" count="1871" uniqueCount="345">
  <si>
    <t>Species</t>
  </si>
  <si>
    <t>region eq</t>
  </si>
  <si>
    <t>labelled</t>
  </si>
  <si>
    <t>Area (mm2)</t>
  </si>
  <si>
    <t>Kind of data</t>
  </si>
  <si>
    <t>BEST?</t>
  </si>
  <si>
    <t>Reference</t>
  </si>
  <si>
    <t>Compare?</t>
  </si>
  <si>
    <t>Agree?</t>
  </si>
  <si>
    <t>Hemisphere</t>
  </si>
  <si>
    <t>Individual</t>
  </si>
  <si>
    <t>% cortex</t>
  </si>
  <si>
    <t>% cortex published</t>
  </si>
  <si>
    <t>Note</t>
  </si>
  <si>
    <t>Note2</t>
  </si>
  <si>
    <t>Species Note</t>
  </si>
  <si>
    <t>Callithrix jacchus</t>
  </si>
  <si>
    <t>cortex</t>
  </si>
  <si>
    <t>data</t>
  </si>
  <si>
    <t>Chaplin et al 2013</t>
  </si>
  <si>
    <t>MRI using reference landmark registration</t>
  </si>
  <si>
    <t>Cebus apella</t>
  </si>
  <si>
    <t>Macaca mulatta</t>
  </si>
  <si>
    <t>NA</t>
  </si>
  <si>
    <t>Macaca radiata</t>
  </si>
  <si>
    <t>Turner et al 2016</t>
  </si>
  <si>
    <t>12-58 LH</t>
  </si>
  <si>
    <t>in table brain, in text cortex</t>
  </si>
  <si>
    <t>12-58 RH</t>
  </si>
  <si>
    <t>Macaca nemestrina</t>
  </si>
  <si>
    <t>Homo_sapiens</t>
  </si>
  <si>
    <t>A1</t>
  </si>
  <si>
    <t>41+42</t>
  </si>
  <si>
    <t>detailed schema</t>
  </si>
  <si>
    <t>Van Essen 2005, Fig 9; scale from Van Essen and Drury 1997 B</t>
  </si>
  <si>
    <t>scale note : took scale from Van Essen and Drury 997, drew box around brain, maximum length = 427.972 mm</t>
  </si>
  <si>
    <t>M1</t>
  </si>
  <si>
    <t>MT</t>
  </si>
  <si>
    <t>S1/3b</t>
  </si>
  <si>
    <t>V1</t>
  </si>
  <si>
    <t>V1 part 1 dorsal</t>
  </si>
  <si>
    <t>V1 part 2 ventral</t>
  </si>
  <si>
    <t>V2</t>
  </si>
  <si>
    <t>V2d</t>
  </si>
  <si>
    <t>V2v</t>
  </si>
  <si>
    <t>Area 17</t>
  </si>
  <si>
    <t>Area 18</t>
  </si>
  <si>
    <t>3,1,2</t>
  </si>
  <si>
    <t>VP</t>
  </si>
  <si>
    <t>V3</t>
  </si>
  <si>
    <t>V4v</t>
  </si>
  <si>
    <t>V3A</t>
  </si>
  <si>
    <t>V7</t>
  </si>
  <si>
    <t>V8</t>
  </si>
  <si>
    <t>LO</t>
  </si>
  <si>
    <t>43?</t>
  </si>
  <si>
    <t>red by 40 and 2</t>
  </si>
  <si>
    <t>41?</t>
  </si>
  <si>
    <t>brown by 40</t>
  </si>
  <si>
    <t>42?</t>
  </si>
  <si>
    <t>orange by 40 and 22</t>
  </si>
  <si>
    <t>the Brodmann areas</t>
  </si>
  <si>
    <t>adaptation of schema</t>
  </si>
  <si>
    <t>Wilkinson 2021 Fig 4; scale from Van Essen and Drury 1997 B</t>
  </si>
  <si>
    <t>V1 part 1</t>
  </si>
  <si>
    <t>V1 part 2</t>
  </si>
  <si>
    <t>3a</t>
  </si>
  <si>
    <t>3b</t>
  </si>
  <si>
    <t>S2</t>
  </si>
  <si>
    <t>Brecht 7 Freiwald 2012 Fig 3 a</t>
  </si>
  <si>
    <t>v1 part 1 dorsal</t>
  </si>
  <si>
    <t>v1 part 2 ventral</t>
  </si>
  <si>
    <t>S1</t>
  </si>
  <si>
    <t>S1 face</t>
  </si>
  <si>
    <t>Cortex</t>
  </si>
  <si>
    <t>Macaque</t>
  </si>
  <si>
    <t>Brecht 7 Freiwald 2012 Fig 3 b</t>
  </si>
  <si>
    <t>6x too big?</t>
  </si>
  <si>
    <t>Naked Mole rat</t>
  </si>
  <si>
    <t>Brecht 7 Freiwald 2012 Fig 3 d</t>
  </si>
  <si>
    <t>Macaca_mulatta</t>
  </si>
  <si>
    <t>extra go at it</t>
  </si>
  <si>
    <t>Felleman    &amp;   Van   Essen   (1991)__Fig 2</t>
  </si>
  <si>
    <t>&lt; maybe prob with paper</t>
  </si>
  <si>
    <t>FEF</t>
  </si>
  <si>
    <t>FST</t>
  </si>
  <si>
    <t>MST</t>
  </si>
  <si>
    <t>MSTI</t>
  </si>
  <si>
    <t>MSTd</t>
  </si>
  <si>
    <t>R</t>
  </si>
  <si>
    <t>SII</t>
  </si>
  <si>
    <t>SMA</t>
  </si>
  <si>
    <t>MEF</t>
  </si>
  <si>
    <t xml:space="preserve">V3 </t>
  </si>
  <si>
    <t>part 1 V3</t>
  </si>
  <si>
    <t>Part 2 v3</t>
  </si>
  <si>
    <t>V4v, V4d</t>
  </si>
  <si>
    <t>V4t</t>
  </si>
  <si>
    <t>ER</t>
  </si>
  <si>
    <t>subicular</t>
  </si>
  <si>
    <t>CA1</t>
  </si>
  <si>
    <t>CA3</t>
  </si>
  <si>
    <t>RL</t>
  </si>
  <si>
    <t>Ri</t>
  </si>
  <si>
    <t xml:space="preserve">cortex </t>
  </si>
  <si>
    <t>Krubitzer &amp; Dooley 2013 Fig 1</t>
  </si>
  <si>
    <t>FSTd</t>
  </si>
  <si>
    <t>FSTv</t>
  </si>
  <si>
    <t>MTc</t>
  </si>
  <si>
    <t>Krubitzer &amp; Dooley 2013 Fig 1; Krubitzer 2009 Fig 7</t>
  </si>
  <si>
    <t>3b part 1</t>
  </si>
  <si>
    <t>3b part 2 rostral</t>
  </si>
  <si>
    <t>PV</t>
  </si>
  <si>
    <t>V3d</t>
  </si>
  <si>
    <t>V3v</t>
  </si>
  <si>
    <t>DM/V3a</t>
  </si>
  <si>
    <t>V4</t>
  </si>
  <si>
    <t>Saimiri_sciureus</t>
  </si>
  <si>
    <t>detailed figure</t>
  </si>
  <si>
    <t>Krubitzer &amp; Kaas 1990 Fig 12</t>
  </si>
  <si>
    <t>DL</t>
  </si>
  <si>
    <t>DM</t>
  </si>
  <si>
    <t>FV</t>
  </si>
  <si>
    <t>PV/IG</t>
  </si>
  <si>
    <t>DI</t>
  </si>
  <si>
    <t>premotor</t>
  </si>
  <si>
    <t>neocortex</t>
  </si>
  <si>
    <t>limited by figure boundary</t>
  </si>
  <si>
    <t>region - detailed figure</t>
  </si>
  <si>
    <t>Mayer 2019</t>
  </si>
  <si>
    <t>Case 15-01</t>
  </si>
  <si>
    <t>Case 15-02</t>
  </si>
  <si>
    <t>Case 15-03 amputee missing D5 in the right hand.</t>
  </si>
  <si>
    <t>Case 15-04</t>
  </si>
  <si>
    <t>average Case 15-01;Case 15-02;Case 15-03 amputee missing D5 in the right hand;Case 15-04</t>
  </si>
  <si>
    <t>seems incomplete</t>
  </si>
  <si>
    <t>looked at inset of whole brain, should be bigger</t>
  </si>
  <si>
    <t>M1 hand representation</t>
  </si>
  <si>
    <t>M1 body representations</t>
  </si>
  <si>
    <t>(partial) subregions (body representations)</t>
  </si>
  <si>
    <t>Dea et al 2016</t>
  </si>
  <si>
    <t>25-100 mm2? Seems underestimate</t>
  </si>
  <si>
    <t xml:space="preserve"> 10.1093/cercor/bhv324</t>
  </si>
  <si>
    <t>schema</t>
  </si>
  <si>
    <t>Rosa et al 1993 Fig 11</t>
  </si>
  <si>
    <t>7a</t>
  </si>
  <si>
    <t>DP</t>
  </si>
  <si>
    <t>LIP</t>
  </si>
  <si>
    <t>VIP</t>
  </si>
  <si>
    <t>PIP</t>
  </si>
  <si>
    <t>Motor</t>
  </si>
  <si>
    <t>detailed figure within aligned schema</t>
  </si>
  <si>
    <t>Rosa et al 1993 Fig 5A</t>
  </si>
  <si>
    <t>Som.</t>
  </si>
  <si>
    <t>Primary visual</t>
  </si>
  <si>
    <t>Brodmann (Smaers)</t>
  </si>
  <si>
    <t>Saimiri sciureus</t>
  </si>
  <si>
    <t>Papio cynocephalus</t>
  </si>
  <si>
    <t>Papio hamadryas</t>
  </si>
  <si>
    <t>Mandrillus sphinx</t>
  </si>
  <si>
    <t>Hylobates lar</t>
  </si>
  <si>
    <t>Pan troglodytes troglodytes</t>
  </si>
  <si>
    <t>Homo sapiens</t>
  </si>
  <si>
    <t>Prefrontal</t>
  </si>
  <si>
    <t>Other cortical association areas</t>
  </si>
  <si>
    <t>Frontal motor</t>
  </si>
  <si>
    <t>Otolemur garnettii</t>
  </si>
  <si>
    <t>Young et al 2013</t>
  </si>
  <si>
    <t>n=3 brain mass (g) 0.065 ± 0.02</t>
  </si>
  <si>
    <t>Aotus nancymaae</t>
  </si>
  <si>
    <t>n=1 brain mass (g) 0.267</t>
  </si>
  <si>
    <t>n=1 brain mass (g) 0.344</t>
  </si>
  <si>
    <t>Ignore - Papio cynocephalus anubis</t>
  </si>
  <si>
    <t>Ignore - Papio hamadryas anubis</t>
  </si>
  <si>
    <t>Pan troglodytes</t>
  </si>
  <si>
    <t>n=1 brain mass (g) 7.520</t>
  </si>
  <si>
    <t>Papio anubis</t>
  </si>
  <si>
    <t>I averaged the subspecies/hybrid.</t>
  </si>
  <si>
    <t>Lacks clear hybrid nomenclature. Papio cynocephalus brain mass (g) 2.102; Papio hamadryas anubis (n = 1) 2.000</t>
  </si>
  <si>
    <t xml:space="preserve">V1 </t>
  </si>
  <si>
    <t>Collins et al 2016</t>
  </si>
  <si>
    <t>35.04 cm2</t>
  </si>
  <si>
    <t>right</t>
  </si>
  <si>
    <t>341 cm2</t>
  </si>
  <si>
    <t>Otolemur garnetti</t>
  </si>
  <si>
    <t>left</t>
  </si>
  <si>
    <t>galago 1</t>
  </si>
  <si>
    <t>galago 2</t>
  </si>
  <si>
    <t>Papio cynocephalus anubis</t>
  </si>
  <si>
    <t>galago 3</t>
  </si>
  <si>
    <t>galago 1,galago 2,galago 3</t>
  </si>
  <si>
    <t>macaque 1</t>
  </si>
  <si>
    <t>baboon 1</t>
  </si>
  <si>
    <t>baboon 2</t>
  </si>
  <si>
    <t>baboon 1, baboon 2</t>
  </si>
  <si>
    <t>Region_Kaskan</t>
  </si>
  <si>
    <t>Area.mm2</t>
  </si>
  <si>
    <t>Source__Page</t>
  </si>
  <si>
    <t>Aotus_trivirgatus</t>
  </si>
  <si>
    <t>Krubitzer, L. A., &amp; Kaas, J. H. (1993). The dorsomedial visual area of owl monkeys: connections, myeloarchitecture, and homologies in other primates. J Comp Neurol, 334(4), 497-528. doi:10.1002/cne.903340402__Fig 3___Krubitzer, L. A., &amp; Kaas, J. H. (1993). The dorsomedial visual area of owl monkeys: connections, myeloarchitecture, and homologies in other primates. J Comp Neurol, 334(4), 497-528. doi:10.1002/cne.903340402__Fig 5</t>
  </si>
  <si>
    <t>Krubitzer, L. A., &amp; Kaas, J. H. (1993). The dorsomedial visual area of owl monkeys: connections, myeloarchitecture, and homologies in other primates. J Comp Neurol, 334(4), 497-528. doi:10.1002/cne.903340402__Fig 3___Krubitzer, L. A., &amp; Kaas, J. H. (1993). The dorsomedial visual area of owl monkeys: connections, myeloarchitecture, and homologies in other primates. J Comp Neurol, 334(4), 497-528. doi:10.1002/cne.903340402__Fig 14</t>
  </si>
  <si>
    <t>Krubitzer, L. A., &amp; Kaas, J. H. (1993). The dorsomedial visual area of owl monkeys: connections, myeloarchitecture, and homologies in other primates. J Comp Neurol, 334(4), 497-528. doi:10.1002/cne.903340402__Fig 14</t>
  </si>
  <si>
    <t>A1+R</t>
  </si>
  <si>
    <t>Krubitzer, L. A., &amp; Kaas, J. H. (1993). The dorsomedial visual area of owl monkeys: connections, myeloarchitecture, and homologies in other primates. J Comp Neurol, 334(4), 497-528. doi:10.1002/cne.903340402__Fig 3___Krubitzer, L. A., &amp; Kaas, J. H. (1993). The dorsomedial visual area of owl monkeys: connections, myeloarchitecture, and homologies in other primates. J Comp Neurol, 334(4), 497-528. doi:10.1002/cne.903340402__Fig 14___Krubitzer, L. A., &amp; Kaas, J. H. (1993). The dorsomedial visual area of owl monkeys: connections, myeloarchitecture, and homologies in other primates. J Comp Neurol, 334(4), 497-528. doi:10.1002/cne.903340402__Fig 6___Krubitzer, L. A., &amp; Kaas, J. H. (1993). The dorsomedial visual area of owl monkeys: connections, myeloarchitecture, and homologies in other primates. J Comp Neurol, 334(4), 497-528. doi:10.1002/cne.903340402__Fig 5</t>
  </si>
  <si>
    <t>Krubitzer, L. A., &amp; Kaas, J. H. (1993). The dorsomedial visual area of owl monkeys: connections, myeloarchitecture, and homologies in other primates. J Comp Neurol, 334(4), 497-528. doi:10.1002/cne.903340402__Fig 3___Krubitzer, L. A., &amp; Kaas, J. H. (1993). The dorsomedial visual area of owl monkeys: connections, myeloarchitecture, and homologies in other primates. J Comp Neurol, 334(4), 497-528. doi:10.1002/cne.903340402__Fig 6___Krubitzer, L. A., &amp; Kaas, J. H. (1993). The dorsomedial visual area of owl monkeys: connections, myeloarchitecture, and homologies in other primates. J Comp Neurol, 334(4), 497-528. doi:10.1002/cne.903340402__Fig 5</t>
  </si>
  <si>
    <t>FR</t>
  </si>
  <si>
    <t>Krubitzer, L. A., &amp; Kaas, J. H. (1993). The dorsomedial visual area of owl monkeys: connections, myeloarchitecture, and homologies in other primates. J Comp Neurol, 334(4), 497-528. doi:10.1002/cne.903340402__Fig 3</t>
  </si>
  <si>
    <t>VPP</t>
  </si>
  <si>
    <t>Callithrix_jacchus</t>
  </si>
  <si>
    <t>Krubitzer, L. A., &amp; Kaas, J. H. (1993). The dorsomedial visual area of owl monkeys: connections, myeloarchitecture, and homologies in other primates. J Comp Neurol, 334(4), 497-528. doi:10.1002/cne.903340402__Fig 15</t>
  </si>
  <si>
    <t>Krubitzer, L. A., &amp; Kaas, J. H. (1993). The dorsomedial visual area of owl monkeys: connections, myeloarchitecture, and homologies in other primates. J Comp Neurol, 334(4), 497-528. doi:10.1002/cne.903340402__Fig 13</t>
  </si>
  <si>
    <t>Krubitzer, L. A., &amp; Kaas, J. H. (1993). The dorsomedial visual area of owl monkeys: connections, myeloarchitecture, and homologies in other primates. J Comp Neurol, 334(4), 497-528. doi:10.1002/cne.903340402__Fig 15___Krubitzer, L. A., &amp; Kaas, J. H. (1993). The dorsomedial visual area of owl monkeys: connections, myeloarchitecture, and homologies in other primates. J Comp Neurol, 334(4), 497-528. doi:10.1002/cne.903340402__Fig 13</t>
  </si>
  <si>
    <t>M</t>
  </si>
  <si>
    <t>Cheirogaleus_medius</t>
  </si>
  <si>
    <t>Preuss &amp; Kaas   (1996__Fig 1</t>
  </si>
  <si>
    <t>Dasyurus_hallucatus</t>
  </si>
  <si>
    <t>Huffman, Nelson, Clarey &amp; Krubitzer, 1999__96-81</t>
  </si>
  <si>
    <t>Didelphis_marsupialis</t>
  </si>
  <si>
    <t>CT (visual area)</t>
  </si>
  <si>
    <t>Echinops_telfairi</t>
  </si>
  <si>
    <t>Krubitzer, Kunzle &amp; Kaas, 1997__96-81</t>
  </si>
  <si>
    <t>RV</t>
  </si>
  <si>
    <t>SII+PV</t>
  </si>
  <si>
    <t>Erinaceus_europaeus</t>
  </si>
  <si>
    <t>Krubitzer et al., 1995__88-5</t>
  </si>
  <si>
    <t>Galago_senegalensis</t>
  </si>
  <si>
    <t>krubitzer    &amp;   Kaas   (1990);__88-5</t>
  </si>
  <si>
    <t>Brecht, M., &amp; Freiwald, W. A. (2012). The many facets of facial interactions in mammals.¬†Current Opinion in Neurobiology,¬†22(2), 259-266.__Fig 1</t>
  </si>
  <si>
    <t>Van   Essen    &amp;   Drury    (1997);__Fig 1</t>
  </si>
  <si>
    <t>Pitzalis, S., Fattori, P., &amp; Galletti, C. (2015). The human cortical areas V6 and V6A.¬†Visual neuroscience,¬†32.__Fig 1</t>
  </si>
  <si>
    <t>Van   Essen    &amp;   Drury    (1997);__Fig 1___Pitzalis, S., Fattori, P., &amp; Galletti, C. (2015). The human cortical areas V6 and V6A.¬†Visual neuroscience,¬†32.__Fig 1___Brecht, M., &amp; Freiwald, W. A. (2012). The many facets of facial interactions in mammals.¬†Current Opinion in Neurobiology,¬†22(2), 259-266.__Fig 1</t>
  </si>
  <si>
    <t>Van   Essen    &amp;   Drury    (1997);__Fig 1___Pitzalis, S., Fattori, P., &amp; Galletti, C. (2015). The human cortical areas V6 and V6A.¬†Visual neuroscience,¬†32.__Fig 1</t>
  </si>
  <si>
    <t>mef</t>
  </si>
  <si>
    <t>Monodelphis_domestica</t>
  </si>
  <si>
    <t>if instead combining area 4, 6, SMA and MEF looks the size Brodmann reported</t>
  </si>
  <si>
    <t>Mus_musculus</t>
  </si>
  <si>
    <t>Krubitzer and  Huffman, 2000__88-5</t>
  </si>
  <si>
    <t>A2</t>
  </si>
  <si>
    <t>Mustela_putorius</t>
  </si>
  <si>
    <t>Manger et al., 2002__88-5</t>
  </si>
  <si>
    <t>Nannospalax_galili</t>
  </si>
  <si>
    <t>Krubitzer and Prescott 2018__88-5</t>
  </si>
  <si>
    <t>Nycticebus_coucang</t>
  </si>
  <si>
    <t>Preuss, T. M., Beck, P. D. &amp; Kaas, J. H. 1993__Fig 2</t>
  </si>
  <si>
    <t>Ornithorhynchus_anatinus</t>
  </si>
  <si>
    <t>Krubitzer 1999__96-81</t>
  </si>
  <si>
    <t>Ar</t>
  </si>
  <si>
    <t>R not audio R instead motor</t>
  </si>
  <si>
    <t>Vr</t>
  </si>
  <si>
    <t>Otolemur_garnettii</t>
  </si>
  <si>
    <t>Kaas, J. H., Gharbawie, O., &amp; Stepniewska, I. (2011). The organization and evolution of dorsal stream multisensory motor pathways in primates. Frontiers in neuroanatomy, 5, 34.__88-5</t>
  </si>
  <si>
    <t>Otospermophilus_beecheyi</t>
  </si>
  <si>
    <t>Lyon et al. (1998__96-81</t>
  </si>
  <si>
    <t>Pteropus_niger</t>
  </si>
  <si>
    <t>Krubitzer et al. (1993)__202</t>
  </si>
  <si>
    <t>Krubitzer et al. (1993)__183___Krubitzer et al. (1993)__184___Krubitzer et al. (1993)__199___Krubitzer et al. (1993)__202</t>
  </si>
  <si>
    <t>Krubitzer et al. (1993)__184___Krubitzer et al. (1993)__199___Krubitzer et al. (1993)__202</t>
  </si>
  <si>
    <t>Krubitzer et al. (1993)__183___Krubitzer et al. (1993)__184___Krubitzer et al. (1993)__199</t>
  </si>
  <si>
    <t>Krubitzer et al. (1993)__183___Krubitzer et al. (1993)__199</t>
  </si>
  <si>
    <t>Rattus_norvegicus</t>
  </si>
  <si>
    <t>Catania, K. C., &amp; Remple, M. S. (2002). Somatosensory cortex dominated by the representation of teeth in the naked mole-rat brain.¬†Proceedings of the National Academy of Sciences,¬†99(8), 5692-5697.__88-5</t>
  </si>
  <si>
    <t>Saguinus_fuscicollis</t>
  </si>
  <si>
    <t>Luethke et al. (1989)__Fig 2</t>
  </si>
  <si>
    <t>Krubitzer &amp; Kaas   (1990)__Fig 2</t>
  </si>
  <si>
    <t>Sciurus_carolinensis</t>
  </si>
  <si>
    <t>Luethke et al. (1988)__85-15___Luethke et al. (1988)__85-21___Luethke et al. (1988)__85-43___Luethke et al. (1988)__85-90</t>
  </si>
  <si>
    <t>Sminthopsis_crassicaudata</t>
  </si>
  <si>
    <t>Tachyglossus_aculeatus</t>
  </si>
  <si>
    <t>Tupaia_belangeri</t>
  </si>
  <si>
    <t>Lyon et al. (1998__Fig 13___Lyon et al. (1998__96-81</t>
  </si>
  <si>
    <t>INTERPRETATIONS</t>
  </si>
  <si>
    <t>M1/cortex</t>
  </si>
  <si>
    <t>same specimens averaged, species not really clear</t>
  </si>
  <si>
    <t>Mayer 2019 ; Chaplin et al 2013</t>
  </si>
  <si>
    <t>Area4/cortex</t>
  </si>
  <si>
    <t>Wilkinson 2021 Fig 4; scale from Van Essen and Drury 1997 B; Van Essen 2005, Fig 9; scale from Van Essen and Drury 1997 B</t>
  </si>
  <si>
    <t>Use these M1 surface areas and the cerebral cortex ones called BEST in blue, nonitalics</t>
  </si>
  <si>
    <t>I left red text with ratios which I was using to compare</t>
  </si>
  <si>
    <t xml:space="preserve">Also the italics are Area 4 for comparison, not labelled M1, so there is some question of homology. But I left the Human Area 4 for comparison because the source for M1 was an adapred schema so a but vague compared to others which are teams that measure surfaces, and M. mulatta also. </t>
  </si>
  <si>
    <t>Young et al 2013; Collins et al 2016</t>
  </si>
  <si>
    <t>this might be inflated since some neocortex was missing</t>
  </si>
  <si>
    <t>may be underestimate as some neocortex was missing</t>
  </si>
  <si>
    <t>V1 right</t>
  </si>
  <si>
    <t>Van Essen and Drury 1997</t>
  </si>
  <si>
    <t>V1 left</t>
  </si>
  <si>
    <t>V1 average L,R</t>
  </si>
  <si>
    <t>22 cm2</t>
  </si>
  <si>
    <t>26 cm2</t>
  </si>
  <si>
    <t>L</t>
  </si>
  <si>
    <t xml:space="preserve">22–29 cm2 </t>
  </si>
  <si>
    <t xml:space="preserve">15–37 cm2 </t>
  </si>
  <si>
    <t>Filiminoff (1932) cited in  Van Essen and Drury 1997</t>
  </si>
  <si>
    <t>1570 cm2(both hemispheres)</t>
  </si>
  <si>
    <t>Stensaas et al. (1974)  cited in  Van Essen and Drury 1997</t>
  </si>
  <si>
    <t xml:space="preserve"> hippocampus and other archicortical and paleocortical structures, all limbic regions that were not included in the Visible Man reconstruction; however they were included in the macaque in Fellemen and Van Essen</t>
  </si>
  <si>
    <t>100.6 cm2</t>
  </si>
  <si>
    <t>103.4 cm2</t>
  </si>
  <si>
    <t>LH</t>
  </si>
  <si>
    <t>RH</t>
  </si>
  <si>
    <t>11-47</t>
  </si>
  <si>
    <t>10-50</t>
  </si>
  <si>
    <t>151.8 cm2</t>
  </si>
  <si>
    <t>152.3 cm2</t>
  </si>
  <si>
    <t>186 cm2</t>
  </si>
  <si>
    <t>234 cm2</t>
  </si>
  <si>
    <t>9-27 PHX</t>
  </si>
  <si>
    <t>11-31 PHA</t>
  </si>
  <si>
    <t>neocortex or brain</t>
  </si>
  <si>
    <t>Brain weight (g)</t>
  </si>
  <si>
    <t>36.4</t>
  </si>
  <si>
    <t>33.2</t>
  </si>
  <si>
    <t>56.3</t>
  </si>
  <si>
    <t>50</t>
  </si>
  <si>
    <t>Collins et al 2010</t>
  </si>
  <si>
    <t>Body weight</t>
  </si>
  <si>
    <t>female</t>
  </si>
  <si>
    <t xml:space="preserve">500 g </t>
  </si>
  <si>
    <t>male</t>
  </si>
  <si>
    <t xml:space="preserve">3.3 kg </t>
  </si>
  <si>
    <t>34.8 kg</t>
  </si>
  <si>
    <t>Sex</t>
  </si>
  <si>
    <t xml:space="preserve"> 3.3 kg </t>
  </si>
  <si>
    <t>n=4 average</t>
  </si>
  <si>
    <t xml:space="preserve">n=1  , Texas Biomedical Research Institute, 53 y, </t>
  </si>
  <si>
    <t>anatomjcal description</t>
  </si>
  <si>
    <t>from other study</t>
  </si>
  <si>
    <t>V1/cortex</t>
  </si>
  <si>
    <t>V1/neocortex</t>
  </si>
  <si>
    <t>Rosa et al ; Chaplin et al 2013</t>
  </si>
  <si>
    <t xml:space="preserve">Rosa et al </t>
  </si>
  <si>
    <t>Ignore - Papio hamadryas anubis/cyncephalus hybrid</t>
  </si>
  <si>
    <t>9-27 PHX, 11-31 PHA</t>
  </si>
  <si>
    <t>Brodmann (Smaers); Turner et al 2016</t>
  </si>
  <si>
    <t xml:space="preserve">718 cm2 </t>
  </si>
  <si>
    <t xml:space="preserve">2114 cm2 </t>
  </si>
  <si>
    <t>224 cm2  = 2 hemi</t>
  </si>
  <si>
    <t>2 hemi</t>
  </si>
  <si>
    <t>Demirci et al 2023</t>
  </si>
  <si>
    <t>vol of brain in cm3 = 433</t>
  </si>
  <si>
    <t>calculation from regression in Haug 1987</t>
  </si>
  <si>
    <t>Haug 1987</t>
  </si>
  <si>
    <t>vol of brain in cm3 = 1300</t>
  </si>
  <si>
    <t>cortex1vol</t>
  </si>
  <si>
    <t>fig 3</t>
  </si>
  <si>
    <t>cortexcalc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</si>
</sst>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3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color rgb="FFFFC00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sz val="12"/>
      <color theme="3" tint="0.249977111117893"/>
      <name val="Aptos Narrow"/>
      <scheme val="minor"/>
    </font>
    <font>
      <b/>
      <sz val="12"/>
      <name val="Aptos Narrow"/>
      <scheme val="minor"/>
    </font>
    <font>
      <sz val="10"/>
      <color rgb="FF231F20"/>
      <name val="Helvetica"/>
      <family val="2"/>
    </font>
    <font>
      <i/>
      <sz val="10"/>
      <color rgb="FF231F20"/>
      <name val="Helvetica"/>
      <family val="2"/>
    </font>
    <font>
      <i/>
      <sz val="12"/>
      <color theme="8"/>
      <name val="Aptos Narrow"/>
      <scheme val="minor"/>
    </font>
    <font>
      <sz val="12"/>
      <color theme="4"/>
      <name val="Aptos Narrow"/>
      <scheme val="minor"/>
    </font>
    <font>
      <sz val="12"/>
      <color theme="1"/>
      <name val="Aptos Narrow"/>
      <scheme val="minor"/>
    </font>
    <font>
      <sz val="12"/>
      <color theme="9"/>
      <name val="Aptos Narrow"/>
      <scheme val="minor"/>
    </font>
    <font>
      <sz val="12"/>
      <color theme="3" tint="0.249977111117893"/>
      <name val="Aptos Narrow"/>
      <scheme val="minor"/>
    </font>
    <font>
      <sz val="12"/>
      <name val="Aptos Narrow"/>
      <scheme val="minor"/>
    </font>
    <font>
      <i/>
      <sz val="12"/>
      <name val="Aptos Narrow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18" fillId="0" borderId="0" xfId="0" applyFont="1"/>
    <xf numFmtId="0" fontId="0" fillId="33" borderId="0" xfId="0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22" fillId="0" borderId="0" xfId="0" applyFont="1"/>
    <xf numFmtId="0" fontId="23" fillId="37" borderId="0" xfId="0" applyFont="1" applyFill="1"/>
    <xf numFmtId="0" fontId="0" fillId="40" borderId="0" xfId="0" applyFill="1"/>
    <xf numFmtId="0" fontId="18" fillId="0" borderId="0" xfId="0" applyFont="1" applyAlignment="1">
      <alignment wrapText="1"/>
    </xf>
    <xf numFmtId="0" fontId="23" fillId="0" borderId="0" xfId="0" applyFont="1"/>
    <xf numFmtId="0" fontId="14" fillId="0" borderId="0" xfId="0" applyFont="1"/>
    <xf numFmtId="164" fontId="0" fillId="0" borderId="0" xfId="42" applyNumberFormat="1" applyFont="1"/>
    <xf numFmtId="0" fontId="23" fillId="38" borderId="0" xfId="0" applyFont="1" applyFill="1"/>
    <xf numFmtId="0" fontId="24" fillId="0" borderId="0" xfId="0" applyFont="1"/>
    <xf numFmtId="0" fontId="0" fillId="0" borderId="0" xfId="0" applyAlignment="1">
      <alignment wrapText="1"/>
    </xf>
    <xf numFmtId="0" fontId="0" fillId="34" borderId="0" xfId="0" applyFill="1" applyAlignment="1">
      <alignment wrapText="1"/>
    </xf>
    <xf numFmtId="0" fontId="24" fillId="0" borderId="0" xfId="0" applyFont="1" applyAlignment="1">
      <alignment wrapText="1"/>
    </xf>
    <xf numFmtId="1" fontId="0" fillId="0" borderId="0" xfId="0" applyNumberForma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38" borderId="0" xfId="0" applyFont="1" applyFill="1"/>
    <xf numFmtId="164" fontId="26" fillId="0" borderId="0" xfId="42" applyNumberFormat="1" applyFont="1"/>
    <xf numFmtId="16" fontId="0" fillId="0" borderId="0" xfId="0" applyNumberFormat="1"/>
    <xf numFmtId="0" fontId="31" fillId="0" borderId="0" xfId="0" applyFont="1"/>
    <xf numFmtId="0" fontId="30" fillId="0" borderId="0" xfId="0" applyFont="1"/>
    <xf numFmtId="165" fontId="24" fillId="0" borderId="0" xfId="0" applyNumberFormat="1" applyFont="1"/>
    <xf numFmtId="165" fontId="14" fillId="0" borderId="0" xfId="0" applyNumberFormat="1" applyFont="1" applyAlignment="1">
      <alignment wrapText="1"/>
    </xf>
    <xf numFmtId="164" fontId="1" fillId="0" borderId="0" xfId="42" applyNumberFormat="1" applyFont="1"/>
    <xf numFmtId="0" fontId="32" fillId="0" borderId="0" xfId="0" applyFont="1"/>
    <xf numFmtId="165" fontId="32" fillId="0" borderId="0" xfId="0" applyNumberFormat="1" applyFont="1" applyAlignment="1">
      <alignment wrapText="1"/>
    </xf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38" borderId="0" xfId="0" applyFont="1" applyFill="1"/>
    <xf numFmtId="164" fontId="34" fillId="0" borderId="0" xfId="42" applyNumberFormat="1" applyFont="1"/>
    <xf numFmtId="17" fontId="0" fillId="0" borderId="0" xfId="0" quotePrefix="1" applyNumberFormat="1"/>
    <xf numFmtId="0" fontId="29" fillId="0" borderId="0" xfId="0" applyFont="1"/>
    <xf numFmtId="0" fontId="37" fillId="0" borderId="0" xfId="0" applyFont="1"/>
    <xf numFmtId="0" fontId="38" fillId="0" borderId="0" xfId="0" applyFont="1"/>
    <xf numFmtId="164" fontId="37" fillId="0" borderId="0" xfId="42" applyNumberFormat="1" applyFont="1" applyFill="1"/>
    <xf numFmtId="0" fontId="37" fillId="0" borderId="0" xfId="0" applyFont="1" applyAlignment="1">
      <alignment wrapText="1"/>
    </xf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fgColor auto="1"/>
          <bgColor rgb="FFFF716A"/>
        </patternFill>
      </fill>
    </dxf>
    <dxf>
      <fill>
        <patternFill>
          <fgColor auto="1"/>
          <bgColor theme="9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fgColor auto="1"/>
          <bgColor rgb="FFFFC000"/>
        </patternFill>
      </fill>
    </dxf>
  </dxfs>
  <tableStyles count="0" defaultTableStyle="TableStyleMedium2" defaultPivotStyle="PivotStyleLight16"/>
  <colors>
    <mruColors>
      <color rgb="FFFF71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andra de Sousa" id="{153E8C26-8851-8543-8CB4-CA049C30646E}" userId="S::alexandra.de.sousa@alleninstitute.org::640aa743-16f8-4127-82f4-890c7649824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4-10-25T23:48:12.61" personId="{153E8C26-8851-8543-8CB4-CA049C30646E}" id="{308C875D-AF8A-9447-BEEC-96CD0B315D21}">
    <text>Single hemisphere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8233-F907-374F-B90D-9126C5A9020A}">
  <sheetPr filterMode="1"/>
  <dimension ref="A1:T506"/>
  <sheetViews>
    <sheetView tabSelected="1"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A501" sqref="A501:XFD502"/>
    </sheetView>
  </sheetViews>
  <sheetFormatPr baseColWidth="10" defaultColWidth="11" defaultRowHeight="16"/>
  <cols>
    <col min="1" max="1" width="42.1640625" customWidth="1"/>
    <col min="2" max="2" width="13.33203125" customWidth="1"/>
    <col min="3" max="3" width="6.83203125" customWidth="1"/>
    <col min="4" max="4" width="6.83203125" style="46" customWidth="1"/>
    <col min="5" max="5" width="13" customWidth="1"/>
    <col min="6" max="6" width="18.83203125" customWidth="1"/>
    <col min="7" max="7" width="7.33203125" style="20" customWidth="1"/>
    <col min="8" max="8" width="16" customWidth="1"/>
    <col min="9" max="9" width="9.33203125" customWidth="1"/>
    <col min="10" max="10" width="8.5" style="3" customWidth="1"/>
    <col min="11" max="11" width="13" customWidth="1"/>
    <col min="14" max="14" width="7.83203125" customWidth="1"/>
    <col min="15" max="15" width="13.83203125" customWidth="1"/>
    <col min="16" max="16" width="10.83203125" style="18"/>
  </cols>
  <sheetData>
    <row r="1" spans="1:20" s="25" customFormat="1" ht="17" customHeight="1">
      <c r="A1" s="25" t="s">
        <v>0</v>
      </c>
      <c r="B1" s="25" t="s">
        <v>1</v>
      </c>
      <c r="C1" s="25" t="s">
        <v>2</v>
      </c>
      <c r="D1" s="45" t="s">
        <v>324</v>
      </c>
      <c r="E1" s="25" t="s">
        <v>3</v>
      </c>
      <c r="F1" s="25" t="s">
        <v>4</v>
      </c>
      <c r="G1" s="27" t="s">
        <v>5</v>
      </c>
      <c r="H1" s="25" t="s">
        <v>6</v>
      </c>
      <c r="I1" s="28" t="s">
        <v>7</v>
      </c>
      <c r="J1" s="28" t="s">
        <v>8</v>
      </c>
      <c r="K1" s="25" t="s">
        <v>10</v>
      </c>
      <c r="L1" s="25" t="s">
        <v>9</v>
      </c>
      <c r="M1" s="25" t="s">
        <v>314</v>
      </c>
      <c r="N1" s="25" t="s">
        <v>320</v>
      </c>
      <c r="O1" s="25" t="s">
        <v>308</v>
      </c>
      <c r="P1" s="29" t="s">
        <v>11</v>
      </c>
      <c r="Q1" s="25" t="s">
        <v>12</v>
      </c>
      <c r="R1" s="25" t="s">
        <v>13</v>
      </c>
      <c r="S1" s="25" t="s">
        <v>14</v>
      </c>
      <c r="T1" s="25" t="s">
        <v>15</v>
      </c>
    </row>
    <row r="2" spans="1:20" s="25" customFormat="1" ht="17" customHeight="1">
      <c r="A2" t="s">
        <v>22</v>
      </c>
      <c r="B2" s="39" t="s">
        <v>17</v>
      </c>
      <c r="D2" s="45"/>
      <c r="E2" s="39">
        <f>22400/2</f>
        <v>11200</v>
      </c>
      <c r="F2" s="40" t="s">
        <v>18</v>
      </c>
      <c r="G2" s="27"/>
      <c r="H2" s="39" t="s">
        <v>337</v>
      </c>
      <c r="I2" s="28"/>
      <c r="J2" s="28"/>
      <c r="L2" s="25" t="s">
        <v>336</v>
      </c>
      <c r="P2" s="29"/>
      <c r="R2" s="39" t="s">
        <v>335</v>
      </c>
    </row>
    <row r="3" spans="1:20" s="25" customFormat="1" ht="17" customHeight="1">
      <c r="A3" t="s">
        <v>174</v>
      </c>
      <c r="B3" s="39" t="s">
        <v>17</v>
      </c>
      <c r="D3" s="45"/>
      <c r="E3" s="39">
        <f>71800/2</f>
        <v>35900</v>
      </c>
      <c r="F3" s="1" t="s">
        <v>18</v>
      </c>
      <c r="G3" s="27"/>
      <c r="H3" s="39" t="s">
        <v>337</v>
      </c>
      <c r="I3" s="28"/>
      <c r="J3" s="28"/>
      <c r="L3" s="25" t="s">
        <v>336</v>
      </c>
      <c r="P3" s="29"/>
      <c r="R3" s="39" t="s">
        <v>333</v>
      </c>
    </row>
    <row r="4" spans="1:20" s="25" customFormat="1" ht="17" customHeight="1">
      <c r="A4" t="s">
        <v>30</v>
      </c>
      <c r="B4" s="39" t="s">
        <v>17</v>
      </c>
      <c r="D4" s="45"/>
      <c r="E4" s="39">
        <f>211400/2</f>
        <v>105700</v>
      </c>
      <c r="F4" s="1" t="s">
        <v>18</v>
      </c>
      <c r="G4" s="27"/>
      <c r="H4" s="39" t="s">
        <v>337</v>
      </c>
      <c r="I4" s="28"/>
      <c r="J4" s="28"/>
      <c r="L4" s="25" t="s">
        <v>336</v>
      </c>
      <c r="P4" s="29"/>
      <c r="R4" s="39" t="s">
        <v>334</v>
      </c>
    </row>
    <row r="5" spans="1:20" s="25" customFormat="1" ht="17" hidden="1" customHeight="1">
      <c r="A5" t="s">
        <v>30</v>
      </c>
      <c r="B5" s="9" t="s">
        <v>39</v>
      </c>
      <c r="C5" s="9" t="s">
        <v>39</v>
      </c>
      <c r="D5" s="46"/>
      <c r="E5" s="40">
        <f>AVERAGE(22,29)*100</f>
        <v>2550</v>
      </c>
      <c r="F5" s="1" t="s">
        <v>18</v>
      </c>
      <c r="G5" s="27"/>
      <c r="H5" s="39" t="s">
        <v>291</v>
      </c>
      <c r="I5" s="28"/>
      <c r="J5" s="28"/>
      <c r="P5" s="29"/>
      <c r="R5" s="39" t="s">
        <v>289</v>
      </c>
    </row>
    <row r="6" spans="1:20" s="25" customFormat="1" ht="17" hidden="1" customHeight="1">
      <c r="A6" t="s">
        <v>30</v>
      </c>
      <c r="B6" s="9" t="s">
        <v>39</v>
      </c>
      <c r="C6" s="9" t="s">
        <v>39</v>
      </c>
      <c r="D6" s="46"/>
      <c r="E6" s="40">
        <f>AVERAGE(15,37)*100</f>
        <v>2600</v>
      </c>
      <c r="F6" s="1" t="s">
        <v>18</v>
      </c>
      <c r="G6" s="27"/>
      <c r="H6" s="39" t="s">
        <v>293</v>
      </c>
      <c r="I6" s="28"/>
      <c r="J6" s="28"/>
      <c r="P6" s="29"/>
      <c r="R6" s="39" t="s">
        <v>290</v>
      </c>
    </row>
    <row r="7" spans="1:20" s="25" customFormat="1" ht="17" hidden="1" customHeight="1">
      <c r="A7" t="s">
        <v>30</v>
      </c>
      <c r="B7" s="9" t="s">
        <v>284</v>
      </c>
      <c r="C7" s="9" t="s">
        <v>284</v>
      </c>
      <c r="D7" s="46"/>
      <c r="E7" s="40">
        <v>2600</v>
      </c>
      <c r="F7" s="1" t="s">
        <v>18</v>
      </c>
      <c r="G7" s="27"/>
      <c r="H7" s="39" t="s">
        <v>283</v>
      </c>
      <c r="I7" s="28"/>
      <c r="J7" s="28"/>
      <c r="L7" s="39" t="s">
        <v>288</v>
      </c>
      <c r="M7" s="39"/>
      <c r="N7" s="39"/>
      <c r="P7" s="29"/>
      <c r="R7" s="39" t="s">
        <v>287</v>
      </c>
    </row>
    <row r="8" spans="1:20" s="25" customFormat="1" ht="17" hidden="1" customHeight="1">
      <c r="A8" t="s">
        <v>30</v>
      </c>
      <c r="B8" s="9" t="s">
        <v>282</v>
      </c>
      <c r="C8" s="9" t="s">
        <v>282</v>
      </c>
      <c r="D8" s="46"/>
      <c r="E8" s="40">
        <v>2200</v>
      </c>
      <c r="F8" s="1" t="s">
        <v>18</v>
      </c>
      <c r="G8" s="27"/>
      <c r="H8" s="39" t="s">
        <v>283</v>
      </c>
      <c r="I8" s="28"/>
      <c r="J8" s="28"/>
      <c r="L8" s="39" t="s">
        <v>89</v>
      </c>
      <c r="M8" s="39"/>
      <c r="N8" s="39"/>
      <c r="P8" s="29"/>
      <c r="R8" s="39" t="s">
        <v>286</v>
      </c>
    </row>
    <row r="9" spans="1:20" s="25" customFormat="1" ht="17" hidden="1" customHeight="1">
      <c r="A9" t="s">
        <v>30</v>
      </c>
      <c r="B9" s="9" t="s">
        <v>39</v>
      </c>
      <c r="C9" s="9" t="s">
        <v>285</v>
      </c>
      <c r="D9" s="46"/>
      <c r="E9" s="40">
        <f>AVERAGE(E7:E8)</f>
        <v>2400</v>
      </c>
      <c r="F9" s="1" t="s">
        <v>18</v>
      </c>
      <c r="G9" s="27"/>
      <c r="H9" s="39" t="s">
        <v>283</v>
      </c>
      <c r="I9" s="28"/>
      <c r="J9" s="28"/>
      <c r="P9" s="29"/>
    </row>
    <row r="10" spans="1:20" s="39" customFormat="1" ht="17" customHeight="1">
      <c r="A10" s="39" t="s">
        <v>30</v>
      </c>
      <c r="B10" s="39" t="s">
        <v>126</v>
      </c>
      <c r="C10" s="39" t="s">
        <v>126</v>
      </c>
      <c r="D10" s="46"/>
      <c r="E10" s="40">
        <f>157000/2</f>
        <v>78500</v>
      </c>
      <c r="F10" s="40" t="s">
        <v>18</v>
      </c>
      <c r="G10" s="41"/>
      <c r="H10" s="39" t="s">
        <v>283</v>
      </c>
      <c r="I10" s="42"/>
      <c r="J10" s="42"/>
      <c r="P10" s="43"/>
      <c r="R10" s="39" t="s">
        <v>292</v>
      </c>
      <c r="S10" s="39" t="s">
        <v>294</v>
      </c>
    </row>
    <row r="11" spans="1:20">
      <c r="A11" t="s">
        <v>16</v>
      </c>
      <c r="B11" t="s">
        <v>17</v>
      </c>
      <c r="E11" s="1">
        <v>963</v>
      </c>
      <c r="F11" s="1" t="s">
        <v>18</v>
      </c>
      <c r="G11" s="20">
        <f>E11</f>
        <v>963</v>
      </c>
      <c r="H11" t="s">
        <v>19</v>
      </c>
      <c r="J11"/>
      <c r="M11" t="s">
        <v>316</v>
      </c>
      <c r="N11" t="s">
        <v>315</v>
      </c>
      <c r="P11"/>
      <c r="R11" t="s">
        <v>20</v>
      </c>
    </row>
    <row r="12" spans="1:20">
      <c r="A12" t="s">
        <v>21</v>
      </c>
      <c r="B12" t="s">
        <v>17</v>
      </c>
      <c r="E12" s="1">
        <v>6796</v>
      </c>
      <c r="F12" s="1" t="s">
        <v>18</v>
      </c>
      <c r="G12" s="20">
        <f>E12</f>
        <v>6796</v>
      </c>
      <c r="H12" t="s">
        <v>19</v>
      </c>
      <c r="M12" t="s">
        <v>318</v>
      </c>
      <c r="N12" t="s">
        <v>317</v>
      </c>
      <c r="R12" t="s">
        <v>20</v>
      </c>
    </row>
    <row r="13" spans="1:20" ht="17">
      <c r="A13" t="s">
        <v>22</v>
      </c>
      <c r="B13" t="s">
        <v>17</v>
      </c>
      <c r="E13" s="1">
        <v>11876</v>
      </c>
      <c r="F13" s="1" t="s">
        <v>18</v>
      </c>
      <c r="G13" s="20">
        <f>E13</f>
        <v>11876</v>
      </c>
      <c r="H13" t="s">
        <v>19</v>
      </c>
      <c r="K13" s="21"/>
      <c r="N13" s="21" t="s">
        <v>23</v>
      </c>
      <c r="O13" s="21"/>
      <c r="R13" t="s">
        <v>20</v>
      </c>
    </row>
    <row r="14" spans="1:20">
      <c r="A14" t="s">
        <v>24</v>
      </c>
      <c r="B14" t="s">
        <v>307</v>
      </c>
      <c r="E14" s="1">
        <v>10060</v>
      </c>
      <c r="F14" s="1" t="s">
        <v>18</v>
      </c>
      <c r="G14" s="20">
        <f t="shared" ref="G14:G19" si="0">E14</f>
        <v>10060</v>
      </c>
      <c r="H14" t="s">
        <v>25</v>
      </c>
      <c r="K14" t="s">
        <v>26</v>
      </c>
      <c r="L14" t="s">
        <v>297</v>
      </c>
      <c r="O14">
        <v>25</v>
      </c>
      <c r="R14" t="s">
        <v>27</v>
      </c>
      <c r="S14" s="20" t="s">
        <v>295</v>
      </c>
    </row>
    <row r="15" spans="1:20">
      <c r="A15" t="s">
        <v>24</v>
      </c>
      <c r="B15" t="s">
        <v>307</v>
      </c>
      <c r="E15" s="1">
        <v>10340</v>
      </c>
      <c r="F15" s="1" t="s">
        <v>18</v>
      </c>
      <c r="G15" s="20">
        <f t="shared" si="0"/>
        <v>10340</v>
      </c>
      <c r="H15" t="s">
        <v>25</v>
      </c>
      <c r="K15" t="s">
        <v>28</v>
      </c>
      <c r="L15" t="s">
        <v>298</v>
      </c>
      <c r="O15">
        <v>24.8</v>
      </c>
      <c r="R15" t="s">
        <v>27</v>
      </c>
      <c r="S15" s="20" t="s">
        <v>296</v>
      </c>
    </row>
    <row r="16" spans="1:20">
      <c r="A16" s="32" t="s">
        <v>29</v>
      </c>
      <c r="B16" t="s">
        <v>307</v>
      </c>
      <c r="E16" s="1">
        <v>15180</v>
      </c>
      <c r="F16" s="1" t="s">
        <v>18</v>
      </c>
      <c r="G16" s="20">
        <f t="shared" si="0"/>
        <v>15180</v>
      </c>
      <c r="H16" t="s">
        <v>25</v>
      </c>
      <c r="K16" s="44" t="s">
        <v>299</v>
      </c>
      <c r="L16" t="s">
        <v>298</v>
      </c>
      <c r="O16" s="44" t="s">
        <v>309</v>
      </c>
      <c r="R16" t="s">
        <v>27</v>
      </c>
      <c r="S16" s="20" t="s">
        <v>301</v>
      </c>
    </row>
    <row r="17" spans="1:19">
      <c r="A17" s="32" t="s">
        <v>22</v>
      </c>
      <c r="B17" t="s">
        <v>307</v>
      </c>
      <c r="E17" s="1">
        <v>15230</v>
      </c>
      <c r="F17" s="1" t="s">
        <v>18</v>
      </c>
      <c r="G17" s="20">
        <f t="shared" si="0"/>
        <v>15230</v>
      </c>
      <c r="H17" t="s">
        <v>25</v>
      </c>
      <c r="K17" s="44" t="s">
        <v>300</v>
      </c>
      <c r="L17" t="s">
        <v>297</v>
      </c>
      <c r="O17" s="44" t="s">
        <v>310</v>
      </c>
      <c r="R17" t="s">
        <v>27</v>
      </c>
      <c r="S17" s="20" t="s">
        <v>302</v>
      </c>
    </row>
    <row r="18" spans="1:19" ht="17">
      <c r="A18" s="21" t="s">
        <v>176</v>
      </c>
      <c r="B18" t="s">
        <v>307</v>
      </c>
      <c r="E18" s="1">
        <f>AVERAGE(E19:E20)</f>
        <v>21000</v>
      </c>
      <c r="F18" s="1" t="s">
        <v>18</v>
      </c>
      <c r="H18" t="s">
        <v>25</v>
      </c>
      <c r="K18" s="44" t="s">
        <v>331</v>
      </c>
      <c r="O18" s="44"/>
      <c r="S18" s="20"/>
    </row>
    <row r="19" spans="1:19">
      <c r="A19" s="32" t="s">
        <v>173</v>
      </c>
      <c r="B19" t="s">
        <v>307</v>
      </c>
      <c r="E19" s="1">
        <v>18600</v>
      </c>
      <c r="F19" s="1" t="s">
        <v>18</v>
      </c>
      <c r="G19" s="20">
        <f t="shared" si="0"/>
        <v>18600</v>
      </c>
      <c r="H19" t="s">
        <v>25</v>
      </c>
      <c r="K19" s="44" t="s">
        <v>305</v>
      </c>
      <c r="L19" t="s">
        <v>298</v>
      </c>
      <c r="O19" s="44" t="s">
        <v>311</v>
      </c>
      <c r="R19" t="s">
        <v>27</v>
      </c>
      <c r="S19" s="20" t="s">
        <v>303</v>
      </c>
    </row>
    <row r="20" spans="1:19">
      <c r="A20" s="32" t="s">
        <v>330</v>
      </c>
      <c r="B20" t="s">
        <v>307</v>
      </c>
      <c r="D20" s="46" t="s">
        <v>325</v>
      </c>
      <c r="E20" s="1">
        <v>23400</v>
      </c>
      <c r="F20" s="1" t="s">
        <v>18</v>
      </c>
      <c r="G20" s="20">
        <f>E20</f>
        <v>23400</v>
      </c>
      <c r="H20" t="s">
        <v>25</v>
      </c>
      <c r="K20" s="44" t="s">
        <v>306</v>
      </c>
      <c r="L20" t="s">
        <v>298</v>
      </c>
      <c r="O20" s="44" t="s">
        <v>312</v>
      </c>
      <c r="R20" t="s">
        <v>27</v>
      </c>
      <c r="S20" s="20" t="s">
        <v>304</v>
      </c>
    </row>
    <row r="21" spans="1:19" hidden="1">
      <c r="A21" t="s">
        <v>30</v>
      </c>
      <c r="B21" s="2" t="s">
        <v>31</v>
      </c>
      <c r="C21" s="2" t="s">
        <v>32</v>
      </c>
      <c r="E21" s="1">
        <f>414.743+644.629</f>
        <v>1059.3720000000001</v>
      </c>
      <c r="F21" s="1" t="s">
        <v>33</v>
      </c>
      <c r="G21" s="1"/>
      <c r="H21" t="s">
        <v>34</v>
      </c>
      <c r="P21" s="18" t="s">
        <v>35</v>
      </c>
    </row>
    <row r="22" spans="1:19" hidden="1">
      <c r="A22" t="s">
        <v>30</v>
      </c>
      <c r="B22" s="6" t="s">
        <v>36</v>
      </c>
      <c r="C22" s="6">
        <v>4</v>
      </c>
      <c r="E22" s="1">
        <v>4303.848</v>
      </c>
      <c r="F22" s="1" t="s">
        <v>33</v>
      </c>
      <c r="G22" s="36">
        <f>E22</f>
        <v>4303.848</v>
      </c>
      <c r="H22" t="s">
        <v>34</v>
      </c>
    </row>
    <row r="23" spans="1:19" hidden="1">
      <c r="A23" t="s">
        <v>30</v>
      </c>
      <c r="B23" t="s">
        <v>37</v>
      </c>
      <c r="E23" s="1">
        <v>545.09100000000001</v>
      </c>
      <c r="F23" s="1" t="s">
        <v>33</v>
      </c>
      <c r="G23" s="1"/>
      <c r="H23" t="s">
        <v>34</v>
      </c>
    </row>
    <row r="24" spans="1:19" hidden="1">
      <c r="A24" t="s">
        <v>30</v>
      </c>
      <c r="B24" s="7" t="s">
        <v>38</v>
      </c>
      <c r="C24" s="7"/>
      <c r="E24" s="1"/>
      <c r="F24" s="1" t="s">
        <v>33</v>
      </c>
      <c r="G24" s="1"/>
      <c r="H24" t="s">
        <v>34</v>
      </c>
    </row>
    <row r="25" spans="1:19" hidden="1">
      <c r="A25" t="s">
        <v>30</v>
      </c>
      <c r="B25" s="9" t="s">
        <v>39</v>
      </c>
      <c r="C25" s="9"/>
      <c r="E25" s="1">
        <f>1725.331+767.867</f>
        <v>2493.1979999999999</v>
      </c>
      <c r="F25" s="1" t="s">
        <v>33</v>
      </c>
      <c r="G25" s="1"/>
      <c r="H25" t="s">
        <v>34</v>
      </c>
    </row>
    <row r="26" spans="1:19" hidden="1">
      <c r="A26" t="s">
        <v>30</v>
      </c>
      <c r="B26" s="4" t="s">
        <v>40</v>
      </c>
      <c r="C26" s="4"/>
      <c r="D26" s="47"/>
      <c r="E26" s="1">
        <v>767.86699999999996</v>
      </c>
      <c r="F26" s="1" t="s">
        <v>33</v>
      </c>
      <c r="G26" s="1"/>
      <c r="H26" t="s">
        <v>34</v>
      </c>
    </row>
    <row r="27" spans="1:19" hidden="1">
      <c r="A27" t="s">
        <v>30</v>
      </c>
      <c r="B27" s="4" t="s">
        <v>41</v>
      </c>
      <c r="C27" s="4"/>
      <c r="D27" s="47"/>
      <c r="E27" s="1">
        <v>1725.3309999999999</v>
      </c>
      <c r="F27" s="1" t="s">
        <v>33</v>
      </c>
      <c r="G27" s="1"/>
      <c r="H27" t="s">
        <v>34</v>
      </c>
    </row>
    <row r="28" spans="1:19" hidden="1">
      <c r="A28" t="s">
        <v>30</v>
      </c>
      <c r="B28" s="10" t="s">
        <v>42</v>
      </c>
      <c r="C28" s="10"/>
      <c r="E28" s="1">
        <f>879.255+426.593</f>
        <v>1305.848</v>
      </c>
      <c r="F28" s="1" t="s">
        <v>33</v>
      </c>
      <c r="G28" s="1"/>
      <c r="H28" t="s">
        <v>34</v>
      </c>
    </row>
    <row r="29" spans="1:19" hidden="1">
      <c r="A29" t="s">
        <v>30</v>
      </c>
      <c r="B29" t="s">
        <v>43</v>
      </c>
      <c r="E29" s="1">
        <v>426.59300000000002</v>
      </c>
      <c r="F29" s="1" t="s">
        <v>33</v>
      </c>
      <c r="G29" s="1"/>
      <c r="H29" t="s">
        <v>34</v>
      </c>
    </row>
    <row r="30" spans="1:19" hidden="1">
      <c r="A30" t="s">
        <v>30</v>
      </c>
      <c r="B30" t="s">
        <v>44</v>
      </c>
      <c r="E30" s="1">
        <v>879.255</v>
      </c>
      <c r="F30" s="1" t="s">
        <v>33</v>
      </c>
      <c r="G30" s="1"/>
      <c r="H30" t="s">
        <v>34</v>
      </c>
    </row>
    <row r="31" spans="1:19" hidden="1">
      <c r="A31" t="s">
        <v>30</v>
      </c>
      <c r="B31" s="9" t="s">
        <v>39</v>
      </c>
      <c r="C31" s="9" t="s">
        <v>45</v>
      </c>
      <c r="E31" s="1">
        <f>1538.134+1014.343</f>
        <v>2552.4769999999999</v>
      </c>
      <c r="F31" s="1" t="s">
        <v>33</v>
      </c>
      <c r="G31" s="1"/>
      <c r="H31" t="s">
        <v>34</v>
      </c>
    </row>
    <row r="32" spans="1:19" hidden="1">
      <c r="A32" t="s">
        <v>30</v>
      </c>
      <c r="B32" t="s">
        <v>46</v>
      </c>
      <c r="E32" s="1">
        <v>3426.9630000000002</v>
      </c>
      <c r="F32" s="1" t="s">
        <v>33</v>
      </c>
      <c r="G32" s="1"/>
      <c r="H32" t="s">
        <v>34</v>
      </c>
    </row>
    <row r="33" spans="1:8" hidden="1">
      <c r="A33" t="s">
        <v>30</v>
      </c>
      <c r="B33" t="s">
        <v>47</v>
      </c>
      <c r="E33" s="1">
        <v>4559.8040000000001</v>
      </c>
      <c r="F33" s="1" t="s">
        <v>33</v>
      </c>
      <c r="G33" s="1"/>
      <c r="H33" t="s">
        <v>34</v>
      </c>
    </row>
    <row r="34" spans="1:8" hidden="1">
      <c r="A34" t="s">
        <v>30</v>
      </c>
      <c r="B34" t="s">
        <v>48</v>
      </c>
      <c r="E34" s="1">
        <v>549.83100000000002</v>
      </c>
      <c r="F34" s="1" t="s">
        <v>33</v>
      </c>
      <c r="G34" s="1"/>
      <c r="H34" t="s">
        <v>34</v>
      </c>
    </row>
    <row r="35" spans="1:8" hidden="1">
      <c r="A35" t="s">
        <v>30</v>
      </c>
      <c r="B35" t="s">
        <v>49</v>
      </c>
      <c r="E35" s="1">
        <v>360.23399999999998</v>
      </c>
      <c r="F35" s="1" t="s">
        <v>33</v>
      </c>
      <c r="G35" s="1"/>
      <c r="H35" t="s">
        <v>34</v>
      </c>
    </row>
    <row r="36" spans="1:8" hidden="1">
      <c r="A36" t="s">
        <v>30</v>
      </c>
      <c r="B36" t="s">
        <v>50</v>
      </c>
      <c r="E36" s="1">
        <v>450.29300000000001</v>
      </c>
      <c r="F36" s="1" t="s">
        <v>33</v>
      </c>
      <c r="G36" s="1"/>
      <c r="H36" t="s">
        <v>34</v>
      </c>
    </row>
    <row r="37" spans="1:8" hidden="1">
      <c r="A37" t="s">
        <v>30</v>
      </c>
      <c r="B37" t="s">
        <v>51</v>
      </c>
      <c r="E37" s="1">
        <v>440.81299999999999</v>
      </c>
      <c r="F37" s="1" t="s">
        <v>33</v>
      </c>
      <c r="G37" s="1"/>
      <c r="H37" t="s">
        <v>34</v>
      </c>
    </row>
    <row r="38" spans="1:8" hidden="1">
      <c r="A38" t="s">
        <v>30</v>
      </c>
      <c r="B38" t="s">
        <v>52</v>
      </c>
      <c r="E38" s="1">
        <v>585.38</v>
      </c>
      <c r="F38" s="1" t="s">
        <v>33</v>
      </c>
      <c r="G38" s="1"/>
      <c r="H38" t="s">
        <v>34</v>
      </c>
    </row>
    <row r="39" spans="1:8" hidden="1">
      <c r="A39" t="s">
        <v>30</v>
      </c>
      <c r="B39" t="s">
        <v>53</v>
      </c>
      <c r="E39" s="1">
        <v>592.49</v>
      </c>
      <c r="F39" s="1" t="s">
        <v>33</v>
      </c>
      <c r="G39" s="1"/>
      <c r="H39" t="s">
        <v>34</v>
      </c>
    </row>
    <row r="40" spans="1:8" hidden="1">
      <c r="A40" t="s">
        <v>30</v>
      </c>
      <c r="B40" t="s">
        <v>54</v>
      </c>
      <c r="E40" s="1">
        <v>611.45000000000005</v>
      </c>
      <c r="F40" s="1" t="s">
        <v>33</v>
      </c>
      <c r="G40" s="1"/>
      <c r="H40" t="s">
        <v>34</v>
      </c>
    </row>
    <row r="41" spans="1:8" hidden="1">
      <c r="A41" t="s">
        <v>30</v>
      </c>
      <c r="B41">
        <v>6</v>
      </c>
      <c r="E41" s="1">
        <v>3663.9589999999998</v>
      </c>
      <c r="F41" s="1" t="s">
        <v>33</v>
      </c>
      <c r="G41" s="1"/>
      <c r="H41" t="s">
        <v>34</v>
      </c>
    </row>
    <row r="42" spans="1:8" hidden="1">
      <c r="A42" t="s">
        <v>30</v>
      </c>
      <c r="B42" t="s">
        <v>55</v>
      </c>
      <c r="C42" t="s">
        <v>56</v>
      </c>
      <c r="E42" s="1">
        <v>521.39099999999996</v>
      </c>
      <c r="F42" s="1" t="s">
        <v>33</v>
      </c>
      <c r="G42" s="1"/>
      <c r="H42" t="s">
        <v>34</v>
      </c>
    </row>
    <row r="43" spans="1:8" hidden="1">
      <c r="A43" t="s">
        <v>30</v>
      </c>
      <c r="B43" t="s">
        <v>57</v>
      </c>
      <c r="C43" t="s">
        <v>58</v>
      </c>
      <c r="E43" s="1">
        <v>414.74299999999999</v>
      </c>
      <c r="F43" s="1" t="s">
        <v>33</v>
      </c>
      <c r="G43" s="1"/>
      <c r="H43" t="s">
        <v>34</v>
      </c>
    </row>
    <row r="44" spans="1:8" hidden="1">
      <c r="A44" t="s">
        <v>30</v>
      </c>
      <c r="B44" t="s">
        <v>59</v>
      </c>
      <c r="C44" t="s">
        <v>60</v>
      </c>
      <c r="E44" s="1">
        <v>644.62900000000002</v>
      </c>
      <c r="F44" s="1" t="s">
        <v>33</v>
      </c>
      <c r="G44" s="1"/>
      <c r="H44" t="s">
        <v>34</v>
      </c>
    </row>
    <row r="45" spans="1:8">
      <c r="A45" t="s">
        <v>30</v>
      </c>
      <c r="B45" t="s">
        <v>17</v>
      </c>
      <c r="C45" t="s">
        <v>61</v>
      </c>
      <c r="E45" s="1">
        <v>83484.231</v>
      </c>
      <c r="F45" s="1" t="s">
        <v>33</v>
      </c>
      <c r="G45" s="36">
        <f>E45</f>
        <v>83484.231</v>
      </c>
      <c r="H45" t="s">
        <v>34</v>
      </c>
    </row>
    <row r="46" spans="1:8" hidden="1">
      <c r="A46" t="s">
        <v>30</v>
      </c>
      <c r="B46" s="9" t="s">
        <v>39</v>
      </c>
      <c r="C46" s="9"/>
      <c r="E46" s="1">
        <f>775.876+2534.685</f>
        <v>3310.5609999999997</v>
      </c>
      <c r="F46" s="1" t="s">
        <v>62</v>
      </c>
      <c r="H46" t="s">
        <v>63</v>
      </c>
    </row>
    <row r="47" spans="1:8" hidden="1">
      <c r="A47" t="s">
        <v>30</v>
      </c>
      <c r="B47" s="16" t="s">
        <v>64</v>
      </c>
      <c r="C47" s="16"/>
      <c r="E47" s="1">
        <v>775.87599999999998</v>
      </c>
      <c r="F47" s="1" t="s">
        <v>62</v>
      </c>
      <c r="G47" s="1"/>
      <c r="H47" t="s">
        <v>63</v>
      </c>
    </row>
    <row r="48" spans="1:8" hidden="1">
      <c r="A48" t="s">
        <v>30</v>
      </c>
      <c r="B48" s="16" t="s">
        <v>65</v>
      </c>
      <c r="C48" s="16"/>
      <c r="E48" s="1">
        <v>2534.6849999999999</v>
      </c>
      <c r="F48" s="1" t="s">
        <v>62</v>
      </c>
      <c r="G48" s="1"/>
      <c r="H48" t="s">
        <v>63</v>
      </c>
    </row>
    <row r="49" spans="1:19" hidden="1">
      <c r="A49" t="s">
        <v>30</v>
      </c>
      <c r="B49" s="6" t="s">
        <v>36</v>
      </c>
      <c r="C49" s="6"/>
      <c r="E49" s="1">
        <v>1943.47</v>
      </c>
      <c r="F49" s="1" t="s">
        <v>62</v>
      </c>
      <c r="G49" s="20">
        <f>E49</f>
        <v>1943.47</v>
      </c>
      <c r="H49" t="s">
        <v>63</v>
      </c>
    </row>
    <row r="50" spans="1:19" hidden="1">
      <c r="A50" t="s">
        <v>30</v>
      </c>
      <c r="B50" t="s">
        <v>66</v>
      </c>
      <c r="E50" s="1">
        <v>515.63300000000004</v>
      </c>
      <c r="F50" s="1" t="s">
        <v>62</v>
      </c>
      <c r="G50" s="1"/>
      <c r="H50" t="s">
        <v>63</v>
      </c>
    </row>
    <row r="51" spans="1:19" hidden="1">
      <c r="A51" t="s">
        <v>30</v>
      </c>
      <c r="B51" s="7" t="s">
        <v>38</v>
      </c>
      <c r="C51" s="7" t="s">
        <v>67</v>
      </c>
      <c r="E51" s="1">
        <v>1156.03</v>
      </c>
      <c r="F51" s="1" t="s">
        <v>62</v>
      </c>
      <c r="H51" t="s">
        <v>63</v>
      </c>
    </row>
    <row r="52" spans="1:19" hidden="1">
      <c r="A52" t="s">
        <v>30</v>
      </c>
      <c r="B52">
        <v>1</v>
      </c>
      <c r="E52" s="1">
        <v>885.23599999999999</v>
      </c>
      <c r="F52" s="1" t="s">
        <v>62</v>
      </c>
      <c r="G52" s="1"/>
      <c r="H52" t="s">
        <v>63</v>
      </c>
    </row>
    <row r="53" spans="1:19" hidden="1">
      <c r="A53" t="s">
        <v>30</v>
      </c>
      <c r="B53">
        <v>2</v>
      </c>
      <c r="E53" s="1">
        <v>1147.0650000000001</v>
      </c>
      <c r="F53" s="1" t="s">
        <v>62</v>
      </c>
      <c r="G53" s="1"/>
      <c r="H53" t="s">
        <v>63</v>
      </c>
    </row>
    <row r="54" spans="1:19" ht="18" hidden="1" customHeight="1">
      <c r="A54" t="s">
        <v>30</v>
      </c>
      <c r="B54" t="s">
        <v>47</v>
      </c>
      <c r="E54" s="15">
        <f>515.633+1156.03+885.236+1147.065</f>
        <v>3703.9639999999999</v>
      </c>
      <c r="F54" s="1" t="s">
        <v>62</v>
      </c>
      <c r="G54" s="15"/>
      <c r="H54" t="s">
        <v>63</v>
      </c>
    </row>
    <row r="55" spans="1:19" hidden="1">
      <c r="A55" t="s">
        <v>30</v>
      </c>
      <c r="B55" s="14" t="s">
        <v>68</v>
      </c>
      <c r="C55" s="14"/>
      <c r="E55" s="1">
        <v>108.407</v>
      </c>
      <c r="F55" s="1" t="s">
        <v>62</v>
      </c>
      <c r="G55" s="1"/>
      <c r="H55" t="s">
        <v>63</v>
      </c>
    </row>
    <row r="56" spans="1:19">
      <c r="A56" t="s">
        <v>30</v>
      </c>
      <c r="B56" t="s">
        <v>17</v>
      </c>
      <c r="E56" s="1">
        <v>84869.947</v>
      </c>
      <c r="F56" s="1" t="s">
        <v>62</v>
      </c>
      <c r="G56" s="20">
        <f>E56</f>
        <v>84869.947</v>
      </c>
      <c r="H56" t="s">
        <v>63</v>
      </c>
    </row>
    <row r="57" spans="1:19" hidden="1">
      <c r="A57" t="s">
        <v>30</v>
      </c>
      <c r="B57" s="13" t="s">
        <v>39</v>
      </c>
      <c r="C57" s="13"/>
      <c r="E57" s="1">
        <f>1076+1695</f>
        <v>2771</v>
      </c>
      <c r="F57" s="1" t="s">
        <v>62</v>
      </c>
      <c r="G57" s="1"/>
      <c r="H57" t="s">
        <v>69</v>
      </c>
    </row>
    <row r="58" spans="1:19" hidden="1">
      <c r="A58" t="s">
        <v>30</v>
      </c>
      <c r="B58" s="4" t="s">
        <v>70</v>
      </c>
      <c r="C58" s="4"/>
      <c r="D58" s="47"/>
      <c r="E58" s="1">
        <v>1076</v>
      </c>
      <c r="F58" s="1" t="s">
        <v>62</v>
      </c>
      <c r="G58" s="1"/>
      <c r="H58" t="s">
        <v>69</v>
      </c>
    </row>
    <row r="59" spans="1:19" hidden="1">
      <c r="A59" t="s">
        <v>30</v>
      </c>
      <c r="B59" s="4" t="s">
        <v>71</v>
      </c>
      <c r="C59" s="4"/>
      <c r="D59" s="47"/>
      <c r="E59" s="1">
        <v>1695</v>
      </c>
      <c r="F59" s="1" t="s">
        <v>62</v>
      </c>
      <c r="G59" s="1"/>
      <c r="H59" t="s">
        <v>69</v>
      </c>
    </row>
    <row r="60" spans="1:19" hidden="1">
      <c r="A60" t="s">
        <v>30</v>
      </c>
      <c r="B60" s="2" t="s">
        <v>31</v>
      </c>
      <c r="C60" s="2"/>
      <c r="E60" s="3">
        <v>174</v>
      </c>
      <c r="F60" s="1" t="s">
        <v>62</v>
      </c>
      <c r="G60" s="3"/>
      <c r="H60" t="s">
        <v>69</v>
      </c>
    </row>
    <row r="61" spans="1:19" hidden="1">
      <c r="A61" t="s">
        <v>30</v>
      </c>
      <c r="B61" s="7" t="s">
        <v>38</v>
      </c>
      <c r="C61" s="7" t="s">
        <v>72</v>
      </c>
      <c r="E61" s="1">
        <v>1526</v>
      </c>
      <c r="F61" s="1" t="s">
        <v>62</v>
      </c>
      <c r="G61" s="1"/>
      <c r="H61" t="s">
        <v>69</v>
      </c>
    </row>
    <row r="62" spans="1:19" hidden="1">
      <c r="A62" t="s">
        <v>30</v>
      </c>
      <c r="B62" t="s">
        <v>73</v>
      </c>
      <c r="E62" s="1">
        <v>454</v>
      </c>
      <c r="F62" s="1" t="s">
        <v>62</v>
      </c>
      <c r="G62" s="1"/>
      <c r="H62" t="s">
        <v>69</v>
      </c>
    </row>
    <row r="63" spans="1:19">
      <c r="A63" t="s">
        <v>30</v>
      </c>
      <c r="B63" t="s">
        <v>74</v>
      </c>
      <c r="E63" s="1">
        <v>66231</v>
      </c>
      <c r="F63" s="1" t="s">
        <v>62</v>
      </c>
      <c r="G63" s="1"/>
      <c r="H63" t="s">
        <v>69</v>
      </c>
    </row>
    <row r="64" spans="1:19" hidden="1">
      <c r="A64" t="s">
        <v>75</v>
      </c>
      <c r="B64" t="s">
        <v>39</v>
      </c>
      <c r="E64" s="3">
        <v>10492</v>
      </c>
      <c r="F64" s="1" t="s">
        <v>62</v>
      </c>
      <c r="G64" s="3"/>
      <c r="H64" s="5" t="s">
        <v>76</v>
      </c>
      <c r="I64" s="5"/>
      <c r="P64" s="18">
        <f>E64/$E$68</f>
        <v>0.15600791042778761</v>
      </c>
      <c r="R64" t="s">
        <v>77</v>
      </c>
      <c r="S64">
        <f>E64/6</f>
        <v>1748.6666666666667</v>
      </c>
    </row>
    <row r="65" spans="1:19" hidden="1">
      <c r="A65" t="s">
        <v>75</v>
      </c>
      <c r="B65" t="s">
        <v>31</v>
      </c>
      <c r="E65" s="3">
        <v>503</v>
      </c>
      <c r="F65" s="1" t="s">
        <v>62</v>
      </c>
      <c r="G65" s="3"/>
      <c r="H65" s="5" t="s">
        <v>76</v>
      </c>
      <c r="I65" s="5"/>
      <c r="P65" s="18">
        <f>E65/$E$68</f>
        <v>7.4792202578323639E-3</v>
      </c>
      <c r="R65" t="s">
        <v>77</v>
      </c>
      <c r="S65">
        <f>E65/6</f>
        <v>83.833333333333329</v>
      </c>
    </row>
    <row r="66" spans="1:19" hidden="1">
      <c r="A66" t="s">
        <v>75</v>
      </c>
      <c r="B66" t="s">
        <v>72</v>
      </c>
      <c r="E66" s="3">
        <v>1044</v>
      </c>
      <c r="F66" s="1" t="s">
        <v>62</v>
      </c>
      <c r="G66" s="3"/>
      <c r="H66" s="5" t="s">
        <v>76</v>
      </c>
      <c r="I66" s="5"/>
      <c r="P66" s="18">
        <f>E66/$E$68</f>
        <v>1.5523471071922442E-2</v>
      </c>
      <c r="R66" t="s">
        <v>77</v>
      </c>
      <c r="S66">
        <f>E66/6</f>
        <v>174</v>
      </c>
    </row>
    <row r="67" spans="1:19" hidden="1">
      <c r="A67" t="s">
        <v>75</v>
      </c>
      <c r="B67" t="s">
        <v>73</v>
      </c>
      <c r="E67" s="3">
        <v>299</v>
      </c>
      <c r="F67" s="1" t="s">
        <v>62</v>
      </c>
      <c r="G67" s="3"/>
      <c r="H67" s="5" t="s">
        <v>76</v>
      </c>
      <c r="I67" s="5"/>
      <c r="P67" s="18">
        <f>E67/$E$68</f>
        <v>4.4458983242383239E-3</v>
      </c>
      <c r="R67" t="s">
        <v>77</v>
      </c>
      <c r="S67">
        <f>E67/6</f>
        <v>49.833333333333336</v>
      </c>
    </row>
    <row r="68" spans="1:19">
      <c r="A68" t="s">
        <v>75</v>
      </c>
      <c r="B68" t="s">
        <v>74</v>
      </c>
      <c r="E68" s="3">
        <v>67253</v>
      </c>
      <c r="F68" s="1" t="s">
        <v>62</v>
      </c>
      <c r="G68" s="3"/>
      <c r="H68" s="5" t="s">
        <v>76</v>
      </c>
      <c r="I68" s="5"/>
      <c r="P68" s="18">
        <f>E68/$E$68</f>
        <v>1</v>
      </c>
      <c r="R68" t="s">
        <v>77</v>
      </c>
      <c r="S68">
        <f>E68/6</f>
        <v>11208.833333333334</v>
      </c>
    </row>
    <row r="69" spans="1:19" hidden="1">
      <c r="A69" t="s">
        <v>78</v>
      </c>
      <c r="B69" t="s">
        <v>72</v>
      </c>
      <c r="E69" s="1">
        <v>8.2089999999999996</v>
      </c>
      <c r="F69" s="1" t="s">
        <v>62</v>
      </c>
      <c r="G69" s="1"/>
      <c r="H69" s="5" t="s">
        <v>79</v>
      </c>
      <c r="I69" s="5"/>
      <c r="P69"/>
      <c r="R69">
        <f>E69/6</f>
        <v>1.3681666666666665</v>
      </c>
    </row>
    <row r="70" spans="1:19" hidden="1">
      <c r="A70" t="s">
        <v>78</v>
      </c>
      <c r="B70" t="s">
        <v>73</v>
      </c>
      <c r="E70" s="1">
        <v>5.3010000000000002</v>
      </c>
      <c r="F70" s="1" t="s">
        <v>62</v>
      </c>
      <c r="G70" s="1"/>
      <c r="H70" s="5" t="s">
        <v>79</v>
      </c>
      <c r="I70" s="5"/>
      <c r="P70"/>
      <c r="R70">
        <f>E70/6</f>
        <v>0.88350000000000006</v>
      </c>
    </row>
    <row r="71" spans="1:19">
      <c r="A71" t="s">
        <v>78</v>
      </c>
      <c r="B71" t="s">
        <v>74</v>
      </c>
      <c r="E71" s="1">
        <v>26.681999999999999</v>
      </c>
      <c r="F71" s="1" t="s">
        <v>62</v>
      </c>
      <c r="G71" s="1"/>
      <c r="H71" s="5" t="s">
        <v>79</v>
      </c>
      <c r="I71" s="5"/>
      <c r="P71"/>
      <c r="R71">
        <f>E71/6</f>
        <v>4.4470000000000001</v>
      </c>
    </row>
    <row r="72" spans="1:19" hidden="1">
      <c r="A72" t="s">
        <v>80</v>
      </c>
      <c r="B72" t="s">
        <v>39</v>
      </c>
      <c r="C72" t="s">
        <v>81</v>
      </c>
      <c r="E72" s="3">
        <v>1847</v>
      </c>
      <c r="F72" s="1" t="s">
        <v>33</v>
      </c>
      <c r="G72" s="3"/>
      <c r="H72" t="s">
        <v>82</v>
      </c>
      <c r="P72" s="18">
        <f t="shared" ref="P72:P105" si="1">E72/$E$105</f>
        <v>0.18683265741789376</v>
      </c>
      <c r="R72" t="s">
        <v>83</v>
      </c>
    </row>
    <row r="73" spans="1:19" hidden="1">
      <c r="A73" t="s">
        <v>80</v>
      </c>
      <c r="B73">
        <v>1</v>
      </c>
      <c r="E73" s="1">
        <v>128.607</v>
      </c>
      <c r="F73" s="1" t="s">
        <v>33</v>
      </c>
      <c r="G73" s="1"/>
      <c r="H73" t="s">
        <v>82</v>
      </c>
      <c r="P73" s="18">
        <f t="shared" si="1"/>
        <v>1.3009197386325427E-2</v>
      </c>
    </row>
    <row r="74" spans="1:19" hidden="1">
      <c r="A74" t="s">
        <v>80</v>
      </c>
      <c r="B74" t="s">
        <v>66</v>
      </c>
      <c r="E74" s="1">
        <v>106.857</v>
      </c>
      <c r="F74" s="1" t="s">
        <v>33</v>
      </c>
      <c r="G74" s="1"/>
      <c r="H74" t="s">
        <v>82</v>
      </c>
      <c r="P74" s="18">
        <f t="shared" si="1"/>
        <v>1.0809083526639889E-2</v>
      </c>
    </row>
    <row r="75" spans="1:19" hidden="1">
      <c r="A75" t="s">
        <v>80</v>
      </c>
      <c r="B75" s="2" t="s">
        <v>31</v>
      </c>
      <c r="C75" s="2"/>
      <c r="E75" s="1">
        <v>22.158999999999999</v>
      </c>
      <c r="F75" s="1" t="s">
        <v>33</v>
      </c>
      <c r="G75" s="1"/>
      <c r="H75" t="s">
        <v>82</v>
      </c>
      <c r="P75" s="18">
        <f t="shared" si="1"/>
        <v>2.2414861157136479E-3</v>
      </c>
    </row>
    <row r="76" spans="1:19" hidden="1">
      <c r="A76" t="s">
        <v>80</v>
      </c>
      <c r="B76" t="s">
        <v>84</v>
      </c>
      <c r="E76" s="1">
        <v>72.198999999999998</v>
      </c>
      <c r="F76" s="1" t="s">
        <v>33</v>
      </c>
      <c r="G76" s="1"/>
      <c r="H76" t="s">
        <v>82</v>
      </c>
      <c r="P76" s="18">
        <f t="shared" si="1"/>
        <v>7.303265312893617E-3</v>
      </c>
    </row>
    <row r="77" spans="1:19" hidden="1">
      <c r="A77" t="s">
        <v>80</v>
      </c>
      <c r="B77" t="s">
        <v>85</v>
      </c>
      <c r="E77" s="1">
        <v>61.039000000000001</v>
      </c>
      <c r="F77" s="1" t="s">
        <v>33</v>
      </c>
      <c r="G77" s="1"/>
      <c r="H77" t="s">
        <v>82</v>
      </c>
      <c r="P77" s="18">
        <f t="shared" si="1"/>
        <v>6.174379304889452E-3</v>
      </c>
    </row>
    <row r="78" spans="1:19" hidden="1">
      <c r="A78" t="s">
        <v>80</v>
      </c>
      <c r="B78" t="s">
        <v>86</v>
      </c>
      <c r="E78" s="1">
        <f>22.754+30.851</f>
        <v>53.605000000000004</v>
      </c>
      <c r="F78" s="1" t="s">
        <v>33</v>
      </c>
      <c r="G78" s="1"/>
      <c r="H78" t="s">
        <v>82</v>
      </c>
      <c r="P78" s="18">
        <f t="shared" si="1"/>
        <v>5.422395560847967E-3</v>
      </c>
    </row>
    <row r="79" spans="1:19" hidden="1">
      <c r="A79" t="s">
        <v>80</v>
      </c>
      <c r="B79" t="s">
        <v>87</v>
      </c>
      <c r="E79" s="1">
        <v>22.754000000000001</v>
      </c>
      <c r="F79" s="1" t="s">
        <v>33</v>
      </c>
      <c r="G79" s="1"/>
      <c r="H79" t="s">
        <v>82</v>
      </c>
      <c r="P79" s="18">
        <f t="shared" si="1"/>
        <v>2.3016731385418271E-3</v>
      </c>
    </row>
    <row r="80" spans="1:19" hidden="1">
      <c r="A80" t="s">
        <v>80</v>
      </c>
      <c r="B80" t="s">
        <v>88</v>
      </c>
      <c r="E80" s="1">
        <v>30.850999999999999</v>
      </c>
      <c r="F80" s="1" t="s">
        <v>33</v>
      </c>
      <c r="G80" s="1"/>
      <c r="H80" t="s">
        <v>82</v>
      </c>
      <c r="P80" s="18">
        <f t="shared" si="1"/>
        <v>3.12072242230614E-3</v>
      </c>
    </row>
    <row r="81" spans="1:16" hidden="1">
      <c r="A81" t="s">
        <v>80</v>
      </c>
      <c r="B81" t="s">
        <v>37</v>
      </c>
      <c r="E81" s="1">
        <v>54.442</v>
      </c>
      <c r="F81" s="1" t="s">
        <v>33</v>
      </c>
      <c r="G81" s="1"/>
      <c r="H81" t="s">
        <v>82</v>
      </c>
      <c r="P81" s="18">
        <f t="shared" si="1"/>
        <v>5.507062011448279E-3</v>
      </c>
    </row>
    <row r="82" spans="1:16" hidden="1">
      <c r="A82" t="s">
        <v>80</v>
      </c>
      <c r="B82" t="s">
        <v>89</v>
      </c>
      <c r="E82" s="1"/>
      <c r="F82" s="1" t="s">
        <v>33</v>
      </c>
      <c r="G82" s="1"/>
      <c r="H82" t="s">
        <v>82</v>
      </c>
      <c r="P82" s="18">
        <f t="shared" si="1"/>
        <v>0</v>
      </c>
    </row>
    <row r="83" spans="1:16" hidden="1">
      <c r="A83" t="s">
        <v>80</v>
      </c>
      <c r="B83" s="7" t="s">
        <v>38</v>
      </c>
      <c r="C83" s="7" t="s">
        <v>67</v>
      </c>
      <c r="E83" s="1">
        <v>141.33500000000001</v>
      </c>
      <c r="F83" s="1" t="s">
        <v>33</v>
      </c>
      <c r="H83" t="s">
        <v>82</v>
      </c>
      <c r="P83" s="18">
        <f t="shared" si="1"/>
        <v>1.4296693901547383E-2</v>
      </c>
    </row>
    <row r="84" spans="1:16" hidden="1">
      <c r="A84" t="s">
        <v>80</v>
      </c>
      <c r="B84" t="s">
        <v>90</v>
      </c>
      <c r="E84" s="1">
        <v>108.544</v>
      </c>
      <c r="F84" s="1" t="s">
        <v>33</v>
      </c>
      <c r="G84" s="1"/>
      <c r="H84" t="s">
        <v>82</v>
      </c>
      <c r="P84" s="18">
        <f t="shared" si="1"/>
        <v>1.0979731438423313E-2</v>
      </c>
    </row>
    <row r="85" spans="1:16" hidden="1">
      <c r="A85" t="s">
        <v>80</v>
      </c>
      <c r="B85" t="s">
        <v>91</v>
      </c>
      <c r="E85" s="1">
        <v>77.147000000000006</v>
      </c>
      <c r="F85" s="1" t="s">
        <v>33</v>
      </c>
      <c r="G85" s="1"/>
      <c r="H85" t="s">
        <v>82</v>
      </c>
      <c r="P85" s="18">
        <f t="shared" si="1"/>
        <v>7.8037785716395507E-3</v>
      </c>
    </row>
    <row r="86" spans="1:16" hidden="1">
      <c r="A86" t="s">
        <v>80</v>
      </c>
      <c r="B86" s="9" t="s">
        <v>39</v>
      </c>
      <c r="C86" s="9"/>
      <c r="E86" s="1">
        <v>1121.117</v>
      </c>
      <c r="F86" s="1" t="s">
        <v>33</v>
      </c>
      <c r="H86" t="s">
        <v>82</v>
      </c>
      <c r="P86" s="18">
        <f t="shared" si="1"/>
        <v>0.11340620919673892</v>
      </c>
    </row>
    <row r="87" spans="1:16" hidden="1">
      <c r="A87" t="s">
        <v>80</v>
      </c>
      <c r="B87" s="11" t="s">
        <v>42</v>
      </c>
      <c r="C87" s="11"/>
      <c r="E87" s="1">
        <v>1154.3800000000001</v>
      </c>
      <c r="F87" s="1" t="s">
        <v>33</v>
      </c>
      <c r="H87" t="s">
        <v>82</v>
      </c>
      <c r="P87" s="18">
        <f t="shared" si="1"/>
        <v>0.11677091665948469</v>
      </c>
    </row>
    <row r="88" spans="1:16" hidden="1">
      <c r="A88" t="s">
        <v>80</v>
      </c>
      <c r="B88" t="s">
        <v>48</v>
      </c>
      <c r="E88" s="1">
        <v>84.283000000000001</v>
      </c>
      <c r="F88" s="1" t="s">
        <v>33</v>
      </c>
      <c r="G88" s="1"/>
      <c r="H88" t="s">
        <v>82</v>
      </c>
      <c r="P88" s="18">
        <f t="shared" si="1"/>
        <v>8.5256182269368378E-3</v>
      </c>
    </row>
    <row r="89" spans="1:16" hidden="1">
      <c r="A89" t="s">
        <v>80</v>
      </c>
      <c r="B89" t="s">
        <v>92</v>
      </c>
      <c r="E89" s="1">
        <v>42.134999999999998</v>
      </c>
      <c r="F89" s="1" t="s">
        <v>33</v>
      </c>
      <c r="G89" s="1"/>
      <c r="H89" t="s">
        <v>82</v>
      </c>
      <c r="P89" s="18">
        <f t="shared" si="1"/>
        <v>4.2621516081770188E-3</v>
      </c>
    </row>
    <row r="90" spans="1:16" hidden="1">
      <c r="A90" t="s">
        <v>80</v>
      </c>
      <c r="B90" t="s">
        <v>93</v>
      </c>
      <c r="E90" s="1">
        <f>26.635+85.932</f>
        <v>112.56700000000001</v>
      </c>
      <c r="F90" s="1" t="s">
        <v>33</v>
      </c>
      <c r="G90" s="1"/>
      <c r="H90" t="s">
        <v>82</v>
      </c>
      <c r="P90" s="18">
        <f t="shared" si="1"/>
        <v>1.1386676636469978E-2</v>
      </c>
    </row>
    <row r="91" spans="1:16" hidden="1">
      <c r="A91" t="s">
        <v>80</v>
      </c>
      <c r="B91" t="s">
        <v>94</v>
      </c>
      <c r="E91" s="1">
        <v>85.932000000000002</v>
      </c>
      <c r="F91" s="1" t="s">
        <v>33</v>
      </c>
      <c r="G91" s="1"/>
      <c r="H91" t="s">
        <v>82</v>
      </c>
      <c r="P91" s="18">
        <f t="shared" si="1"/>
        <v>8.6924222616320771E-3</v>
      </c>
    </row>
    <row r="92" spans="1:16" hidden="1">
      <c r="A92" t="s">
        <v>80</v>
      </c>
      <c r="B92" t="s">
        <v>95</v>
      </c>
      <c r="E92" s="1">
        <v>26.635000000000002</v>
      </c>
      <c r="F92" s="1" t="s">
        <v>33</v>
      </c>
      <c r="G92" s="1"/>
      <c r="H92" t="s">
        <v>82</v>
      </c>
      <c r="P92" s="18">
        <f t="shared" si="1"/>
        <v>2.6942543748378995E-3</v>
      </c>
    </row>
    <row r="93" spans="1:16" hidden="1">
      <c r="A93" t="s">
        <v>80</v>
      </c>
      <c r="B93" t="s">
        <v>51</v>
      </c>
      <c r="E93" s="1">
        <v>100.11799999999999</v>
      </c>
      <c r="F93" s="1" t="s">
        <v>33</v>
      </c>
      <c r="G93" s="1"/>
      <c r="H93" t="s">
        <v>82</v>
      </c>
      <c r="P93" s="18">
        <f t="shared" si="1"/>
        <v>1.0127402271448125E-2</v>
      </c>
    </row>
    <row r="94" spans="1:16" hidden="1">
      <c r="A94" t="s">
        <v>80</v>
      </c>
      <c r="B94" t="s">
        <v>96</v>
      </c>
      <c r="E94" s="1">
        <v>513.77599999999995</v>
      </c>
      <c r="F94" s="1" t="s">
        <v>33</v>
      </c>
      <c r="G94" s="1"/>
      <c r="H94" t="s">
        <v>82</v>
      </c>
      <c r="P94" s="18">
        <f t="shared" si="1"/>
        <v>5.1970836706841245E-2</v>
      </c>
    </row>
    <row r="95" spans="1:16" hidden="1">
      <c r="A95" t="s">
        <v>80</v>
      </c>
      <c r="B95" t="s">
        <v>97</v>
      </c>
      <c r="E95" s="1">
        <v>30.515999999999998</v>
      </c>
      <c r="F95" s="1" t="s">
        <v>33</v>
      </c>
      <c r="G95" s="1"/>
      <c r="H95" t="s">
        <v>82</v>
      </c>
      <c r="P95" s="18">
        <f t="shared" si="1"/>
        <v>3.0868356111339716E-3</v>
      </c>
    </row>
    <row r="96" spans="1:16" hidden="1">
      <c r="A96" t="s">
        <v>80</v>
      </c>
      <c r="B96" s="6" t="s">
        <v>36</v>
      </c>
      <c r="C96" s="6">
        <v>4</v>
      </c>
      <c r="E96" s="1">
        <v>393.85</v>
      </c>
      <c r="F96" s="1" t="s">
        <v>33</v>
      </c>
      <c r="G96" s="36">
        <f>E96</f>
        <v>393.85</v>
      </c>
      <c r="H96" t="s">
        <v>82</v>
      </c>
      <c r="P96" s="18">
        <f t="shared" si="1"/>
        <v>3.9839762925845942E-2</v>
      </c>
    </row>
    <row r="97" spans="1:16" hidden="1">
      <c r="A97" t="s">
        <v>80</v>
      </c>
      <c r="B97">
        <v>2</v>
      </c>
      <c r="E97" s="1">
        <v>163.14699999999999</v>
      </c>
      <c r="F97" s="1" t="s">
        <v>33</v>
      </c>
      <c r="G97" s="1"/>
      <c r="H97" t="s">
        <v>82</v>
      </c>
      <c r="P97" s="18">
        <f t="shared" si="1"/>
        <v>1.6503079350166275E-2</v>
      </c>
    </row>
    <row r="98" spans="1:16" hidden="1">
      <c r="A98" t="s">
        <v>80</v>
      </c>
      <c r="B98">
        <v>6</v>
      </c>
      <c r="E98" s="1">
        <v>226.375</v>
      </c>
      <c r="F98" s="1" t="s">
        <v>33</v>
      </c>
      <c r="G98" s="1"/>
      <c r="H98" t="s">
        <v>82</v>
      </c>
      <c r="P98" s="18">
        <f t="shared" si="1"/>
        <v>2.2898886206267299E-2</v>
      </c>
    </row>
    <row r="99" spans="1:16" hidden="1">
      <c r="A99" t="s">
        <v>80</v>
      </c>
      <c r="B99" t="s">
        <v>98</v>
      </c>
      <c r="E99" s="1">
        <v>74.281999999999996</v>
      </c>
      <c r="F99" s="1" t="s">
        <v>33</v>
      </c>
      <c r="G99" s="1"/>
      <c r="H99" t="s">
        <v>82</v>
      </c>
      <c r="P99" s="18">
        <f t="shared" si="1"/>
        <v>7.5139704701223517E-3</v>
      </c>
    </row>
    <row r="100" spans="1:16" hidden="1">
      <c r="A100" t="s">
        <v>80</v>
      </c>
      <c r="B100" t="s">
        <v>99</v>
      </c>
      <c r="E100" s="1">
        <v>64.97</v>
      </c>
      <c r="F100" s="1" t="s">
        <v>33</v>
      </c>
      <c r="G100" s="1"/>
      <c r="H100" t="s">
        <v>82</v>
      </c>
      <c r="P100" s="18">
        <f t="shared" si="1"/>
        <v>6.5720182741962957E-3</v>
      </c>
    </row>
    <row r="101" spans="1:16" hidden="1">
      <c r="A101" t="s">
        <v>80</v>
      </c>
      <c r="B101" t="s">
        <v>100</v>
      </c>
      <c r="E101" s="1">
        <v>68.12</v>
      </c>
      <c r="F101" s="1" t="s">
        <v>33</v>
      </c>
      <c r="G101" s="1"/>
      <c r="H101" t="s">
        <v>82</v>
      </c>
      <c r="P101" s="18">
        <f t="shared" si="1"/>
        <v>6.8906554538748907E-3</v>
      </c>
    </row>
    <row r="102" spans="1:16" hidden="1">
      <c r="A102" t="s">
        <v>80</v>
      </c>
      <c r="B102" t="s">
        <v>101</v>
      </c>
      <c r="E102" s="1">
        <v>105.431</v>
      </c>
      <c r="F102" s="1" t="s">
        <v>33</v>
      </c>
      <c r="G102" s="1"/>
      <c r="H102" t="s">
        <v>82</v>
      </c>
      <c r="P102" s="18">
        <f t="shared" si="1"/>
        <v>1.0664836981172689E-2</v>
      </c>
    </row>
    <row r="103" spans="1:16" hidden="1">
      <c r="A103" t="s">
        <v>80</v>
      </c>
      <c r="B103" t="s">
        <v>102</v>
      </c>
      <c r="E103" s="1">
        <v>35.563000000000002</v>
      </c>
      <c r="F103" s="1" t="s">
        <v>33</v>
      </c>
      <c r="G103" s="1"/>
      <c r="H103" t="s">
        <v>82</v>
      </c>
      <c r="P103" s="18">
        <f t="shared" si="1"/>
        <v>3.5973631812412322E-3</v>
      </c>
    </row>
    <row r="104" spans="1:16" hidden="1">
      <c r="A104" t="s">
        <v>80</v>
      </c>
      <c r="B104" t="s">
        <v>103</v>
      </c>
      <c r="E104" s="1">
        <v>35.594000000000001</v>
      </c>
      <c r="F104" s="1" t="s">
        <v>33</v>
      </c>
      <c r="G104" s="1"/>
      <c r="H104" t="s">
        <v>82</v>
      </c>
      <c r="P104" s="18">
        <f t="shared" si="1"/>
        <v>3.6004989757079105E-3</v>
      </c>
    </row>
    <row r="105" spans="1:16">
      <c r="A105" t="s">
        <v>80</v>
      </c>
      <c r="B105" t="s">
        <v>104</v>
      </c>
      <c r="E105" s="1">
        <v>9885.8520000000008</v>
      </c>
      <c r="F105" s="1" t="s">
        <v>33</v>
      </c>
      <c r="G105" s="36">
        <f>E105</f>
        <v>9885.8520000000008</v>
      </c>
      <c r="H105" t="s">
        <v>82</v>
      </c>
      <c r="P105" s="18">
        <f t="shared" si="1"/>
        <v>1</v>
      </c>
    </row>
    <row r="106" spans="1:16" hidden="1">
      <c r="A106" t="s">
        <v>80</v>
      </c>
      <c r="B106">
        <v>1</v>
      </c>
      <c r="E106" s="1">
        <v>139.51900000000001</v>
      </c>
      <c r="F106" s="1" t="s">
        <v>33</v>
      </c>
      <c r="G106" s="1"/>
      <c r="H106" t="s">
        <v>105</v>
      </c>
      <c r="P106" s="18">
        <f>E106/$E$133</f>
        <v>1.463674142172959E-2</v>
      </c>
    </row>
    <row r="107" spans="1:16" hidden="1">
      <c r="A107" t="s">
        <v>80</v>
      </c>
      <c r="B107" t="s">
        <v>66</v>
      </c>
      <c r="E107" s="1">
        <v>135.06800000000001</v>
      </c>
      <c r="F107" s="1" t="s">
        <v>33</v>
      </c>
      <c r="G107" s="1"/>
      <c r="H107" t="s">
        <v>105</v>
      </c>
      <c r="P107" s="18">
        <f t="shared" ref="P107:P133" si="2">E107/$E$133</f>
        <v>1.4169793292312678E-2</v>
      </c>
    </row>
    <row r="108" spans="1:16" hidden="1">
      <c r="A108" t="s">
        <v>80</v>
      </c>
      <c r="B108" s="2" t="s">
        <v>31</v>
      </c>
      <c r="C108" s="2"/>
      <c r="E108" s="1">
        <v>12.221</v>
      </c>
      <c r="F108" s="1" t="s">
        <v>33</v>
      </c>
      <c r="G108" s="1"/>
      <c r="H108" t="s">
        <v>105</v>
      </c>
      <c r="P108" s="18">
        <f t="shared" si="2"/>
        <v>1.2820878655592236E-3</v>
      </c>
    </row>
    <row r="109" spans="1:16" hidden="1">
      <c r="A109" t="s">
        <v>80</v>
      </c>
      <c r="B109" t="s">
        <v>84</v>
      </c>
      <c r="E109" s="1">
        <v>39.530999999999999</v>
      </c>
      <c r="F109" s="1" t="s">
        <v>33</v>
      </c>
      <c r="G109" s="1"/>
      <c r="H109" t="s">
        <v>105</v>
      </c>
      <c r="P109" s="18">
        <f t="shared" si="2"/>
        <v>4.1471414297865692E-3</v>
      </c>
    </row>
    <row r="110" spans="1:16" hidden="1">
      <c r="A110" t="s">
        <v>80</v>
      </c>
      <c r="B110" t="s">
        <v>85</v>
      </c>
      <c r="E110" s="1">
        <f>60.365+68.806</f>
        <v>129.17099999999999</v>
      </c>
      <c r="F110" s="1" t="s">
        <v>33</v>
      </c>
      <c r="G110" s="1"/>
      <c r="H110" t="s">
        <v>105</v>
      </c>
      <c r="P110" s="18">
        <f t="shared" si="2"/>
        <v>1.3551147343273911E-2</v>
      </c>
    </row>
    <row r="111" spans="1:16" hidden="1">
      <c r="A111" t="s">
        <v>80</v>
      </c>
      <c r="B111" t="s">
        <v>106</v>
      </c>
      <c r="E111" s="1">
        <v>60.365000000000002</v>
      </c>
      <c r="F111" s="1" t="s">
        <v>33</v>
      </c>
      <c r="G111" s="1"/>
      <c r="H111" t="s">
        <v>105</v>
      </c>
      <c r="P111" s="18">
        <f t="shared" si="2"/>
        <v>6.332806971973041E-3</v>
      </c>
    </row>
    <row r="112" spans="1:16" hidden="1">
      <c r="A112" t="s">
        <v>80</v>
      </c>
      <c r="B112" t="s">
        <v>107</v>
      </c>
      <c r="E112" s="1">
        <v>68.805999999999997</v>
      </c>
      <c r="F112" s="1" t="s">
        <v>33</v>
      </c>
      <c r="G112" s="1"/>
      <c r="H112" t="s">
        <v>105</v>
      </c>
      <c r="P112" s="18">
        <f t="shared" si="2"/>
        <v>7.2183403713008704E-3</v>
      </c>
    </row>
    <row r="113" spans="1:16" hidden="1">
      <c r="A113" t="s">
        <v>80</v>
      </c>
      <c r="B113" t="s">
        <v>86</v>
      </c>
      <c r="E113" s="1">
        <v>73.534999999999997</v>
      </c>
      <c r="F113" s="1" t="s">
        <v>33</v>
      </c>
      <c r="G113" s="1"/>
      <c r="H113" t="s">
        <v>105</v>
      </c>
      <c r="P113" s="18">
        <f t="shared" si="2"/>
        <v>7.7144530884459134E-3</v>
      </c>
    </row>
    <row r="114" spans="1:16" hidden="1">
      <c r="A114" t="s">
        <v>80</v>
      </c>
      <c r="B114" t="s">
        <v>37</v>
      </c>
      <c r="E114" s="1">
        <v>144.87200000000001</v>
      </c>
      <c r="F114" s="1" t="s">
        <v>33</v>
      </c>
      <c r="G114" s="1"/>
      <c r="H114" t="s">
        <v>105</v>
      </c>
      <c r="P114" s="18">
        <f t="shared" si="2"/>
        <v>1.5198317098379498E-2</v>
      </c>
    </row>
    <row r="115" spans="1:16" hidden="1">
      <c r="A115" t="s">
        <v>80</v>
      </c>
      <c r="B115" t="s">
        <v>108</v>
      </c>
      <c r="E115" s="1">
        <v>91.813999999999993</v>
      </c>
      <c r="F115" s="1" t="s">
        <v>33</v>
      </c>
      <c r="G115" s="1"/>
      <c r="H115" t="s">
        <v>105</v>
      </c>
      <c r="P115" s="18">
        <f t="shared" si="2"/>
        <v>9.6320771858648679E-3</v>
      </c>
    </row>
    <row r="116" spans="1:16" hidden="1">
      <c r="A116" t="s">
        <v>80</v>
      </c>
      <c r="B116" t="s">
        <v>89</v>
      </c>
      <c r="E116" s="1">
        <v>14.083</v>
      </c>
      <c r="F116" s="1" t="s">
        <v>33</v>
      </c>
      <c r="G116" s="1"/>
      <c r="H116" t="s">
        <v>109</v>
      </c>
      <c r="P116" s="18">
        <f t="shared" si="2"/>
        <v>1.4774276581843177E-3</v>
      </c>
    </row>
    <row r="117" spans="1:16" hidden="1">
      <c r="A117" t="s">
        <v>80</v>
      </c>
      <c r="B117" s="7" t="s">
        <v>67</v>
      </c>
      <c r="C117" s="7"/>
      <c r="E117" s="1">
        <f>126.165+74.159</f>
        <v>200.32400000000001</v>
      </c>
      <c r="F117" s="1" t="s">
        <v>33</v>
      </c>
      <c r="G117" s="1"/>
      <c r="H117" t="s">
        <v>105</v>
      </c>
      <c r="P117" s="18">
        <f t="shared" si="2"/>
        <v>2.1015708172840677E-2</v>
      </c>
    </row>
    <row r="118" spans="1:16" hidden="1">
      <c r="A118" t="s">
        <v>80</v>
      </c>
      <c r="B118" t="s">
        <v>110</v>
      </c>
      <c r="E118" s="1">
        <v>126.16500000000001</v>
      </c>
      <c r="F118" s="1" t="s">
        <v>33</v>
      </c>
      <c r="G118" s="1"/>
      <c r="H118" t="s">
        <v>105</v>
      </c>
      <c r="P118" s="18">
        <f t="shared" si="2"/>
        <v>1.3235792124889898E-2</v>
      </c>
    </row>
    <row r="119" spans="1:16" hidden="1">
      <c r="A119" t="s">
        <v>80</v>
      </c>
      <c r="B119" t="s">
        <v>111</v>
      </c>
      <c r="E119" s="1">
        <v>74.159000000000006</v>
      </c>
      <c r="F119" s="1" t="s">
        <v>33</v>
      </c>
      <c r="G119" s="1"/>
      <c r="H119" t="s">
        <v>105</v>
      </c>
      <c r="P119" s="18">
        <f t="shared" si="2"/>
        <v>7.7799160479507792E-3</v>
      </c>
    </row>
    <row r="120" spans="1:16" hidden="1">
      <c r="A120" t="s">
        <v>80</v>
      </c>
      <c r="B120" s="14" t="s">
        <v>68</v>
      </c>
      <c r="C120" s="14"/>
      <c r="E120" s="1">
        <v>27.344000000000001</v>
      </c>
      <c r="F120" s="1" t="s">
        <v>33</v>
      </c>
      <c r="G120" s="1"/>
      <c r="H120" t="s">
        <v>105</v>
      </c>
      <c r="P120" s="18">
        <f t="shared" si="2"/>
        <v>2.8686204562516499E-3</v>
      </c>
    </row>
    <row r="121" spans="1:16" hidden="1">
      <c r="A121" t="s">
        <v>80</v>
      </c>
      <c r="B121" t="s">
        <v>112</v>
      </c>
      <c r="E121" s="1">
        <v>26.048999999999999</v>
      </c>
      <c r="F121" s="1" t="s">
        <v>33</v>
      </c>
      <c r="G121" s="1"/>
      <c r="H121" t="s">
        <v>105</v>
      </c>
      <c r="P121" s="18">
        <f t="shared" si="2"/>
        <v>2.7327638335612647E-3</v>
      </c>
    </row>
    <row r="122" spans="1:16" hidden="1">
      <c r="A122" t="s">
        <v>80</v>
      </c>
      <c r="B122" s="9" t="s">
        <v>39</v>
      </c>
      <c r="C122" s="9"/>
      <c r="E122" s="1">
        <v>1005.4690000000001</v>
      </c>
      <c r="F122" s="1" t="s">
        <v>33</v>
      </c>
      <c r="G122" s="1"/>
      <c r="H122" t="s">
        <v>105</v>
      </c>
      <c r="P122" s="18">
        <f t="shared" si="2"/>
        <v>0.10548233402307233</v>
      </c>
    </row>
    <row r="123" spans="1:16" hidden="1">
      <c r="A123" t="s">
        <v>80</v>
      </c>
      <c r="B123" s="8" t="s">
        <v>42</v>
      </c>
      <c r="C123" s="8"/>
      <c r="E123" s="1">
        <v>655.23199999999997</v>
      </c>
      <c r="F123" s="1" t="s">
        <v>33</v>
      </c>
      <c r="G123" s="1"/>
      <c r="H123" t="s">
        <v>105</v>
      </c>
      <c r="P123" s="18">
        <f t="shared" si="2"/>
        <v>6.873946455495468E-2</v>
      </c>
    </row>
    <row r="124" spans="1:16" hidden="1">
      <c r="A124" t="s">
        <v>80</v>
      </c>
      <c r="B124" t="s">
        <v>49</v>
      </c>
      <c r="E124" s="1">
        <f>189.444+115.019</f>
        <v>304.46299999999997</v>
      </c>
      <c r="F124" s="1" t="s">
        <v>33</v>
      </c>
      <c r="G124" s="1"/>
      <c r="H124" t="s">
        <v>105</v>
      </c>
      <c r="P124" s="18">
        <f t="shared" si="2"/>
        <v>3.1940783717515575E-2</v>
      </c>
    </row>
    <row r="125" spans="1:16" hidden="1">
      <c r="A125" t="s">
        <v>80</v>
      </c>
      <c r="B125" t="s">
        <v>113</v>
      </c>
      <c r="E125" s="1">
        <v>189.44399999999999</v>
      </c>
      <c r="F125" s="1" t="s">
        <v>33</v>
      </c>
      <c r="G125" s="1"/>
      <c r="H125" t="s">
        <v>105</v>
      </c>
      <c r="P125" s="18">
        <f t="shared" si="2"/>
        <v>1.987430272506354E-2</v>
      </c>
    </row>
    <row r="126" spans="1:16" hidden="1">
      <c r="A126" t="s">
        <v>80</v>
      </c>
      <c r="B126" t="s">
        <v>114</v>
      </c>
      <c r="E126" s="1">
        <v>115.01900000000001</v>
      </c>
      <c r="F126" s="1" t="s">
        <v>33</v>
      </c>
      <c r="G126" s="1"/>
      <c r="H126" t="s">
        <v>105</v>
      </c>
      <c r="P126" s="18">
        <f t="shared" si="2"/>
        <v>1.2066480992452036E-2</v>
      </c>
    </row>
    <row r="127" spans="1:16" hidden="1">
      <c r="A127" t="s">
        <v>80</v>
      </c>
      <c r="B127" t="s">
        <v>92</v>
      </c>
      <c r="E127" s="1"/>
      <c r="F127" s="1" t="s">
        <v>33</v>
      </c>
      <c r="G127" s="1"/>
      <c r="H127" t="s">
        <v>105</v>
      </c>
      <c r="P127" s="18">
        <f t="shared" si="2"/>
        <v>0</v>
      </c>
    </row>
    <row r="128" spans="1:16" hidden="1">
      <c r="A128" t="s">
        <v>80</v>
      </c>
      <c r="B128" s="6" t="s">
        <v>36</v>
      </c>
      <c r="C128" s="6"/>
      <c r="E128" s="1">
        <v>285.14299999999997</v>
      </c>
      <c r="F128" s="1" t="s">
        <v>33</v>
      </c>
      <c r="G128" s="38">
        <f>E128</f>
        <v>285.14299999999997</v>
      </c>
      <c r="H128" t="s">
        <v>105</v>
      </c>
      <c r="P128" s="18">
        <f t="shared" si="2"/>
        <v>2.9913949778999561E-2</v>
      </c>
    </row>
    <row r="129" spans="1:17" hidden="1">
      <c r="A129" t="s">
        <v>80</v>
      </c>
      <c r="B129" t="s">
        <v>91</v>
      </c>
      <c r="E129" s="1">
        <v>45.994</v>
      </c>
      <c r="F129" s="1" t="s">
        <v>33</v>
      </c>
      <c r="G129" s="1"/>
      <c r="H129" t="s">
        <v>105</v>
      </c>
      <c r="P129" s="18">
        <f t="shared" si="2"/>
        <v>4.8251656401710934E-3</v>
      </c>
    </row>
    <row r="130" spans="1:17" hidden="1">
      <c r="A130" t="s">
        <v>80</v>
      </c>
      <c r="B130">
        <v>2</v>
      </c>
      <c r="E130" s="1">
        <v>89.466999999999999</v>
      </c>
      <c r="F130" s="1" t="s">
        <v>33</v>
      </c>
      <c r="G130" s="1"/>
      <c r="H130" t="s">
        <v>105</v>
      </c>
      <c r="P130" s="18">
        <f t="shared" si="2"/>
        <v>9.3858567275989738E-3</v>
      </c>
    </row>
    <row r="131" spans="1:17" hidden="1">
      <c r="A131" t="s">
        <v>80</v>
      </c>
      <c r="B131" t="s">
        <v>115</v>
      </c>
      <c r="E131" s="1">
        <v>79.882000000000005</v>
      </c>
      <c r="F131" s="1" t="s">
        <v>33</v>
      </c>
      <c r="G131" s="1"/>
      <c r="H131" t="s">
        <v>105</v>
      </c>
      <c r="P131" s="18">
        <f t="shared" si="2"/>
        <v>8.3803079025122247E-3</v>
      </c>
    </row>
    <row r="132" spans="1:17" hidden="1">
      <c r="A132" t="s">
        <v>80</v>
      </c>
      <c r="B132" t="s">
        <v>116</v>
      </c>
      <c r="E132" s="1">
        <v>345.94799999999998</v>
      </c>
      <c r="F132" s="1" t="s">
        <v>33</v>
      </c>
      <c r="G132" s="1"/>
      <c r="H132" t="s">
        <v>105</v>
      </c>
      <c r="P132" s="18">
        <f t="shared" si="2"/>
        <v>3.6292916530110651E-2</v>
      </c>
    </row>
    <row r="133" spans="1:17">
      <c r="A133" t="s">
        <v>80</v>
      </c>
      <c r="B133" t="s">
        <v>74</v>
      </c>
      <c r="E133" s="1">
        <v>9532.1080000000002</v>
      </c>
      <c r="F133" s="1" t="s">
        <v>33</v>
      </c>
      <c r="G133" s="38">
        <f>E133</f>
        <v>9532.1080000000002</v>
      </c>
      <c r="H133" t="s">
        <v>105</v>
      </c>
      <c r="P133" s="18">
        <f t="shared" si="2"/>
        <v>1</v>
      </c>
    </row>
    <row r="134" spans="1:17" hidden="1">
      <c r="A134" t="s">
        <v>117</v>
      </c>
      <c r="B134">
        <v>1</v>
      </c>
      <c r="E134" s="1">
        <v>27.050999999999998</v>
      </c>
      <c r="F134" s="1" t="s">
        <v>118</v>
      </c>
      <c r="G134" s="1"/>
      <c r="H134" t="s">
        <v>119</v>
      </c>
      <c r="P134" s="18">
        <f t="shared" ref="P134:P152" si="3">E134/$E$152</f>
        <v>8.9943163342051345E-3</v>
      </c>
    </row>
    <row r="135" spans="1:17" hidden="1">
      <c r="A135" t="s">
        <v>117</v>
      </c>
      <c r="B135" t="s">
        <v>66</v>
      </c>
      <c r="E135" s="1">
        <v>34.445</v>
      </c>
      <c r="F135" s="1" t="s">
        <v>118</v>
      </c>
      <c r="G135" s="1"/>
      <c r="H135" t="s">
        <v>119</v>
      </c>
      <c r="P135" s="18">
        <f t="shared" si="3"/>
        <v>1.1452782748574761E-2</v>
      </c>
    </row>
    <row r="136" spans="1:17" hidden="1">
      <c r="A136" t="s">
        <v>117</v>
      </c>
      <c r="B136" t="s">
        <v>120</v>
      </c>
      <c r="E136" s="1">
        <v>139.601</v>
      </c>
      <c r="F136" s="1" t="s">
        <v>118</v>
      </c>
      <c r="G136" s="1"/>
      <c r="H136" t="s">
        <v>119</v>
      </c>
      <c r="P136" s="18">
        <f t="shared" si="3"/>
        <v>4.6416603991400358E-2</v>
      </c>
      <c r="Q136">
        <v>4.4000000000000004</v>
      </c>
    </row>
    <row r="137" spans="1:17" hidden="1">
      <c r="A137" t="s">
        <v>117</v>
      </c>
      <c r="B137" t="s">
        <v>121</v>
      </c>
      <c r="E137" s="1">
        <v>41.936999999999998</v>
      </c>
      <c r="F137" s="1" t="s">
        <v>118</v>
      </c>
      <c r="G137" s="1"/>
      <c r="H137" t="s">
        <v>119</v>
      </c>
      <c r="P137" s="18">
        <f t="shared" si="3"/>
        <v>1.3943833651530839E-2</v>
      </c>
      <c r="Q137">
        <v>1.8</v>
      </c>
    </row>
    <row r="138" spans="1:17" hidden="1">
      <c r="A138" t="s">
        <v>117</v>
      </c>
      <c r="B138" t="s">
        <v>84</v>
      </c>
      <c r="E138" s="1">
        <v>9.7210000000000001</v>
      </c>
      <c r="F138" s="1" t="s">
        <v>118</v>
      </c>
      <c r="G138" s="1"/>
      <c r="H138" t="s">
        <v>119</v>
      </c>
      <c r="P138" s="18">
        <f t="shared" si="3"/>
        <v>3.2321817709071057E-3</v>
      </c>
    </row>
    <row r="139" spans="1:17" hidden="1">
      <c r="A139" t="s">
        <v>117</v>
      </c>
      <c r="B139" t="s">
        <v>85</v>
      </c>
      <c r="E139" s="1">
        <v>88.338999999999999</v>
      </c>
      <c r="F139" s="1" t="s">
        <v>118</v>
      </c>
      <c r="G139" s="1"/>
      <c r="H139" t="s">
        <v>119</v>
      </c>
      <c r="P139" s="18">
        <f t="shared" si="3"/>
        <v>2.9372256502434194E-2</v>
      </c>
      <c r="Q139">
        <v>2.7</v>
      </c>
    </row>
    <row r="140" spans="1:17" hidden="1">
      <c r="A140" t="s">
        <v>117</v>
      </c>
      <c r="B140" t="s">
        <v>122</v>
      </c>
      <c r="E140" s="1">
        <v>10.141</v>
      </c>
      <c r="F140" s="1" t="s">
        <v>118</v>
      </c>
      <c r="G140" s="1"/>
      <c r="H140" t="s">
        <v>119</v>
      </c>
      <c r="P140" s="18">
        <f t="shared" si="3"/>
        <v>3.3718295791347556E-3</v>
      </c>
    </row>
    <row r="141" spans="1:17" hidden="1">
      <c r="A141" t="s">
        <v>117</v>
      </c>
      <c r="B141" s="6" t="s">
        <v>36</v>
      </c>
      <c r="C141" s="6"/>
      <c r="E141" s="1">
        <v>51.789000000000001</v>
      </c>
      <c r="F141" s="1" t="s">
        <v>118</v>
      </c>
      <c r="G141" s="1"/>
      <c r="H141" t="s">
        <v>119</v>
      </c>
      <c r="P141" s="18">
        <f t="shared" si="3"/>
        <v>1.7219572238813714E-2</v>
      </c>
    </row>
    <row r="142" spans="1:17" hidden="1">
      <c r="A142" t="s">
        <v>117</v>
      </c>
      <c r="B142" t="s">
        <v>37</v>
      </c>
      <c r="E142" s="1">
        <v>33.786000000000001</v>
      </c>
      <c r="F142" s="1" t="s">
        <v>118</v>
      </c>
      <c r="G142" s="1"/>
      <c r="H142" t="s">
        <v>119</v>
      </c>
      <c r="P142" s="18">
        <f t="shared" si="3"/>
        <v>1.1233668687569949E-2</v>
      </c>
      <c r="Q142">
        <v>1.3</v>
      </c>
    </row>
    <row r="143" spans="1:17" hidden="1">
      <c r="A143" t="s">
        <v>117</v>
      </c>
      <c r="B143" t="s">
        <v>112</v>
      </c>
      <c r="C143" t="s">
        <v>123</v>
      </c>
      <c r="E143" s="1">
        <v>13.079000000000001</v>
      </c>
      <c r="F143" s="1" t="s">
        <v>118</v>
      </c>
      <c r="G143" s="1"/>
      <c r="H143" t="s">
        <v>119</v>
      </c>
      <c r="P143" s="18">
        <f t="shared" si="3"/>
        <v>4.3486992471653161E-3</v>
      </c>
    </row>
    <row r="144" spans="1:17" hidden="1">
      <c r="A144" t="s">
        <v>117</v>
      </c>
      <c r="B144" s="7" t="s">
        <v>38</v>
      </c>
      <c r="C144" s="7" t="s">
        <v>67</v>
      </c>
      <c r="E144" s="1">
        <v>48.825000000000003</v>
      </c>
      <c r="F144" s="1" t="s">
        <v>118</v>
      </c>
      <c r="G144" s="1"/>
      <c r="H144" t="s">
        <v>119</v>
      </c>
      <c r="P144" s="18">
        <f t="shared" si="3"/>
        <v>1.62340577064643E-2</v>
      </c>
    </row>
    <row r="145" spans="1:17" hidden="1">
      <c r="A145" t="s">
        <v>117</v>
      </c>
      <c r="B145" s="14" t="s">
        <v>90</v>
      </c>
      <c r="C145" s="14"/>
      <c r="E145" s="1">
        <v>13.423999999999999</v>
      </c>
      <c r="F145" s="1" t="s">
        <v>118</v>
      </c>
      <c r="G145" s="1"/>
      <c r="H145" t="s">
        <v>119</v>
      </c>
      <c r="P145" s="18">
        <f t="shared" si="3"/>
        <v>4.4634099467808852E-3</v>
      </c>
    </row>
    <row r="146" spans="1:17" hidden="1">
      <c r="A146" t="s">
        <v>117</v>
      </c>
      <c r="B146" s="9" t="s">
        <v>39</v>
      </c>
      <c r="C146" s="9"/>
      <c r="E146" s="1">
        <v>581.12400000000002</v>
      </c>
      <c r="F146" s="1" t="s">
        <v>118</v>
      </c>
      <c r="G146" s="1"/>
      <c r="H146" t="s">
        <v>119</v>
      </c>
      <c r="P146" s="18">
        <f t="shared" si="3"/>
        <v>0.1932206974011543</v>
      </c>
      <c r="Q146">
        <v>19.5</v>
      </c>
    </row>
    <row r="147" spans="1:17" hidden="1">
      <c r="A147" t="s">
        <v>117</v>
      </c>
      <c r="B147" s="10" t="s">
        <v>42</v>
      </c>
      <c r="C147" s="19">
        <v>18</v>
      </c>
      <c r="E147" s="1">
        <v>272.17599999999999</v>
      </c>
      <c r="F147" s="1" t="s">
        <v>118</v>
      </c>
      <c r="G147" s="1"/>
      <c r="H147" t="s">
        <v>119</v>
      </c>
      <c r="P147" s="18">
        <f t="shared" si="3"/>
        <v>9.0497099648021023E-2</v>
      </c>
      <c r="Q147">
        <v>7.6</v>
      </c>
    </row>
    <row r="148" spans="1:17" hidden="1">
      <c r="A148" t="s">
        <v>117</v>
      </c>
      <c r="B148">
        <v>2</v>
      </c>
      <c r="E148" s="1">
        <v>19.513000000000002</v>
      </c>
      <c r="F148" s="1" t="s">
        <v>118</v>
      </c>
      <c r="G148" s="1"/>
      <c r="H148" t="s">
        <v>119</v>
      </c>
      <c r="P148" s="18">
        <f t="shared" si="3"/>
        <v>6.4879706713003148E-3</v>
      </c>
    </row>
    <row r="149" spans="1:17" hidden="1">
      <c r="A149" t="s">
        <v>117</v>
      </c>
      <c r="B149" t="s">
        <v>86</v>
      </c>
      <c r="E149" s="1">
        <v>31.396999999999998</v>
      </c>
      <c r="F149" s="1" t="s">
        <v>118</v>
      </c>
      <c r="G149" s="1"/>
      <c r="H149" t="s">
        <v>119</v>
      </c>
      <c r="P149" s="18">
        <f t="shared" si="3"/>
        <v>1.0439338654579817E-2</v>
      </c>
      <c r="Q149">
        <v>1.4</v>
      </c>
    </row>
    <row r="150" spans="1:17" hidden="1">
      <c r="A150" t="s">
        <v>117</v>
      </c>
      <c r="B150" t="s">
        <v>124</v>
      </c>
      <c r="E150" s="1">
        <v>27.678000000000001</v>
      </c>
      <c r="F150" s="1" t="s">
        <v>118</v>
      </c>
      <c r="G150" s="1"/>
      <c r="H150" t="s">
        <v>119</v>
      </c>
      <c r="P150" s="18">
        <f t="shared" si="3"/>
        <v>9.2027905622021275E-3</v>
      </c>
      <c r="Q150">
        <v>1</v>
      </c>
    </row>
    <row r="151" spans="1:17" hidden="1">
      <c r="A151" t="s">
        <v>117</v>
      </c>
      <c r="B151" t="s">
        <v>125</v>
      </c>
      <c r="E151" s="1">
        <v>63.414000000000001</v>
      </c>
      <c r="F151" s="1" t="s">
        <v>118</v>
      </c>
      <c r="G151" s="1"/>
      <c r="H151" t="s">
        <v>119</v>
      </c>
      <c r="P151" s="18">
        <f t="shared" si="3"/>
        <v>2.1084824073686167E-2</v>
      </c>
    </row>
    <row r="152" spans="1:17">
      <c r="A152" t="s">
        <v>117</v>
      </c>
      <c r="B152" t="s">
        <v>126</v>
      </c>
      <c r="E152" s="1">
        <v>3007.5659999999998</v>
      </c>
      <c r="F152" s="1" t="s">
        <v>118</v>
      </c>
      <c r="G152" s="1"/>
      <c r="H152" t="s">
        <v>119</v>
      </c>
      <c r="P152" s="18">
        <f t="shared" si="3"/>
        <v>1</v>
      </c>
    </row>
    <row r="153" spans="1:17" hidden="1">
      <c r="A153" t="s">
        <v>21</v>
      </c>
      <c r="B153" s="6" t="s">
        <v>36</v>
      </c>
      <c r="C153" s="6" t="s">
        <v>127</v>
      </c>
      <c r="E153" s="1">
        <v>252.149</v>
      </c>
      <c r="F153" s="1" t="s">
        <v>128</v>
      </c>
      <c r="H153" t="s">
        <v>129</v>
      </c>
      <c r="K153" s="30" t="s">
        <v>130</v>
      </c>
      <c r="O153" s="30"/>
    </row>
    <row r="154" spans="1:17" hidden="1">
      <c r="A154" t="s">
        <v>21</v>
      </c>
      <c r="B154" s="6" t="s">
        <v>36</v>
      </c>
      <c r="C154" s="6" t="s">
        <v>127</v>
      </c>
      <c r="E154" s="1">
        <v>168.49</v>
      </c>
      <c r="F154" s="1" t="s">
        <v>128</v>
      </c>
      <c r="H154" t="s">
        <v>129</v>
      </c>
      <c r="K154" s="30" t="s">
        <v>131</v>
      </c>
      <c r="O154" s="30"/>
    </row>
    <row r="155" spans="1:17" hidden="1">
      <c r="A155" t="s">
        <v>21</v>
      </c>
      <c r="B155" s="6" t="s">
        <v>36</v>
      </c>
      <c r="C155" s="6" t="s">
        <v>127</v>
      </c>
      <c r="E155" s="1">
        <v>190.054</v>
      </c>
      <c r="F155" s="1" t="s">
        <v>128</v>
      </c>
      <c r="H155" t="s">
        <v>129</v>
      </c>
      <c r="K155" s="30" t="s">
        <v>132</v>
      </c>
      <c r="O155" s="30"/>
    </row>
    <row r="156" spans="1:17" hidden="1">
      <c r="A156" t="s">
        <v>21</v>
      </c>
      <c r="B156" s="6" t="s">
        <v>36</v>
      </c>
      <c r="C156" s="6" t="s">
        <v>127</v>
      </c>
      <c r="E156" s="1">
        <v>233.41200000000001</v>
      </c>
      <c r="F156" s="1" t="s">
        <v>128</v>
      </c>
      <c r="H156" t="s">
        <v>129</v>
      </c>
      <c r="K156" s="30" t="s">
        <v>133</v>
      </c>
      <c r="O156" s="30"/>
    </row>
    <row r="157" spans="1:17" hidden="1">
      <c r="A157" t="s">
        <v>21</v>
      </c>
      <c r="B157" s="6" t="s">
        <v>36</v>
      </c>
      <c r="C157" s="6" t="s">
        <v>127</v>
      </c>
      <c r="E157" s="1">
        <f>AVERAGE(252.149,168.49,190.054,233.412)</f>
        <v>211.02625</v>
      </c>
      <c r="F157" s="1" t="s">
        <v>128</v>
      </c>
      <c r="G157" s="20">
        <f>E157</f>
        <v>211.02625</v>
      </c>
      <c r="H157" t="s">
        <v>129</v>
      </c>
      <c r="K157" s="30" t="s">
        <v>134</v>
      </c>
      <c r="O157" s="30"/>
    </row>
    <row r="158" spans="1:17" hidden="1">
      <c r="A158" t="s">
        <v>21</v>
      </c>
      <c r="B158" s="6" t="s">
        <v>36</v>
      </c>
      <c r="C158" s="6" t="s">
        <v>135</v>
      </c>
      <c r="E158" s="1">
        <v>192</v>
      </c>
      <c r="F158" s="1" t="s">
        <v>128</v>
      </c>
      <c r="H158" t="s">
        <v>129</v>
      </c>
      <c r="K158" t="s">
        <v>132</v>
      </c>
    </row>
    <row r="159" spans="1:17" hidden="1">
      <c r="A159" t="s">
        <v>21</v>
      </c>
      <c r="B159" s="6" t="s">
        <v>36</v>
      </c>
      <c r="C159" s="6" t="s">
        <v>135</v>
      </c>
      <c r="E159" s="1">
        <v>172.429</v>
      </c>
      <c r="F159" s="1" t="s">
        <v>128</v>
      </c>
      <c r="H159" t="s">
        <v>129</v>
      </c>
      <c r="K159" s="30" t="s">
        <v>131</v>
      </c>
      <c r="O159" s="30"/>
    </row>
    <row r="160" spans="1:17" hidden="1">
      <c r="A160" t="s">
        <v>21</v>
      </c>
      <c r="B160" s="6" t="s">
        <v>36</v>
      </c>
      <c r="C160" s="6" t="s">
        <v>136</v>
      </c>
      <c r="E160" s="1">
        <v>189.25299999999999</v>
      </c>
      <c r="F160" s="1" t="s">
        <v>128</v>
      </c>
      <c r="H160" t="s">
        <v>129</v>
      </c>
      <c r="K160" s="30" t="s">
        <v>131</v>
      </c>
      <c r="O160" s="30"/>
    </row>
    <row r="161" spans="1:18" hidden="1">
      <c r="A161" t="s">
        <v>21</v>
      </c>
      <c r="B161" s="6" t="s">
        <v>137</v>
      </c>
      <c r="C161" s="6"/>
      <c r="E161" s="1">
        <v>19.3</v>
      </c>
      <c r="F161" s="1" t="s">
        <v>18</v>
      </c>
      <c r="H161" t="s">
        <v>129</v>
      </c>
      <c r="K161" s="30" t="s">
        <v>130</v>
      </c>
      <c r="O161" s="30"/>
    </row>
    <row r="162" spans="1:18" hidden="1">
      <c r="A162" t="s">
        <v>21</v>
      </c>
      <c r="B162" s="6" t="s">
        <v>137</v>
      </c>
      <c r="C162" s="6"/>
      <c r="E162" s="1">
        <v>15</v>
      </c>
      <c r="F162" s="1" t="s">
        <v>18</v>
      </c>
      <c r="H162" t="s">
        <v>129</v>
      </c>
      <c r="K162" s="30" t="s">
        <v>131</v>
      </c>
      <c r="O162" s="30"/>
    </row>
    <row r="163" spans="1:18" hidden="1">
      <c r="A163" t="s">
        <v>21</v>
      </c>
      <c r="B163" s="6" t="s">
        <v>137</v>
      </c>
      <c r="C163" s="6"/>
      <c r="E163" s="1">
        <v>8.1</v>
      </c>
      <c r="F163" s="1" t="s">
        <v>18</v>
      </c>
      <c r="H163" t="s">
        <v>129</v>
      </c>
      <c r="K163" s="30" t="s">
        <v>132</v>
      </c>
      <c r="O163" s="30"/>
    </row>
    <row r="164" spans="1:18" hidden="1">
      <c r="A164" t="s">
        <v>21</v>
      </c>
      <c r="B164" s="6" t="s">
        <v>137</v>
      </c>
      <c r="C164" s="6"/>
      <c r="E164" s="1">
        <v>8.1</v>
      </c>
      <c r="F164" s="1" t="s">
        <v>18</v>
      </c>
      <c r="H164" t="s">
        <v>129</v>
      </c>
      <c r="K164" s="30" t="s">
        <v>133</v>
      </c>
      <c r="O164" s="30"/>
    </row>
    <row r="165" spans="1:18" hidden="1">
      <c r="A165" t="s">
        <v>21</v>
      </c>
      <c r="B165" t="s">
        <v>138</v>
      </c>
      <c r="C165" s="18" t="s">
        <v>139</v>
      </c>
      <c r="D165" s="48"/>
      <c r="E165" s="1">
        <v>100</v>
      </c>
      <c r="F165" s="1" t="s">
        <v>128</v>
      </c>
      <c r="H165" t="s">
        <v>140</v>
      </c>
      <c r="J165" t="s">
        <v>141</v>
      </c>
      <c r="R165" t="s">
        <v>142</v>
      </c>
    </row>
    <row r="166" spans="1:18" hidden="1">
      <c r="A166" t="s">
        <v>21</v>
      </c>
      <c r="B166" s="9" t="s">
        <v>39</v>
      </c>
      <c r="C166" s="9"/>
      <c r="E166" s="1">
        <v>740.32500000000005</v>
      </c>
      <c r="F166" s="1" t="s">
        <v>143</v>
      </c>
      <c r="H166" t="s">
        <v>144</v>
      </c>
      <c r="P166" s="18">
        <f>E166/$E$182</f>
        <v>0.10683039173668923</v>
      </c>
    </row>
    <row r="167" spans="1:18" hidden="1">
      <c r="A167" t="s">
        <v>21</v>
      </c>
      <c r="B167" t="s">
        <v>84</v>
      </c>
      <c r="E167" s="1">
        <v>24.716000000000001</v>
      </c>
      <c r="F167" s="1" t="s">
        <v>143</v>
      </c>
      <c r="H167" t="s">
        <v>144</v>
      </c>
      <c r="P167" s="18">
        <f t="shared" ref="P167:P182" si="4">E167/$E$182</f>
        <v>3.5665686855962057E-3</v>
      </c>
    </row>
    <row r="168" spans="1:18" hidden="1">
      <c r="A168" t="s">
        <v>21</v>
      </c>
      <c r="B168" s="10" t="s">
        <v>42</v>
      </c>
      <c r="C168" s="10"/>
      <c r="E168" s="1">
        <v>696.66399999999999</v>
      </c>
      <c r="F168" s="1" t="s">
        <v>143</v>
      </c>
      <c r="H168" t="s">
        <v>144</v>
      </c>
      <c r="P168" s="18">
        <f t="shared" si="4"/>
        <v>0.10053002131340812</v>
      </c>
    </row>
    <row r="169" spans="1:18" hidden="1">
      <c r="A169" t="s">
        <v>21</v>
      </c>
      <c r="B169" t="s">
        <v>121</v>
      </c>
      <c r="E169" s="1">
        <v>43.484000000000002</v>
      </c>
      <c r="F169" s="1" t="s">
        <v>143</v>
      </c>
      <c r="H169" t="s">
        <v>144</v>
      </c>
      <c r="P169" s="18">
        <f t="shared" si="4"/>
        <v>6.2748289660327482E-3</v>
      </c>
    </row>
    <row r="170" spans="1:18" hidden="1">
      <c r="A170" t="s">
        <v>21</v>
      </c>
      <c r="B170" t="s">
        <v>124</v>
      </c>
      <c r="E170" s="1">
        <v>39.881999999999998</v>
      </c>
      <c r="F170" s="1" t="s">
        <v>143</v>
      </c>
      <c r="H170" t="s">
        <v>144</v>
      </c>
      <c r="P170" s="18">
        <f t="shared" si="4"/>
        <v>5.7550530959276525E-3</v>
      </c>
    </row>
    <row r="171" spans="1:18" hidden="1">
      <c r="A171" t="s">
        <v>21</v>
      </c>
      <c r="B171" t="s">
        <v>85</v>
      </c>
      <c r="E171" s="1">
        <v>41.408000000000001</v>
      </c>
      <c r="F171" s="1" t="s">
        <v>143</v>
      </c>
      <c r="H171" t="s">
        <v>144</v>
      </c>
      <c r="P171" s="18">
        <f t="shared" si="4"/>
        <v>5.9752579759333093E-3</v>
      </c>
    </row>
    <row r="172" spans="1:18" hidden="1">
      <c r="A172" t="s">
        <v>21</v>
      </c>
      <c r="B172" t="s">
        <v>86</v>
      </c>
      <c r="E172" s="1">
        <v>51.646999999999998</v>
      </c>
      <c r="F172" s="1" t="s">
        <v>143</v>
      </c>
      <c r="H172" t="s">
        <v>144</v>
      </c>
      <c r="P172" s="18">
        <f t="shared" si="4"/>
        <v>7.4527663418428236E-3</v>
      </c>
    </row>
    <row r="173" spans="1:18" hidden="1">
      <c r="A173" t="s">
        <v>21</v>
      </c>
      <c r="B173" t="s">
        <v>37</v>
      </c>
      <c r="E173" s="1">
        <v>34.661000000000001</v>
      </c>
      <c r="F173" s="1" t="s">
        <v>143</v>
      </c>
      <c r="H173" t="s">
        <v>144</v>
      </c>
      <c r="P173" s="18">
        <f t="shared" si="4"/>
        <v>5.0016522581101345E-3</v>
      </c>
    </row>
    <row r="174" spans="1:18" hidden="1">
      <c r="A174" t="s">
        <v>21</v>
      </c>
      <c r="B174" t="s">
        <v>49</v>
      </c>
      <c r="E174" s="1">
        <v>298.96199999999999</v>
      </c>
      <c r="F174" s="1" t="s">
        <v>143</v>
      </c>
      <c r="H174" t="s">
        <v>144</v>
      </c>
      <c r="P174" s="18">
        <f t="shared" si="4"/>
        <v>4.3140820010649492E-2</v>
      </c>
    </row>
    <row r="175" spans="1:18" hidden="1">
      <c r="A175" t="s">
        <v>21</v>
      </c>
      <c r="B175" t="s">
        <v>145</v>
      </c>
      <c r="E175" s="1">
        <v>52.121000000000002</v>
      </c>
      <c r="F175" s="1" t="s">
        <v>143</v>
      </c>
      <c r="H175" t="s">
        <v>144</v>
      </c>
      <c r="P175" s="18">
        <f t="shared" si="4"/>
        <v>7.5211654985418283E-3</v>
      </c>
    </row>
    <row r="176" spans="1:18" hidden="1">
      <c r="A176" t="s">
        <v>21</v>
      </c>
      <c r="B176" t="s">
        <v>146</v>
      </c>
      <c r="E176" s="1">
        <v>31.329000000000001</v>
      </c>
      <c r="F176" s="1" t="s">
        <v>143</v>
      </c>
      <c r="H176" t="s">
        <v>144</v>
      </c>
      <c r="P176" s="18">
        <f t="shared" si="4"/>
        <v>4.5208379329601681E-3</v>
      </c>
    </row>
    <row r="177" spans="1:16" hidden="1">
      <c r="A177" t="s">
        <v>21</v>
      </c>
      <c r="B177" t="s">
        <v>147</v>
      </c>
      <c r="E177" s="1">
        <v>40.128</v>
      </c>
      <c r="F177" s="1" t="s">
        <v>143</v>
      </c>
      <c r="H177" t="s">
        <v>144</v>
      </c>
      <c r="P177" s="18">
        <f t="shared" si="4"/>
        <v>5.7905513924423266E-3</v>
      </c>
    </row>
    <row r="178" spans="1:16" hidden="1">
      <c r="A178" t="s">
        <v>21</v>
      </c>
      <c r="B178" t="s">
        <v>148</v>
      </c>
      <c r="E178" s="1">
        <v>13.706</v>
      </c>
      <c r="F178" s="1" t="s">
        <v>143</v>
      </c>
      <c r="H178" t="s">
        <v>144</v>
      </c>
      <c r="P178" s="18">
        <f t="shared" si="4"/>
        <v>1.9778034635370445E-3</v>
      </c>
    </row>
    <row r="179" spans="1:16" hidden="1">
      <c r="A179" t="s">
        <v>21</v>
      </c>
      <c r="B179" t="s">
        <v>149</v>
      </c>
      <c r="E179" s="1">
        <v>42.664000000000001</v>
      </c>
      <c r="F179" s="1" t="s">
        <v>143</v>
      </c>
      <c r="H179" t="s">
        <v>144</v>
      </c>
      <c r="P179" s="18">
        <f t="shared" si="4"/>
        <v>6.1565013109838368E-3</v>
      </c>
    </row>
    <row r="180" spans="1:16" hidden="1">
      <c r="A180" t="s">
        <v>21</v>
      </c>
      <c r="B180" s="6" t="s">
        <v>36</v>
      </c>
      <c r="C180" s="6" t="s">
        <v>150</v>
      </c>
      <c r="E180" s="1">
        <v>73</v>
      </c>
      <c r="F180" s="1" t="s">
        <v>151</v>
      </c>
      <c r="H180" t="s">
        <v>152</v>
      </c>
      <c r="P180" s="18">
        <f t="shared" si="4"/>
        <v>1.053404733972014E-2</v>
      </c>
    </row>
    <row r="181" spans="1:16" hidden="1">
      <c r="A181" t="s">
        <v>21</v>
      </c>
      <c r="B181" s="7" t="s">
        <v>72</v>
      </c>
      <c r="C181" s="7" t="s">
        <v>153</v>
      </c>
      <c r="E181" s="1">
        <v>100.557</v>
      </c>
      <c r="F181" s="1" t="s">
        <v>151</v>
      </c>
      <c r="H181" t="s">
        <v>152</v>
      </c>
      <c r="P181" s="18">
        <f t="shared" si="4"/>
        <v>1.4510578059455319E-2</v>
      </c>
    </row>
    <row r="182" spans="1:16">
      <c r="A182" t="s">
        <v>21</v>
      </c>
      <c r="B182" t="s">
        <v>17</v>
      </c>
      <c r="E182" s="1">
        <v>6929.91</v>
      </c>
      <c r="F182" s="1" t="s">
        <v>151</v>
      </c>
      <c r="H182" t="s">
        <v>152</v>
      </c>
      <c r="P182" s="18">
        <f t="shared" si="4"/>
        <v>1</v>
      </c>
    </row>
    <row r="183" spans="1:16" hidden="1">
      <c r="A183" t="s">
        <v>16</v>
      </c>
      <c r="B183" s="9" t="s">
        <v>154</v>
      </c>
      <c r="C183" s="9"/>
      <c r="E183">
        <v>341</v>
      </c>
      <c r="F183" s="1" t="s">
        <v>18</v>
      </c>
      <c r="G183"/>
      <c r="H183" t="s">
        <v>155</v>
      </c>
      <c r="J183"/>
      <c r="P183"/>
    </row>
    <row r="184" spans="1:16" hidden="1">
      <c r="A184" t="s">
        <v>156</v>
      </c>
      <c r="B184" s="9" t="s">
        <v>154</v>
      </c>
      <c r="C184" s="9"/>
      <c r="E184">
        <v>744</v>
      </c>
      <c r="F184" s="1" t="s">
        <v>18</v>
      </c>
      <c r="G184"/>
      <c r="H184" t="s">
        <v>155</v>
      </c>
    </row>
    <row r="185" spans="1:16" hidden="1">
      <c r="A185" t="s">
        <v>21</v>
      </c>
      <c r="B185" s="9" t="s">
        <v>154</v>
      </c>
      <c r="C185" s="9"/>
      <c r="E185">
        <v>1786</v>
      </c>
      <c r="F185" s="1" t="s">
        <v>18</v>
      </c>
      <c r="H185" t="s">
        <v>155</v>
      </c>
    </row>
    <row r="186" spans="1:16" hidden="1">
      <c r="A186" t="s">
        <v>22</v>
      </c>
      <c r="B186" s="9" t="s">
        <v>154</v>
      </c>
      <c r="C186" s="9"/>
      <c r="E186">
        <v>1866</v>
      </c>
      <c r="F186" s="1" t="s">
        <v>18</v>
      </c>
      <c r="G186"/>
      <c r="H186" t="s">
        <v>155</v>
      </c>
    </row>
    <row r="187" spans="1:16" hidden="1">
      <c r="A187" t="s">
        <v>157</v>
      </c>
      <c r="B187" s="9" t="s">
        <v>154</v>
      </c>
      <c r="C187" s="9"/>
      <c r="E187">
        <v>2559</v>
      </c>
      <c r="F187" s="1" t="s">
        <v>18</v>
      </c>
      <c r="G187"/>
      <c r="H187" t="s">
        <v>155</v>
      </c>
      <c r="J187"/>
      <c r="P187"/>
    </row>
    <row r="188" spans="1:16" hidden="1">
      <c r="A188" t="s">
        <v>158</v>
      </c>
      <c r="B188" s="9" t="s">
        <v>154</v>
      </c>
      <c r="C188" s="9"/>
      <c r="E188">
        <v>2130</v>
      </c>
      <c r="F188" s="1" t="s">
        <v>18</v>
      </c>
      <c r="G188"/>
      <c r="H188" t="s">
        <v>155</v>
      </c>
      <c r="J188"/>
      <c r="P188"/>
    </row>
    <row r="189" spans="1:16" hidden="1">
      <c r="A189" t="s">
        <v>159</v>
      </c>
      <c r="B189" s="9" t="s">
        <v>154</v>
      </c>
      <c r="C189" s="9"/>
      <c r="E189">
        <v>3537</v>
      </c>
      <c r="F189" s="1" t="s">
        <v>18</v>
      </c>
      <c r="G189"/>
      <c r="H189" t="s">
        <v>155</v>
      </c>
      <c r="J189"/>
      <c r="P189"/>
    </row>
    <row r="190" spans="1:16" hidden="1">
      <c r="A190" t="s">
        <v>160</v>
      </c>
      <c r="B190" s="9" t="s">
        <v>154</v>
      </c>
      <c r="C190" s="9"/>
      <c r="E190">
        <v>1899</v>
      </c>
      <c r="F190" s="1" t="s">
        <v>18</v>
      </c>
      <c r="G190"/>
      <c r="H190" t="s">
        <v>155</v>
      </c>
      <c r="J190"/>
      <c r="P190"/>
    </row>
    <row r="191" spans="1:16" hidden="1">
      <c r="A191" t="s">
        <v>161</v>
      </c>
      <c r="B191" s="9" t="s">
        <v>154</v>
      </c>
      <c r="C191" s="9"/>
      <c r="E191">
        <v>3212</v>
      </c>
      <c r="F191" s="1" t="s">
        <v>18</v>
      </c>
      <c r="G191"/>
      <c r="H191" t="s">
        <v>155</v>
      </c>
      <c r="J191"/>
      <c r="P191"/>
    </row>
    <row r="192" spans="1:16" hidden="1">
      <c r="A192" t="s">
        <v>162</v>
      </c>
      <c r="B192" s="9" t="s">
        <v>154</v>
      </c>
      <c r="C192" s="9"/>
      <c r="E192">
        <v>3495</v>
      </c>
      <c r="F192" s="1" t="s">
        <v>18</v>
      </c>
      <c r="G192"/>
      <c r="H192" t="s">
        <v>155</v>
      </c>
      <c r="J192"/>
    </row>
    <row r="193" spans="1:16" hidden="1">
      <c r="A193" t="s">
        <v>16</v>
      </c>
      <c r="B193" t="s">
        <v>163</v>
      </c>
      <c r="E193">
        <v>148</v>
      </c>
      <c r="F193" s="1" t="s">
        <v>18</v>
      </c>
      <c r="G193"/>
      <c r="H193" t="s">
        <v>155</v>
      </c>
      <c r="J193"/>
      <c r="P193"/>
    </row>
    <row r="194" spans="1:16" hidden="1">
      <c r="A194" t="s">
        <v>156</v>
      </c>
      <c r="B194" t="s">
        <v>163</v>
      </c>
      <c r="F194" s="1" t="s">
        <v>18</v>
      </c>
      <c r="G194"/>
      <c r="H194" t="s">
        <v>155</v>
      </c>
    </row>
    <row r="195" spans="1:16" hidden="1">
      <c r="A195" t="s">
        <v>21</v>
      </c>
      <c r="B195" t="s">
        <v>163</v>
      </c>
      <c r="E195">
        <v>1260</v>
      </c>
      <c r="F195" s="1" t="s">
        <v>18</v>
      </c>
      <c r="H195" t="s">
        <v>155</v>
      </c>
    </row>
    <row r="196" spans="1:16" hidden="1">
      <c r="A196" t="s">
        <v>22</v>
      </c>
      <c r="B196" t="s">
        <v>163</v>
      </c>
      <c r="E196">
        <v>1733</v>
      </c>
      <c r="F196" s="1" t="s">
        <v>18</v>
      </c>
      <c r="G196"/>
      <c r="H196" t="s">
        <v>155</v>
      </c>
    </row>
    <row r="197" spans="1:16" hidden="1">
      <c r="A197" t="s">
        <v>157</v>
      </c>
      <c r="B197" t="s">
        <v>163</v>
      </c>
      <c r="E197">
        <v>2111</v>
      </c>
      <c r="F197" s="1" t="s">
        <v>18</v>
      </c>
      <c r="G197"/>
      <c r="H197" t="s">
        <v>155</v>
      </c>
      <c r="J197"/>
      <c r="P197"/>
    </row>
    <row r="198" spans="1:16" hidden="1">
      <c r="A198" t="s">
        <v>158</v>
      </c>
      <c r="B198" t="s">
        <v>163</v>
      </c>
      <c r="E198">
        <v>1967</v>
      </c>
      <c r="F198" s="1" t="s">
        <v>18</v>
      </c>
      <c r="G198"/>
      <c r="H198" t="s">
        <v>155</v>
      </c>
      <c r="J198"/>
      <c r="P198"/>
    </row>
    <row r="199" spans="1:16" hidden="1">
      <c r="A199" t="s">
        <v>159</v>
      </c>
      <c r="B199" t="s">
        <v>163</v>
      </c>
      <c r="E199">
        <v>2168</v>
      </c>
      <c r="F199" s="1" t="s">
        <v>18</v>
      </c>
      <c r="G199"/>
      <c r="H199" t="s">
        <v>155</v>
      </c>
      <c r="J199"/>
      <c r="P199"/>
    </row>
    <row r="200" spans="1:16" hidden="1">
      <c r="A200" t="s">
        <v>160</v>
      </c>
      <c r="B200" t="s">
        <v>163</v>
      </c>
      <c r="E200">
        <v>1839</v>
      </c>
      <c r="F200" s="1" t="s">
        <v>18</v>
      </c>
      <c r="G200"/>
      <c r="H200" t="s">
        <v>155</v>
      </c>
      <c r="J200"/>
      <c r="P200"/>
    </row>
    <row r="201" spans="1:16" hidden="1">
      <c r="A201" t="s">
        <v>161</v>
      </c>
      <c r="B201" t="s">
        <v>163</v>
      </c>
      <c r="E201">
        <v>6719</v>
      </c>
      <c r="F201" s="1" t="s">
        <v>18</v>
      </c>
      <c r="G201"/>
      <c r="H201" t="s">
        <v>155</v>
      </c>
      <c r="J201"/>
      <c r="P201"/>
    </row>
    <row r="202" spans="1:16" hidden="1">
      <c r="A202" t="s">
        <v>162</v>
      </c>
      <c r="B202" t="s">
        <v>163</v>
      </c>
      <c r="E202">
        <v>30234</v>
      </c>
      <c r="F202" s="1" t="s">
        <v>18</v>
      </c>
      <c r="G202"/>
      <c r="H202" t="s">
        <v>155</v>
      </c>
      <c r="J202"/>
    </row>
    <row r="203" spans="1:16" hidden="1">
      <c r="A203" t="s">
        <v>16</v>
      </c>
      <c r="B203" t="s">
        <v>164</v>
      </c>
      <c r="E203">
        <v>993</v>
      </c>
      <c r="F203" s="1" t="s">
        <v>18</v>
      </c>
      <c r="G203"/>
      <c r="H203" t="s">
        <v>155</v>
      </c>
      <c r="J203"/>
      <c r="P203"/>
    </row>
    <row r="204" spans="1:16" hidden="1">
      <c r="A204" t="s">
        <v>156</v>
      </c>
      <c r="B204" t="s">
        <v>164</v>
      </c>
      <c r="F204" s="1" t="s">
        <v>18</v>
      </c>
      <c r="G204"/>
      <c r="H204" t="s">
        <v>155</v>
      </c>
    </row>
    <row r="205" spans="1:16" hidden="1">
      <c r="A205" t="s">
        <v>21</v>
      </c>
      <c r="B205" t="s">
        <v>164</v>
      </c>
      <c r="E205">
        <v>8814</v>
      </c>
      <c r="F205" s="1" t="s">
        <v>18</v>
      </c>
      <c r="H205" t="s">
        <v>155</v>
      </c>
    </row>
    <row r="206" spans="1:16" hidden="1">
      <c r="A206" t="s">
        <v>22</v>
      </c>
      <c r="B206" t="s">
        <v>164</v>
      </c>
      <c r="E206">
        <v>9892</v>
      </c>
      <c r="F206" s="1" t="s">
        <v>18</v>
      </c>
      <c r="G206"/>
      <c r="H206" t="s">
        <v>155</v>
      </c>
    </row>
    <row r="207" spans="1:16" hidden="1">
      <c r="A207" t="s">
        <v>157</v>
      </c>
      <c r="B207" t="s">
        <v>164</v>
      </c>
      <c r="E207">
        <v>13506</v>
      </c>
      <c r="F207" s="1" t="s">
        <v>18</v>
      </c>
      <c r="G207"/>
      <c r="H207" t="s">
        <v>155</v>
      </c>
      <c r="J207"/>
      <c r="P207"/>
    </row>
    <row r="208" spans="1:16" hidden="1">
      <c r="A208" t="s">
        <v>158</v>
      </c>
      <c r="B208" t="s">
        <v>164</v>
      </c>
      <c r="E208">
        <v>13599</v>
      </c>
      <c r="F208" s="1" t="s">
        <v>18</v>
      </c>
      <c r="G208"/>
      <c r="H208" t="s">
        <v>155</v>
      </c>
      <c r="J208"/>
      <c r="P208"/>
    </row>
    <row r="209" spans="1:16" hidden="1">
      <c r="A209" t="s">
        <v>159</v>
      </c>
      <c r="B209" t="s">
        <v>164</v>
      </c>
      <c r="E209">
        <v>23422</v>
      </c>
      <c r="F209" s="1" t="s">
        <v>18</v>
      </c>
      <c r="G209"/>
      <c r="H209" t="s">
        <v>155</v>
      </c>
      <c r="J209"/>
      <c r="P209"/>
    </row>
    <row r="210" spans="1:16" hidden="1">
      <c r="A210" t="s">
        <v>160</v>
      </c>
      <c r="B210" t="s">
        <v>164</v>
      </c>
      <c r="E210">
        <v>10912</v>
      </c>
      <c r="F210" s="1" t="s">
        <v>18</v>
      </c>
      <c r="G210"/>
      <c r="H210" t="s">
        <v>155</v>
      </c>
      <c r="J210"/>
      <c r="P210"/>
    </row>
    <row r="211" spans="1:16" hidden="1">
      <c r="A211" t="s">
        <v>161</v>
      </c>
      <c r="B211" t="s">
        <v>164</v>
      </c>
      <c r="E211">
        <v>24252</v>
      </c>
      <c r="F211" s="1" t="s">
        <v>18</v>
      </c>
      <c r="G211"/>
      <c r="H211" t="s">
        <v>155</v>
      </c>
      <c r="J211"/>
      <c r="P211"/>
    </row>
    <row r="212" spans="1:16" hidden="1">
      <c r="A212" t="s">
        <v>162</v>
      </c>
      <c r="B212" t="s">
        <v>164</v>
      </c>
      <c r="E212">
        <v>68355</v>
      </c>
      <c r="F212" s="1" t="s">
        <v>18</v>
      </c>
      <c r="G212"/>
      <c r="H212" t="s">
        <v>155</v>
      </c>
      <c r="J212"/>
    </row>
    <row r="213" spans="1:16" hidden="1">
      <c r="A213" t="s">
        <v>16</v>
      </c>
      <c r="B213" t="s">
        <v>165</v>
      </c>
      <c r="E213">
        <v>167</v>
      </c>
      <c r="F213" s="1" t="s">
        <v>18</v>
      </c>
      <c r="G213"/>
      <c r="H213" t="s">
        <v>155</v>
      </c>
      <c r="J213"/>
      <c r="P213"/>
    </row>
    <row r="214" spans="1:16" hidden="1">
      <c r="A214" t="s">
        <v>156</v>
      </c>
      <c r="B214" t="s">
        <v>165</v>
      </c>
      <c r="F214" s="1" t="s">
        <v>18</v>
      </c>
      <c r="G214"/>
      <c r="H214" t="s">
        <v>155</v>
      </c>
    </row>
    <row r="215" spans="1:16" hidden="1">
      <c r="A215" t="s">
        <v>21</v>
      </c>
      <c r="B215" t="s">
        <v>165</v>
      </c>
      <c r="E215">
        <v>1822</v>
      </c>
      <c r="F215" s="1" t="s">
        <v>18</v>
      </c>
      <c r="H215" t="s">
        <v>155</v>
      </c>
    </row>
    <row r="216" spans="1:16" hidden="1">
      <c r="A216" t="s">
        <v>22</v>
      </c>
      <c r="B216" t="s">
        <v>165</v>
      </c>
      <c r="E216">
        <v>1817</v>
      </c>
      <c r="F216" s="1" t="s">
        <v>18</v>
      </c>
      <c r="G216"/>
      <c r="H216" t="s">
        <v>155</v>
      </c>
    </row>
    <row r="217" spans="1:16" hidden="1">
      <c r="A217" t="s">
        <v>157</v>
      </c>
      <c r="B217" t="s">
        <v>165</v>
      </c>
      <c r="E217">
        <v>2200</v>
      </c>
      <c r="F217" s="1" t="s">
        <v>18</v>
      </c>
      <c r="G217"/>
      <c r="H217" t="s">
        <v>155</v>
      </c>
      <c r="J217"/>
      <c r="P217"/>
    </row>
    <row r="218" spans="1:16" hidden="1">
      <c r="A218" t="s">
        <v>158</v>
      </c>
      <c r="B218" t="s">
        <v>165</v>
      </c>
      <c r="E218">
        <v>2898</v>
      </c>
      <c r="F218" s="1" t="s">
        <v>18</v>
      </c>
      <c r="G218"/>
      <c r="H218" t="s">
        <v>155</v>
      </c>
      <c r="J218"/>
      <c r="P218"/>
    </row>
    <row r="219" spans="1:16" hidden="1">
      <c r="A219" t="s">
        <v>159</v>
      </c>
      <c r="B219" t="s">
        <v>165</v>
      </c>
      <c r="E219">
        <v>2194</v>
      </c>
      <c r="F219" s="1" t="s">
        <v>18</v>
      </c>
      <c r="G219"/>
      <c r="H219" t="s">
        <v>155</v>
      </c>
      <c r="J219"/>
      <c r="P219"/>
    </row>
    <row r="220" spans="1:16" hidden="1">
      <c r="A220" t="s">
        <v>160</v>
      </c>
      <c r="B220" t="s">
        <v>165</v>
      </c>
      <c r="E220">
        <v>1651</v>
      </c>
      <c r="F220" s="1" t="s">
        <v>18</v>
      </c>
      <c r="G220"/>
      <c r="H220" t="s">
        <v>155</v>
      </c>
      <c r="J220"/>
      <c r="P220"/>
    </row>
    <row r="221" spans="1:16" hidden="1">
      <c r="A221" t="s">
        <v>161</v>
      </c>
      <c r="B221" t="s">
        <v>165</v>
      </c>
      <c r="E221">
        <v>5389</v>
      </c>
      <c r="F221" s="1" t="s">
        <v>18</v>
      </c>
      <c r="G221"/>
      <c r="H221" t="s">
        <v>155</v>
      </c>
      <c r="J221"/>
      <c r="P221"/>
    </row>
    <row r="222" spans="1:16" hidden="1">
      <c r="A222" t="s">
        <v>162</v>
      </c>
      <c r="B222" t="s">
        <v>165</v>
      </c>
      <c r="E222">
        <v>6117</v>
      </c>
      <c r="F222" s="1" t="s">
        <v>18</v>
      </c>
      <c r="G222"/>
      <c r="H222" t="s">
        <v>155</v>
      </c>
      <c r="J222"/>
    </row>
    <row r="223" spans="1:16" hidden="1">
      <c r="A223" t="s">
        <v>166</v>
      </c>
      <c r="B223" s="6" t="s">
        <v>36</v>
      </c>
      <c r="C223" s="6"/>
      <c r="E223">
        <v>43</v>
      </c>
      <c r="F223" s="1" t="s">
        <v>18</v>
      </c>
      <c r="G223" s="20">
        <f>E223</f>
        <v>43</v>
      </c>
      <c r="H223" t="s">
        <v>167</v>
      </c>
      <c r="J223"/>
      <c r="P223" s="18" t="s">
        <v>168</v>
      </c>
    </row>
    <row r="224" spans="1:16" hidden="1">
      <c r="A224" t="s">
        <v>169</v>
      </c>
      <c r="B224" s="6" t="s">
        <v>36</v>
      </c>
      <c r="C224" s="6"/>
      <c r="E224">
        <v>222</v>
      </c>
      <c r="F224" s="1" t="s">
        <v>18</v>
      </c>
      <c r="G224" s="20">
        <f>E224</f>
        <v>222</v>
      </c>
      <c r="H224" t="s">
        <v>167</v>
      </c>
      <c r="J224"/>
      <c r="P224" s="18" t="s">
        <v>170</v>
      </c>
    </row>
    <row r="225" spans="1:20" hidden="1">
      <c r="A225" t="s">
        <v>156</v>
      </c>
      <c r="B225" s="6" t="s">
        <v>36</v>
      </c>
      <c r="C225" s="6"/>
      <c r="E225">
        <v>125</v>
      </c>
      <c r="F225" s="1" t="s">
        <v>18</v>
      </c>
      <c r="G225" s="20">
        <f>E225</f>
        <v>125</v>
      </c>
      <c r="H225" t="s">
        <v>167</v>
      </c>
      <c r="P225" s="18" t="s">
        <v>171</v>
      </c>
    </row>
    <row r="226" spans="1:20" hidden="1">
      <c r="A226" t="s">
        <v>29</v>
      </c>
      <c r="B226" s="6" t="s">
        <v>36</v>
      </c>
      <c r="C226" s="6"/>
      <c r="E226" t="s">
        <v>23</v>
      </c>
      <c r="F226" s="1" t="s">
        <v>18</v>
      </c>
      <c r="H226" t="s">
        <v>167</v>
      </c>
    </row>
    <row r="227" spans="1:20" hidden="1">
      <c r="A227" t="s">
        <v>172</v>
      </c>
      <c r="B227" s="6" t="s">
        <v>36</v>
      </c>
      <c r="C227" s="6"/>
      <c r="E227">
        <v>654</v>
      </c>
      <c r="F227" s="1" t="s">
        <v>18</v>
      </c>
      <c r="H227" t="s">
        <v>167</v>
      </c>
      <c r="J227"/>
      <c r="P227"/>
    </row>
    <row r="228" spans="1:20" hidden="1">
      <c r="A228" t="s">
        <v>173</v>
      </c>
      <c r="B228" s="6" t="s">
        <v>36</v>
      </c>
      <c r="C228" s="6"/>
      <c r="E228">
        <v>636</v>
      </c>
      <c r="F228" s="1" t="s">
        <v>18</v>
      </c>
      <c r="H228" t="s">
        <v>167</v>
      </c>
      <c r="J228"/>
      <c r="P228"/>
    </row>
    <row r="229" spans="1:20" hidden="1">
      <c r="A229" t="s">
        <v>174</v>
      </c>
      <c r="B229" s="6" t="s">
        <v>36</v>
      </c>
      <c r="C229" s="6"/>
      <c r="E229">
        <v>2700</v>
      </c>
      <c r="F229" s="1" t="s">
        <v>18</v>
      </c>
      <c r="G229" s="20">
        <f>E229</f>
        <v>2700</v>
      </c>
      <c r="H229" t="s">
        <v>167</v>
      </c>
      <c r="J229"/>
      <c r="P229" t="s">
        <v>175</v>
      </c>
    </row>
    <row r="230" spans="1:20" s="21" customFormat="1" ht="19" hidden="1" customHeight="1">
      <c r="A230" s="21" t="s">
        <v>176</v>
      </c>
      <c r="B230" s="22" t="s">
        <v>36</v>
      </c>
      <c r="C230" s="22"/>
      <c r="D230" s="49"/>
      <c r="E230" s="21">
        <v>645</v>
      </c>
      <c r="F230" s="15" t="s">
        <v>18</v>
      </c>
      <c r="G230" s="23">
        <f>E230</f>
        <v>645</v>
      </c>
      <c r="H230" s="21" t="s">
        <v>167</v>
      </c>
      <c r="P230" t="s">
        <v>177</v>
      </c>
      <c r="T230" t="s">
        <v>178</v>
      </c>
    </row>
    <row r="231" spans="1:20" hidden="1">
      <c r="A231" t="s">
        <v>174</v>
      </c>
      <c r="B231" s="9" t="s">
        <v>179</v>
      </c>
      <c r="C231" s="9"/>
      <c r="E231">
        <v>3504</v>
      </c>
      <c r="F231" s="1" t="s">
        <v>18</v>
      </c>
      <c r="G231"/>
      <c r="H231" t="s">
        <v>180</v>
      </c>
      <c r="L231" t="s">
        <v>182</v>
      </c>
      <c r="P231"/>
      <c r="S231" t="s">
        <v>181</v>
      </c>
    </row>
    <row r="232" spans="1:20">
      <c r="A232" t="s">
        <v>174</v>
      </c>
      <c r="B232" t="s">
        <v>17</v>
      </c>
      <c r="E232">
        <v>34100</v>
      </c>
      <c r="F232" s="1" t="s">
        <v>18</v>
      </c>
      <c r="G232"/>
      <c r="H232" t="s">
        <v>180</v>
      </c>
      <c r="K232" t="s">
        <v>323</v>
      </c>
      <c r="L232" t="s">
        <v>182</v>
      </c>
      <c r="M232" t="s">
        <v>319</v>
      </c>
      <c r="N232" t="s">
        <v>315</v>
      </c>
      <c r="O232">
        <v>344</v>
      </c>
      <c r="S232" t="s">
        <v>183</v>
      </c>
      <c r="T232" t="s">
        <v>281</v>
      </c>
    </row>
    <row r="233" spans="1:20">
      <c r="A233" t="s">
        <v>184</v>
      </c>
      <c r="B233" t="s">
        <v>17</v>
      </c>
      <c r="E233">
        <v>2261</v>
      </c>
      <c r="F233" s="1" t="s">
        <v>18</v>
      </c>
      <c r="G233"/>
      <c r="H233" t="s">
        <v>313</v>
      </c>
      <c r="J233"/>
      <c r="K233" t="s">
        <v>186</v>
      </c>
      <c r="L233" t="s">
        <v>185</v>
      </c>
      <c r="P233"/>
    </row>
    <row r="234" spans="1:20">
      <c r="A234" t="s">
        <v>184</v>
      </c>
      <c r="B234" t="s">
        <v>17</v>
      </c>
      <c r="E234">
        <v>1849</v>
      </c>
      <c r="F234" s="1" t="s">
        <v>18</v>
      </c>
      <c r="G234"/>
      <c r="H234" t="s">
        <v>313</v>
      </c>
      <c r="J234"/>
      <c r="K234" t="s">
        <v>187</v>
      </c>
      <c r="P234"/>
    </row>
    <row r="235" spans="1:20">
      <c r="A235" t="s">
        <v>188</v>
      </c>
      <c r="B235" t="s">
        <v>17</v>
      </c>
      <c r="E235">
        <v>18577</v>
      </c>
      <c r="F235" s="1" t="s">
        <v>18</v>
      </c>
      <c r="G235"/>
      <c r="H235" t="s">
        <v>313</v>
      </c>
      <c r="J235"/>
      <c r="P235"/>
    </row>
    <row r="236" spans="1:20" ht="17">
      <c r="A236" t="s">
        <v>166</v>
      </c>
      <c r="B236" t="s">
        <v>17</v>
      </c>
      <c r="E236">
        <v>1782</v>
      </c>
      <c r="F236" s="15" t="s">
        <v>18</v>
      </c>
      <c r="G236" s="23"/>
      <c r="H236" t="s">
        <v>167</v>
      </c>
      <c r="J236"/>
      <c r="K236" t="s">
        <v>186</v>
      </c>
      <c r="P236"/>
    </row>
    <row r="237" spans="1:20" ht="17">
      <c r="A237" t="s">
        <v>166</v>
      </c>
      <c r="B237" t="s">
        <v>17</v>
      </c>
      <c r="E237">
        <v>1850</v>
      </c>
      <c r="F237" s="15" t="s">
        <v>18</v>
      </c>
      <c r="G237" s="23"/>
      <c r="H237" t="s">
        <v>167</v>
      </c>
      <c r="J237"/>
      <c r="K237" t="s">
        <v>187</v>
      </c>
      <c r="P237"/>
    </row>
    <row r="238" spans="1:20" ht="17">
      <c r="A238" t="s">
        <v>166</v>
      </c>
      <c r="B238" t="s">
        <v>17</v>
      </c>
      <c r="E238">
        <v>1817</v>
      </c>
      <c r="F238" s="15" t="s">
        <v>18</v>
      </c>
      <c r="G238" s="23"/>
      <c r="H238" t="s">
        <v>167</v>
      </c>
      <c r="J238"/>
      <c r="K238" t="s">
        <v>189</v>
      </c>
      <c r="P238"/>
    </row>
    <row r="239" spans="1:20">
      <c r="A239" t="s">
        <v>166</v>
      </c>
      <c r="B239" t="s">
        <v>17</v>
      </c>
      <c r="E239" s="24">
        <f>AVERAGE(1782,1850,1817)</f>
        <v>1816.3333333333333</v>
      </c>
      <c r="F239" s="1" t="s">
        <v>18</v>
      </c>
      <c r="G239" s="23">
        <f t="shared" ref="G239" si="5">E239</f>
        <v>1816.3333333333333</v>
      </c>
      <c r="H239" t="s">
        <v>167</v>
      </c>
      <c r="J239"/>
      <c r="K239" t="s">
        <v>190</v>
      </c>
      <c r="P239"/>
    </row>
    <row r="240" spans="1:20">
      <c r="A240" t="s">
        <v>169</v>
      </c>
      <c r="B240" t="s">
        <v>17</v>
      </c>
      <c r="E240">
        <v>2000</v>
      </c>
      <c r="F240" s="1" t="s">
        <v>18</v>
      </c>
      <c r="G240" s="23">
        <f t="shared" ref="G240:G242" si="6">E240</f>
        <v>2000</v>
      </c>
      <c r="H240" t="s">
        <v>167</v>
      </c>
      <c r="J240"/>
      <c r="P240"/>
    </row>
    <row r="241" spans="1:16">
      <c r="A241" t="s">
        <v>156</v>
      </c>
      <c r="B241" t="s">
        <v>17</v>
      </c>
      <c r="E241">
        <v>4900</v>
      </c>
      <c r="F241" s="1" t="s">
        <v>18</v>
      </c>
      <c r="G241" s="23">
        <f t="shared" si="6"/>
        <v>4900</v>
      </c>
      <c r="H241" t="s">
        <v>167</v>
      </c>
    </row>
    <row r="242" spans="1:16">
      <c r="A242" t="s">
        <v>29</v>
      </c>
      <c r="B242" t="s">
        <v>17</v>
      </c>
      <c r="E242">
        <v>15200</v>
      </c>
      <c r="F242" s="1" t="s">
        <v>18</v>
      </c>
      <c r="G242" s="23">
        <f t="shared" si="6"/>
        <v>15200</v>
      </c>
      <c r="H242" t="s">
        <v>167</v>
      </c>
      <c r="K242" t="s">
        <v>191</v>
      </c>
    </row>
    <row r="243" spans="1:16">
      <c r="A243" t="s">
        <v>172</v>
      </c>
      <c r="B243" t="s">
        <v>17</v>
      </c>
      <c r="E243">
        <v>18577</v>
      </c>
      <c r="F243" s="1" t="s">
        <v>18</v>
      </c>
      <c r="G243" s="23"/>
      <c r="H243" t="s">
        <v>167</v>
      </c>
      <c r="J243"/>
      <c r="K243" t="s">
        <v>192</v>
      </c>
      <c r="P243"/>
    </row>
    <row r="244" spans="1:16">
      <c r="A244" t="s">
        <v>173</v>
      </c>
      <c r="B244" t="s">
        <v>17</v>
      </c>
      <c r="E244">
        <v>23400</v>
      </c>
      <c r="F244" s="1" t="s">
        <v>18</v>
      </c>
      <c r="G244" s="23"/>
      <c r="H244" t="s">
        <v>167</v>
      </c>
      <c r="J244"/>
      <c r="K244" t="s">
        <v>193</v>
      </c>
      <c r="P244"/>
    </row>
    <row r="245" spans="1:16" ht="18" customHeight="1">
      <c r="A245" s="21" t="s">
        <v>176</v>
      </c>
      <c r="B245" t="s">
        <v>17</v>
      </c>
      <c r="E245" s="24">
        <f>AVERAGE(18577,23400)</f>
        <v>20988.5</v>
      </c>
      <c r="F245" s="1" t="s">
        <v>18</v>
      </c>
      <c r="G245" s="23">
        <f t="shared" ref="G245" si="7">E245</f>
        <v>20988.5</v>
      </c>
      <c r="H245" t="s">
        <v>167</v>
      </c>
      <c r="K245" t="s">
        <v>194</v>
      </c>
    </row>
    <row r="246" spans="1:16" s="25" customFormat="1" hidden="1">
      <c r="A246" s="25" t="s">
        <v>0</v>
      </c>
      <c r="B246" s="25" t="s">
        <v>195</v>
      </c>
      <c r="D246" s="45"/>
      <c r="E246" s="25" t="s">
        <v>196</v>
      </c>
      <c r="H246" s="25" t="s">
        <v>197</v>
      </c>
    </row>
    <row r="247" spans="1:16" hidden="1">
      <c r="A247" t="s">
        <v>198</v>
      </c>
      <c r="B247">
        <v>1</v>
      </c>
      <c r="E247">
        <v>16.286662</v>
      </c>
      <c r="G247"/>
      <c r="H247" t="s">
        <v>199</v>
      </c>
      <c r="J247"/>
      <c r="P247"/>
    </row>
    <row r="248" spans="1:16" hidden="1">
      <c r="A248" t="s">
        <v>198</v>
      </c>
      <c r="B248">
        <v>2</v>
      </c>
      <c r="E248">
        <v>14.00999032</v>
      </c>
      <c r="G248"/>
      <c r="H248" t="s">
        <v>199</v>
      </c>
      <c r="J248"/>
      <c r="P248"/>
    </row>
    <row r="249" spans="1:16" hidden="1">
      <c r="A249" t="s">
        <v>198</v>
      </c>
      <c r="B249" t="s">
        <v>66</v>
      </c>
      <c r="E249">
        <v>22.003120030000002</v>
      </c>
      <c r="G249"/>
      <c r="H249" t="s">
        <v>200</v>
      </c>
      <c r="J249"/>
      <c r="P249"/>
    </row>
    <row r="250" spans="1:16" hidden="1">
      <c r="A250" t="s">
        <v>198</v>
      </c>
      <c r="B250" t="s">
        <v>31</v>
      </c>
      <c r="E250">
        <v>10.905465059999999</v>
      </c>
      <c r="G250"/>
      <c r="H250" t="s">
        <v>201</v>
      </c>
      <c r="J250"/>
      <c r="P250"/>
    </row>
    <row r="251" spans="1:16" hidden="1">
      <c r="A251" t="s">
        <v>198</v>
      </c>
      <c r="B251" t="s">
        <v>202</v>
      </c>
      <c r="E251">
        <v>15.642554909999999</v>
      </c>
      <c r="G251"/>
      <c r="H251" t="s">
        <v>199</v>
      </c>
      <c r="J251"/>
      <c r="P251"/>
    </row>
    <row r="252" spans="1:16" hidden="1">
      <c r="A252" t="s">
        <v>198</v>
      </c>
      <c r="B252" t="s">
        <v>121</v>
      </c>
      <c r="E252">
        <v>24.06225564</v>
      </c>
      <c r="G252"/>
      <c r="H252" t="s">
        <v>203</v>
      </c>
      <c r="J252"/>
      <c r="P252"/>
    </row>
    <row r="253" spans="1:16" hidden="1">
      <c r="A253" t="s">
        <v>198</v>
      </c>
      <c r="B253" t="s">
        <v>84</v>
      </c>
      <c r="E253">
        <v>5.177589878</v>
      </c>
      <c r="G253"/>
      <c r="H253" t="s">
        <v>204</v>
      </c>
      <c r="J253"/>
      <c r="P253"/>
    </row>
    <row r="254" spans="1:16" hidden="1">
      <c r="A254" t="s">
        <v>198</v>
      </c>
      <c r="B254" t="s">
        <v>205</v>
      </c>
      <c r="E254">
        <v>5.4548917259999996</v>
      </c>
      <c r="G254"/>
      <c r="H254" t="s">
        <v>199</v>
      </c>
      <c r="J254"/>
      <c r="P254"/>
    </row>
    <row r="255" spans="1:16" hidden="1">
      <c r="A255" t="s">
        <v>198</v>
      </c>
      <c r="B255" t="s">
        <v>85</v>
      </c>
      <c r="E255">
        <v>21.34862669</v>
      </c>
      <c r="G255"/>
      <c r="H255" t="s">
        <v>203</v>
      </c>
      <c r="J255"/>
      <c r="P255"/>
    </row>
    <row r="256" spans="1:16" hidden="1">
      <c r="A256" t="s">
        <v>198</v>
      </c>
      <c r="B256" t="s">
        <v>122</v>
      </c>
      <c r="E256">
        <v>5.2015963169999999</v>
      </c>
      <c r="G256"/>
      <c r="H256" t="s">
        <v>204</v>
      </c>
      <c r="J256"/>
      <c r="P256"/>
    </row>
    <row r="257" spans="1:16" hidden="1">
      <c r="A257" t="s">
        <v>198</v>
      </c>
      <c r="B257" t="s">
        <v>36</v>
      </c>
      <c r="E257">
        <v>22</v>
      </c>
      <c r="G257"/>
      <c r="H257" t="s">
        <v>206</v>
      </c>
      <c r="J257"/>
      <c r="P257"/>
    </row>
    <row r="258" spans="1:16" hidden="1">
      <c r="A258" t="s">
        <v>198</v>
      </c>
      <c r="B258" t="s">
        <v>86</v>
      </c>
      <c r="E258">
        <v>16.453457480000001</v>
      </c>
      <c r="G258"/>
      <c r="H258" t="s">
        <v>204</v>
      </c>
      <c r="J258"/>
      <c r="P258"/>
    </row>
    <row r="259" spans="1:16" hidden="1">
      <c r="A259" t="s">
        <v>198</v>
      </c>
      <c r="B259" t="s">
        <v>37</v>
      </c>
      <c r="E259">
        <v>25.305304670000002</v>
      </c>
      <c r="G259"/>
      <c r="H259" t="s">
        <v>203</v>
      </c>
      <c r="J259"/>
      <c r="P259"/>
    </row>
    <row r="260" spans="1:16" hidden="1">
      <c r="A260" t="s">
        <v>198</v>
      </c>
      <c r="B260" t="s">
        <v>112</v>
      </c>
      <c r="E260">
        <v>6.9938994259999996</v>
      </c>
      <c r="G260"/>
      <c r="H260" t="s">
        <v>200</v>
      </c>
      <c r="J260"/>
      <c r="P260"/>
    </row>
    <row r="261" spans="1:16" hidden="1">
      <c r="A261" t="s">
        <v>198</v>
      </c>
      <c r="B261" t="s">
        <v>38</v>
      </c>
      <c r="E261">
        <v>38.720408659999997</v>
      </c>
      <c r="G261"/>
      <c r="H261" t="s">
        <v>203</v>
      </c>
      <c r="J261"/>
      <c r="P261"/>
    </row>
    <row r="262" spans="1:16" hidden="1">
      <c r="A262" t="s">
        <v>198</v>
      </c>
      <c r="B262" t="s">
        <v>90</v>
      </c>
      <c r="E262">
        <v>7.3496927469999997</v>
      </c>
      <c r="G262"/>
      <c r="H262" t="s">
        <v>200</v>
      </c>
      <c r="J262"/>
      <c r="P262"/>
    </row>
    <row r="263" spans="1:16" hidden="1">
      <c r="A263" t="s">
        <v>198</v>
      </c>
      <c r="B263" t="s">
        <v>91</v>
      </c>
      <c r="E263">
        <v>14.138356</v>
      </c>
      <c r="G263"/>
      <c r="H263" t="s">
        <v>206</v>
      </c>
      <c r="J263"/>
      <c r="P263"/>
    </row>
    <row r="264" spans="1:16" hidden="1">
      <c r="A264" t="s">
        <v>198</v>
      </c>
      <c r="B264" t="s">
        <v>39</v>
      </c>
      <c r="E264">
        <v>177</v>
      </c>
      <c r="G264"/>
      <c r="H264" t="s">
        <v>203</v>
      </c>
      <c r="J264"/>
      <c r="P264"/>
    </row>
    <row r="265" spans="1:16" hidden="1">
      <c r="A265" t="s">
        <v>198</v>
      </c>
      <c r="B265" t="s">
        <v>42</v>
      </c>
      <c r="E265">
        <v>90.887452039999999</v>
      </c>
      <c r="G265"/>
      <c r="H265" t="s">
        <v>203</v>
      </c>
      <c r="J265"/>
      <c r="P265"/>
    </row>
    <row r="266" spans="1:16" hidden="1">
      <c r="A266" t="s">
        <v>198</v>
      </c>
      <c r="B266" t="s">
        <v>207</v>
      </c>
      <c r="E266">
        <v>14.659889489999999</v>
      </c>
      <c r="G266"/>
      <c r="H266" t="s">
        <v>204</v>
      </c>
      <c r="J266"/>
      <c r="P266"/>
    </row>
    <row r="267" spans="1:16" hidden="1">
      <c r="A267" t="s">
        <v>208</v>
      </c>
      <c r="B267">
        <v>1</v>
      </c>
      <c r="E267">
        <v>10.194875440000001</v>
      </c>
      <c r="G267"/>
      <c r="H267" t="s">
        <v>209</v>
      </c>
      <c r="J267"/>
      <c r="P267"/>
    </row>
    <row r="268" spans="1:16" hidden="1">
      <c r="A268" t="s">
        <v>208</v>
      </c>
      <c r="B268" t="s">
        <v>66</v>
      </c>
      <c r="E268">
        <v>13.2535665</v>
      </c>
      <c r="G268"/>
      <c r="H268" t="s">
        <v>209</v>
      </c>
      <c r="J268"/>
      <c r="P268"/>
    </row>
    <row r="269" spans="1:16" hidden="1">
      <c r="A269" t="s">
        <v>208</v>
      </c>
      <c r="B269" t="s">
        <v>31</v>
      </c>
      <c r="E269">
        <v>4.4787828310000002</v>
      </c>
      <c r="G269"/>
      <c r="H269" t="s">
        <v>209</v>
      </c>
      <c r="J269"/>
      <c r="P269"/>
    </row>
    <row r="270" spans="1:16" hidden="1">
      <c r="A270" t="s">
        <v>208</v>
      </c>
      <c r="B270" t="s">
        <v>202</v>
      </c>
      <c r="E270">
        <v>13.6823216</v>
      </c>
      <c r="G270"/>
      <c r="H270" t="s">
        <v>210</v>
      </c>
      <c r="J270"/>
      <c r="P270"/>
    </row>
    <row r="271" spans="1:16" hidden="1">
      <c r="A271" t="s">
        <v>208</v>
      </c>
      <c r="B271" t="s">
        <v>121</v>
      </c>
      <c r="E271">
        <v>13.21558802</v>
      </c>
      <c r="G271"/>
      <c r="H271" t="s">
        <v>211</v>
      </c>
      <c r="J271"/>
      <c r="P271"/>
    </row>
    <row r="272" spans="1:16" hidden="1">
      <c r="A272" t="s">
        <v>208</v>
      </c>
      <c r="B272" t="s">
        <v>84</v>
      </c>
      <c r="E272">
        <v>2.4335633240000001</v>
      </c>
      <c r="G272"/>
      <c r="H272" t="s">
        <v>209</v>
      </c>
      <c r="J272"/>
      <c r="P272"/>
    </row>
    <row r="273" spans="1:16" hidden="1">
      <c r="A273" t="s">
        <v>208</v>
      </c>
      <c r="B273" t="s">
        <v>85</v>
      </c>
      <c r="E273">
        <v>11.65817191</v>
      </c>
      <c r="G273"/>
      <c r="H273" t="s">
        <v>211</v>
      </c>
      <c r="J273"/>
      <c r="P273"/>
    </row>
    <row r="274" spans="1:16" hidden="1">
      <c r="A274" t="s">
        <v>208</v>
      </c>
      <c r="B274" t="s">
        <v>122</v>
      </c>
      <c r="E274">
        <v>3.3433303350000001</v>
      </c>
      <c r="G274"/>
      <c r="H274" t="s">
        <v>209</v>
      </c>
      <c r="J274"/>
      <c r="P274"/>
    </row>
    <row r="275" spans="1:16" hidden="1">
      <c r="A275" t="s">
        <v>208</v>
      </c>
      <c r="B275" t="s">
        <v>212</v>
      </c>
      <c r="E275">
        <v>23.554490489999999</v>
      </c>
      <c r="G275"/>
      <c r="H275" t="s">
        <v>209</v>
      </c>
      <c r="J275"/>
      <c r="P275"/>
    </row>
    <row r="276" spans="1:16" hidden="1">
      <c r="A276" t="s">
        <v>208</v>
      </c>
      <c r="B276" t="s">
        <v>36</v>
      </c>
      <c r="E276">
        <v>33</v>
      </c>
      <c r="G276"/>
      <c r="H276" t="s">
        <v>210</v>
      </c>
      <c r="J276"/>
      <c r="P276"/>
    </row>
    <row r="277" spans="1:16" hidden="1">
      <c r="A277" t="s">
        <v>208</v>
      </c>
      <c r="B277" t="s">
        <v>37</v>
      </c>
      <c r="E277">
        <v>15.73498564</v>
      </c>
      <c r="G277"/>
      <c r="H277" t="s">
        <v>211</v>
      </c>
      <c r="J277"/>
      <c r="P277"/>
    </row>
    <row r="278" spans="1:16" hidden="1">
      <c r="A278" t="s">
        <v>208</v>
      </c>
      <c r="B278" t="s">
        <v>112</v>
      </c>
      <c r="E278">
        <v>5.7566365890000002</v>
      </c>
      <c r="G278"/>
      <c r="H278" t="s">
        <v>211</v>
      </c>
      <c r="J278"/>
      <c r="P278"/>
    </row>
    <row r="279" spans="1:16" hidden="1">
      <c r="A279" t="s">
        <v>208</v>
      </c>
      <c r="B279" t="s">
        <v>89</v>
      </c>
      <c r="E279">
        <v>2.1731958379999998</v>
      </c>
      <c r="G279"/>
      <c r="H279" t="s">
        <v>209</v>
      </c>
      <c r="J279"/>
      <c r="P279"/>
    </row>
    <row r="280" spans="1:16" hidden="1">
      <c r="A280" t="s">
        <v>208</v>
      </c>
      <c r="B280" t="s">
        <v>38</v>
      </c>
      <c r="E280">
        <v>22.37420964</v>
      </c>
      <c r="G280"/>
      <c r="H280" t="s">
        <v>211</v>
      </c>
      <c r="J280"/>
      <c r="P280"/>
    </row>
    <row r="281" spans="1:16" hidden="1">
      <c r="A281" t="s">
        <v>208</v>
      </c>
      <c r="B281" t="s">
        <v>90</v>
      </c>
      <c r="E281">
        <v>5.2579169239999999</v>
      </c>
      <c r="G281"/>
      <c r="H281" t="s">
        <v>211</v>
      </c>
      <c r="J281"/>
      <c r="P281"/>
    </row>
    <row r="282" spans="1:16" hidden="1">
      <c r="A282" t="s">
        <v>208</v>
      </c>
      <c r="B282" t="s">
        <v>91</v>
      </c>
      <c r="E282">
        <v>12.15254915</v>
      </c>
      <c r="G282"/>
      <c r="H282" t="s">
        <v>211</v>
      </c>
      <c r="J282"/>
      <c r="P282"/>
    </row>
    <row r="283" spans="1:16" hidden="1">
      <c r="A283" t="s">
        <v>208</v>
      </c>
      <c r="B283" t="s">
        <v>39</v>
      </c>
      <c r="E283">
        <v>114</v>
      </c>
      <c r="G283"/>
      <c r="H283" t="s">
        <v>211</v>
      </c>
      <c r="J283"/>
      <c r="P283"/>
    </row>
    <row r="284" spans="1:16" hidden="1">
      <c r="A284" t="s">
        <v>208</v>
      </c>
      <c r="B284" t="s">
        <v>42</v>
      </c>
      <c r="E284">
        <v>68.327107359999999</v>
      </c>
      <c r="G284"/>
      <c r="H284" t="s">
        <v>211</v>
      </c>
      <c r="J284"/>
      <c r="P284"/>
    </row>
    <row r="285" spans="1:16" hidden="1">
      <c r="A285" t="s">
        <v>208</v>
      </c>
      <c r="B285" t="s">
        <v>207</v>
      </c>
      <c r="E285">
        <v>8.62021601</v>
      </c>
      <c r="G285"/>
      <c r="H285" t="s">
        <v>211</v>
      </c>
      <c r="J285"/>
      <c r="P285"/>
    </row>
    <row r="286" spans="1:16" hidden="1">
      <c r="A286" t="s">
        <v>213</v>
      </c>
      <c r="B286" t="s">
        <v>202</v>
      </c>
      <c r="E286">
        <v>9.890625</v>
      </c>
      <c r="G286"/>
      <c r="H286" t="s">
        <v>214</v>
      </c>
      <c r="J286"/>
      <c r="P286"/>
    </row>
    <row r="287" spans="1:16" hidden="1">
      <c r="A287" t="s">
        <v>213</v>
      </c>
      <c r="B287" t="s">
        <v>37</v>
      </c>
      <c r="E287">
        <v>5.1640625</v>
      </c>
      <c r="G287"/>
      <c r="H287" t="s">
        <v>214</v>
      </c>
      <c r="J287"/>
      <c r="P287"/>
    </row>
    <row r="288" spans="1:16" hidden="1">
      <c r="A288" t="s">
        <v>213</v>
      </c>
      <c r="B288" t="s">
        <v>38</v>
      </c>
      <c r="E288">
        <v>18.08984375</v>
      </c>
      <c r="G288"/>
      <c r="H288" t="s">
        <v>214</v>
      </c>
      <c r="J288"/>
      <c r="P288"/>
    </row>
    <row r="289" spans="1:16" hidden="1">
      <c r="A289" t="s">
        <v>213</v>
      </c>
      <c r="B289" t="s">
        <v>39</v>
      </c>
      <c r="E289">
        <v>61</v>
      </c>
      <c r="G289"/>
      <c r="H289" t="s">
        <v>214</v>
      </c>
      <c r="J289"/>
      <c r="P289"/>
    </row>
    <row r="290" spans="1:16" hidden="1">
      <c r="A290" t="s">
        <v>215</v>
      </c>
      <c r="B290" t="s">
        <v>31</v>
      </c>
      <c r="E290">
        <v>3.8177269740000002</v>
      </c>
      <c r="G290"/>
      <c r="H290" t="s">
        <v>216</v>
      </c>
      <c r="J290"/>
      <c r="P290"/>
    </row>
    <row r="291" spans="1:16" hidden="1">
      <c r="A291" t="s">
        <v>215</v>
      </c>
      <c r="B291" t="s">
        <v>89</v>
      </c>
      <c r="E291">
        <v>39.273757400000001</v>
      </c>
      <c r="G291"/>
      <c r="H291" t="s">
        <v>216</v>
      </c>
      <c r="J291"/>
      <c r="P291"/>
    </row>
    <row r="292" spans="1:16" hidden="1">
      <c r="A292" t="s">
        <v>215</v>
      </c>
      <c r="B292" t="s">
        <v>38</v>
      </c>
      <c r="E292">
        <v>13.88226671</v>
      </c>
      <c r="G292"/>
      <c r="H292" t="s">
        <v>216</v>
      </c>
      <c r="J292"/>
      <c r="P292"/>
    </row>
    <row r="293" spans="1:16" hidden="1">
      <c r="A293" t="s">
        <v>215</v>
      </c>
      <c r="B293" t="s">
        <v>39</v>
      </c>
      <c r="E293">
        <v>25</v>
      </c>
      <c r="G293"/>
      <c r="H293" t="s">
        <v>216</v>
      </c>
      <c r="J293"/>
      <c r="P293"/>
    </row>
    <row r="294" spans="1:16" hidden="1">
      <c r="A294" t="s">
        <v>215</v>
      </c>
      <c r="B294" t="s">
        <v>42</v>
      </c>
      <c r="E294">
        <v>7.5442596010000003</v>
      </c>
      <c r="G294"/>
      <c r="H294" t="s">
        <v>216</v>
      </c>
      <c r="J294"/>
      <c r="P294"/>
    </row>
    <row r="295" spans="1:16" hidden="1">
      <c r="A295" t="s">
        <v>217</v>
      </c>
      <c r="B295" t="s">
        <v>31</v>
      </c>
      <c r="E295">
        <v>4.3266887519999999</v>
      </c>
      <c r="G295"/>
      <c r="H295" t="s">
        <v>216</v>
      </c>
      <c r="J295"/>
      <c r="P295"/>
    </row>
    <row r="296" spans="1:16" hidden="1">
      <c r="A296" t="s">
        <v>217</v>
      </c>
      <c r="B296" t="s">
        <v>218</v>
      </c>
      <c r="E296">
        <v>4.0412063209999998</v>
      </c>
      <c r="G296"/>
      <c r="H296" t="s">
        <v>216</v>
      </c>
      <c r="J296"/>
      <c r="P296"/>
    </row>
    <row r="297" spans="1:16" hidden="1">
      <c r="A297" t="s">
        <v>217</v>
      </c>
      <c r="B297" t="s">
        <v>112</v>
      </c>
      <c r="E297">
        <v>11.166413159999999</v>
      </c>
      <c r="G297"/>
      <c r="H297" t="s">
        <v>216</v>
      </c>
      <c r="J297"/>
      <c r="P297"/>
    </row>
    <row r="298" spans="1:16" hidden="1">
      <c r="A298" t="s">
        <v>217</v>
      </c>
      <c r="B298" t="s">
        <v>38</v>
      </c>
      <c r="E298">
        <v>22.06512481</v>
      </c>
      <c r="G298"/>
      <c r="H298" t="s">
        <v>216</v>
      </c>
      <c r="J298"/>
      <c r="P298"/>
    </row>
    <row r="299" spans="1:16" hidden="1">
      <c r="A299" t="s">
        <v>217</v>
      </c>
      <c r="B299" t="s">
        <v>90</v>
      </c>
      <c r="E299">
        <v>16.423636349999999</v>
      </c>
      <c r="G299"/>
      <c r="H299" t="s">
        <v>216</v>
      </c>
      <c r="J299"/>
      <c r="P299"/>
    </row>
    <row r="300" spans="1:16" hidden="1">
      <c r="A300" t="s">
        <v>217</v>
      </c>
      <c r="B300" t="s">
        <v>39</v>
      </c>
      <c r="E300">
        <v>30</v>
      </c>
      <c r="G300"/>
      <c r="H300" t="s">
        <v>216</v>
      </c>
      <c r="J300"/>
      <c r="P300"/>
    </row>
    <row r="301" spans="1:16" hidden="1">
      <c r="A301" t="s">
        <v>217</v>
      </c>
      <c r="B301" t="s">
        <v>42</v>
      </c>
      <c r="E301">
        <v>14.977455450000001</v>
      </c>
      <c r="G301"/>
      <c r="H301" t="s">
        <v>216</v>
      </c>
      <c r="J301"/>
      <c r="P301"/>
    </row>
    <row r="302" spans="1:16" hidden="1">
      <c r="A302" t="s">
        <v>219</v>
      </c>
      <c r="B302">
        <v>1</v>
      </c>
      <c r="E302">
        <v>1.0173193899999999</v>
      </c>
      <c r="G302"/>
      <c r="H302" t="s">
        <v>220</v>
      </c>
      <c r="J302"/>
      <c r="P302"/>
    </row>
    <row r="303" spans="1:16" hidden="1">
      <c r="A303" t="s">
        <v>219</v>
      </c>
      <c r="B303" t="s">
        <v>221</v>
      </c>
      <c r="E303">
        <v>31.89527545</v>
      </c>
      <c r="G303"/>
      <c r="H303" t="s">
        <v>220</v>
      </c>
      <c r="J303"/>
      <c r="P303"/>
    </row>
    <row r="304" spans="1:16" hidden="1">
      <c r="A304" t="s">
        <v>219</v>
      </c>
      <c r="B304" t="s">
        <v>38</v>
      </c>
      <c r="E304">
        <v>2.417820088</v>
      </c>
      <c r="G304"/>
      <c r="H304" t="s">
        <v>220</v>
      </c>
      <c r="J304"/>
      <c r="P304"/>
    </row>
    <row r="305" spans="1:16" hidden="1">
      <c r="A305" t="s">
        <v>219</v>
      </c>
      <c r="B305" t="s">
        <v>222</v>
      </c>
      <c r="E305">
        <v>1.196766974</v>
      </c>
      <c r="G305"/>
      <c r="H305" t="s">
        <v>220</v>
      </c>
      <c r="J305"/>
      <c r="P305"/>
    </row>
    <row r="306" spans="1:16" hidden="1">
      <c r="A306" t="s">
        <v>219</v>
      </c>
      <c r="B306" t="s">
        <v>39</v>
      </c>
      <c r="E306">
        <v>1</v>
      </c>
      <c r="G306"/>
      <c r="H306" t="s">
        <v>220</v>
      </c>
      <c r="J306"/>
      <c r="P306"/>
    </row>
    <row r="307" spans="1:16" hidden="1">
      <c r="A307" t="s">
        <v>223</v>
      </c>
      <c r="B307" t="s">
        <v>31</v>
      </c>
      <c r="E307">
        <v>6.4897959180000004</v>
      </c>
      <c r="G307"/>
      <c r="H307" t="s">
        <v>224</v>
      </c>
      <c r="J307"/>
      <c r="P307"/>
    </row>
    <row r="308" spans="1:16" hidden="1">
      <c r="A308" t="s">
        <v>223</v>
      </c>
      <c r="B308" t="s">
        <v>36</v>
      </c>
      <c r="E308">
        <v>10</v>
      </c>
      <c r="G308"/>
      <c r="H308" t="s">
        <v>224</v>
      </c>
      <c r="J308"/>
      <c r="P308"/>
    </row>
    <row r="309" spans="1:16" hidden="1">
      <c r="A309" t="s">
        <v>223</v>
      </c>
      <c r="B309" t="s">
        <v>112</v>
      </c>
      <c r="E309">
        <v>8.4081632650000007</v>
      </c>
      <c r="G309"/>
      <c r="H309" t="s">
        <v>224</v>
      </c>
      <c r="J309"/>
      <c r="P309"/>
    </row>
    <row r="310" spans="1:16" hidden="1">
      <c r="A310" t="s">
        <v>223</v>
      </c>
      <c r="B310" t="s">
        <v>38</v>
      </c>
      <c r="E310">
        <v>15.505102040000001</v>
      </c>
      <c r="G310"/>
      <c r="H310" t="s">
        <v>224</v>
      </c>
      <c r="J310"/>
      <c r="P310"/>
    </row>
    <row r="311" spans="1:16" hidden="1">
      <c r="A311" t="s">
        <v>223</v>
      </c>
      <c r="B311" t="s">
        <v>39</v>
      </c>
      <c r="E311">
        <v>11</v>
      </c>
      <c r="G311"/>
      <c r="H311" t="s">
        <v>224</v>
      </c>
      <c r="J311"/>
      <c r="P311"/>
    </row>
    <row r="312" spans="1:16" hidden="1">
      <c r="A312" t="s">
        <v>223</v>
      </c>
      <c r="B312" t="s">
        <v>42</v>
      </c>
      <c r="E312">
        <v>6.4846938779999999</v>
      </c>
      <c r="G312"/>
      <c r="H312" t="s">
        <v>224</v>
      </c>
      <c r="J312"/>
      <c r="P312"/>
    </row>
    <row r="313" spans="1:16" hidden="1">
      <c r="A313" t="s">
        <v>225</v>
      </c>
      <c r="B313" t="s">
        <v>31</v>
      </c>
      <c r="E313">
        <v>3.929330652</v>
      </c>
      <c r="G313"/>
      <c r="H313" t="s">
        <v>226</v>
      </c>
      <c r="J313"/>
      <c r="P313"/>
    </row>
    <row r="314" spans="1:16" hidden="1">
      <c r="A314" t="s">
        <v>225</v>
      </c>
      <c r="B314" t="s">
        <v>120</v>
      </c>
      <c r="E314">
        <v>12.892559609999999</v>
      </c>
      <c r="G314"/>
      <c r="H314" t="s">
        <v>226</v>
      </c>
      <c r="J314"/>
      <c r="P314"/>
    </row>
    <row r="315" spans="1:16" hidden="1">
      <c r="A315" t="s">
        <v>225</v>
      </c>
      <c r="B315" t="s">
        <v>121</v>
      </c>
      <c r="E315">
        <v>3.3260557309999998</v>
      </c>
      <c r="G315"/>
      <c r="H315" t="s">
        <v>226</v>
      </c>
      <c r="J315"/>
      <c r="P315"/>
    </row>
    <row r="316" spans="1:16" hidden="1">
      <c r="A316" t="s">
        <v>225</v>
      </c>
      <c r="B316" t="s">
        <v>84</v>
      </c>
      <c r="E316">
        <v>1.4966963520000001</v>
      </c>
      <c r="G316"/>
      <c r="H316" t="s">
        <v>226</v>
      </c>
      <c r="J316"/>
      <c r="P316"/>
    </row>
    <row r="317" spans="1:16" hidden="1">
      <c r="A317" t="s">
        <v>225</v>
      </c>
      <c r="B317" t="s">
        <v>85</v>
      </c>
      <c r="E317">
        <v>9.6656133299999993</v>
      </c>
      <c r="G317"/>
      <c r="H317" t="s">
        <v>226</v>
      </c>
      <c r="J317"/>
      <c r="P317"/>
    </row>
    <row r="318" spans="1:16" hidden="1">
      <c r="A318" t="s">
        <v>225</v>
      </c>
      <c r="B318" t="s">
        <v>122</v>
      </c>
      <c r="E318">
        <v>3.679689744</v>
      </c>
      <c r="G318"/>
      <c r="H318" t="s">
        <v>226</v>
      </c>
      <c r="J318"/>
      <c r="P318"/>
    </row>
    <row r="319" spans="1:16" hidden="1">
      <c r="A319" t="s">
        <v>225</v>
      </c>
      <c r="B319" t="s">
        <v>36</v>
      </c>
      <c r="E319">
        <v>12</v>
      </c>
      <c r="G319"/>
      <c r="H319" t="s">
        <v>226</v>
      </c>
      <c r="J319"/>
      <c r="P319"/>
    </row>
    <row r="320" spans="1:16" hidden="1">
      <c r="A320" t="s">
        <v>225</v>
      </c>
      <c r="B320" t="s">
        <v>86</v>
      </c>
      <c r="E320">
        <v>9.8925596089999992</v>
      </c>
      <c r="G320"/>
      <c r="H320" t="s">
        <v>226</v>
      </c>
      <c r="J320"/>
      <c r="P320"/>
    </row>
    <row r="321" spans="1:16" hidden="1">
      <c r="A321" t="s">
        <v>225</v>
      </c>
      <c r="B321" t="s">
        <v>37</v>
      </c>
      <c r="E321">
        <v>10.33524849</v>
      </c>
      <c r="G321"/>
      <c r="H321" t="s">
        <v>226</v>
      </c>
      <c r="J321"/>
      <c r="P321"/>
    </row>
    <row r="322" spans="1:16" hidden="1">
      <c r="A322" t="s">
        <v>225</v>
      </c>
      <c r="B322" t="s">
        <v>112</v>
      </c>
      <c r="E322">
        <v>2.6478023560000001</v>
      </c>
      <c r="G322"/>
      <c r="H322" t="s">
        <v>226</v>
      </c>
      <c r="J322"/>
      <c r="P322"/>
    </row>
    <row r="323" spans="1:16" hidden="1">
      <c r="A323" t="s">
        <v>225</v>
      </c>
      <c r="B323" t="s">
        <v>38</v>
      </c>
      <c r="E323">
        <v>20.57483482</v>
      </c>
      <c r="G323"/>
      <c r="H323" t="s">
        <v>226</v>
      </c>
      <c r="J323"/>
      <c r="P323"/>
    </row>
    <row r="324" spans="1:16" hidden="1">
      <c r="A324" t="s">
        <v>225</v>
      </c>
      <c r="B324" t="s">
        <v>90</v>
      </c>
      <c r="E324">
        <v>2.6176386100000002</v>
      </c>
      <c r="G324"/>
      <c r="H324" t="s">
        <v>226</v>
      </c>
      <c r="J324"/>
      <c r="P324"/>
    </row>
    <row r="325" spans="1:16" hidden="1">
      <c r="A325" t="s">
        <v>225</v>
      </c>
      <c r="B325" t="s">
        <v>39</v>
      </c>
      <c r="E325">
        <v>90</v>
      </c>
      <c r="G325"/>
      <c r="H325" t="s">
        <v>226</v>
      </c>
      <c r="J325"/>
      <c r="P325"/>
    </row>
    <row r="326" spans="1:16" hidden="1">
      <c r="A326" t="s">
        <v>225</v>
      </c>
      <c r="B326" t="s">
        <v>42</v>
      </c>
      <c r="E326">
        <v>31.180695199999999</v>
      </c>
      <c r="G326"/>
      <c r="H326" t="s">
        <v>226</v>
      </c>
      <c r="J326"/>
      <c r="P326"/>
    </row>
    <row r="327" spans="1:16" hidden="1">
      <c r="A327" t="s">
        <v>30</v>
      </c>
      <c r="B327" t="s">
        <v>31</v>
      </c>
      <c r="E327">
        <v>139.68253970000001</v>
      </c>
      <c r="G327"/>
      <c r="H327" t="s">
        <v>227</v>
      </c>
      <c r="I327" t="str">
        <f>IF(B327=B60, "same", "diff")</f>
        <v>same</v>
      </c>
      <c r="J327" s="3">
        <f>E327-E60</f>
        <v>-34.317460299999993</v>
      </c>
    </row>
    <row r="328" spans="1:16" hidden="1">
      <c r="A328" t="s">
        <v>30</v>
      </c>
      <c r="B328" t="s">
        <v>36</v>
      </c>
      <c r="E328" s="17">
        <v>669</v>
      </c>
      <c r="F328" s="17"/>
      <c r="G328" s="17"/>
      <c r="H328" t="s">
        <v>228</v>
      </c>
      <c r="I328" t="str">
        <f>IF(B328=B22, "same", "diff")</f>
        <v>same</v>
      </c>
      <c r="J328" s="3">
        <f>E328-E22</f>
        <v>-3634.848</v>
      </c>
    </row>
    <row r="329" spans="1:16" hidden="1">
      <c r="A329" t="s">
        <v>30</v>
      </c>
      <c r="B329" t="s">
        <v>37</v>
      </c>
      <c r="E329">
        <v>316.93708350000003</v>
      </c>
      <c r="G329"/>
      <c r="H329" t="s">
        <v>229</v>
      </c>
    </row>
    <row r="330" spans="1:16" hidden="1">
      <c r="A330" t="s">
        <v>30</v>
      </c>
      <c r="B330" t="s">
        <v>38</v>
      </c>
      <c r="E330">
        <v>1234.46712</v>
      </c>
      <c r="G330"/>
      <c r="H330" t="s">
        <v>227</v>
      </c>
      <c r="I330" t="str">
        <f>IF(B330=B61, "same", "diff")</f>
        <v>same</v>
      </c>
      <c r="J330" s="3">
        <f>E330-E61</f>
        <v>-291.53287999999998</v>
      </c>
    </row>
    <row r="331" spans="1:16" hidden="1">
      <c r="A331" t="s">
        <v>30</v>
      </c>
      <c r="B331" t="s">
        <v>39</v>
      </c>
      <c r="E331">
        <v>2326</v>
      </c>
      <c r="G331"/>
      <c r="H331" t="s">
        <v>230</v>
      </c>
      <c r="I331" t="str">
        <f>IF(B331=B25, "same", "diff")</f>
        <v>same</v>
      </c>
      <c r="J331" s="3">
        <f>E331-E25</f>
        <v>-167.19799999999987</v>
      </c>
    </row>
    <row r="332" spans="1:16" hidden="1">
      <c r="A332" t="s">
        <v>30</v>
      </c>
      <c r="B332" t="s">
        <v>42</v>
      </c>
      <c r="E332" s="17">
        <v>2057.970601</v>
      </c>
      <c r="F332" s="17"/>
      <c r="G332" s="17"/>
      <c r="H332" t="s">
        <v>231</v>
      </c>
      <c r="I332" t="str">
        <f>IF(B332=B28, "same", "diff")</f>
        <v>same</v>
      </c>
      <c r="J332" s="17">
        <f>E332-E28</f>
        <v>752.12260100000003</v>
      </c>
    </row>
    <row r="333" spans="1:16" hidden="1">
      <c r="A333" t="s">
        <v>30</v>
      </c>
      <c r="B333" t="s">
        <v>48</v>
      </c>
      <c r="E333">
        <v>565.02997559999994</v>
      </c>
      <c r="G333"/>
      <c r="H333" t="s">
        <v>229</v>
      </c>
      <c r="I333" t="str">
        <f>IF(B333=B34, "same", "diff")</f>
        <v>same</v>
      </c>
      <c r="J333" s="3">
        <f>E333-E34</f>
        <v>15.198975599999926</v>
      </c>
    </row>
    <row r="334" spans="1:16" hidden="1">
      <c r="A334" t="s">
        <v>80</v>
      </c>
      <c r="B334">
        <v>1</v>
      </c>
      <c r="E334">
        <v>126.5789316</v>
      </c>
      <c r="G334"/>
      <c r="H334" t="s">
        <v>82</v>
      </c>
      <c r="I334" t="str">
        <f t="shared" ref="I334:I339" si="8">IF(B334=B73, "same", "diff")</f>
        <v>same</v>
      </c>
      <c r="J334" s="3">
        <f t="shared" ref="J334:J339" si="9">E334-E73</f>
        <v>-2.0280683999999951</v>
      </c>
    </row>
    <row r="335" spans="1:16" hidden="1">
      <c r="A335" t="s">
        <v>80</v>
      </c>
      <c r="B335" t="s">
        <v>66</v>
      </c>
      <c r="E335">
        <v>114.24794180000001</v>
      </c>
      <c r="G335"/>
      <c r="H335" t="s">
        <v>82</v>
      </c>
      <c r="I335" t="str">
        <f t="shared" si="8"/>
        <v>same</v>
      </c>
      <c r="J335" s="3">
        <f t="shared" si="9"/>
        <v>7.3909418000000073</v>
      </c>
    </row>
    <row r="336" spans="1:16" hidden="1">
      <c r="A336" t="s">
        <v>80</v>
      </c>
      <c r="B336" t="s">
        <v>31</v>
      </c>
      <c r="E336">
        <v>23.84472087</v>
      </c>
      <c r="G336"/>
      <c r="H336" t="s">
        <v>82</v>
      </c>
      <c r="I336" t="str">
        <f t="shared" si="8"/>
        <v>same</v>
      </c>
      <c r="J336" s="3">
        <f t="shared" si="9"/>
        <v>1.6857208700000008</v>
      </c>
    </row>
    <row r="337" spans="1:18" hidden="1">
      <c r="A337" t="s">
        <v>80</v>
      </c>
      <c r="B337" t="s">
        <v>84</v>
      </c>
      <c r="E337">
        <v>75.235863230000007</v>
      </c>
      <c r="G337"/>
      <c r="H337" t="s">
        <v>82</v>
      </c>
      <c r="I337" t="str">
        <f t="shared" si="8"/>
        <v>same</v>
      </c>
      <c r="J337" s="3">
        <f t="shared" si="9"/>
        <v>3.0368632300000087</v>
      </c>
    </row>
    <row r="338" spans="1:18" hidden="1">
      <c r="A338" t="s">
        <v>80</v>
      </c>
      <c r="B338" t="s">
        <v>85</v>
      </c>
      <c r="E338">
        <v>63.505798929999997</v>
      </c>
      <c r="G338"/>
      <c r="H338" t="s">
        <v>82</v>
      </c>
      <c r="I338" t="str">
        <f t="shared" si="8"/>
        <v>same</v>
      </c>
      <c r="J338" s="3">
        <f t="shared" si="9"/>
        <v>2.4667989299999959</v>
      </c>
    </row>
    <row r="339" spans="1:18" hidden="1">
      <c r="A339" t="s">
        <v>80</v>
      </c>
      <c r="B339" t="s">
        <v>86</v>
      </c>
      <c r="E339">
        <v>32.185565769999997</v>
      </c>
      <c r="G339"/>
      <c r="H339" t="s">
        <v>82</v>
      </c>
      <c r="I339" t="str">
        <f t="shared" si="8"/>
        <v>same</v>
      </c>
      <c r="J339">
        <f t="shared" si="9"/>
        <v>-21.419434230000007</v>
      </c>
    </row>
    <row r="340" spans="1:18" hidden="1">
      <c r="A340" t="s">
        <v>80</v>
      </c>
      <c r="B340" t="s">
        <v>37</v>
      </c>
      <c r="E340">
        <v>58.554173429999999</v>
      </c>
      <c r="G340"/>
      <c r="H340" t="s">
        <v>82</v>
      </c>
      <c r="I340" t="str">
        <f>IF(B340=B81, "same", "diff")</f>
        <v>same</v>
      </c>
      <c r="J340">
        <f t="shared" ref="J340:J348" si="10">E340-E81</f>
        <v>4.1121734299999986</v>
      </c>
    </row>
    <row r="341" spans="1:18" hidden="1">
      <c r="A341" t="s">
        <v>80</v>
      </c>
      <c r="B341" t="s">
        <v>89</v>
      </c>
      <c r="E341" s="17">
        <v>224.1860465</v>
      </c>
      <c r="F341" s="17"/>
      <c r="G341" s="17"/>
      <c r="H341" t="s">
        <v>82</v>
      </c>
      <c r="I341" t="str">
        <f>IF(B341=B82, "same", "diff")</f>
        <v>same</v>
      </c>
      <c r="J341" s="17">
        <f t="shared" si="10"/>
        <v>224.1860465</v>
      </c>
    </row>
    <row r="342" spans="1:18" hidden="1">
      <c r="A342" t="s">
        <v>80</v>
      </c>
      <c r="B342" t="s">
        <v>38</v>
      </c>
      <c r="E342">
        <v>136.00144220000001</v>
      </c>
      <c r="G342"/>
      <c r="H342" t="s">
        <v>82</v>
      </c>
      <c r="I342" t="str">
        <f>IF(B342=B83, "same", "diff")</f>
        <v>same</v>
      </c>
      <c r="J342">
        <f t="shared" si="10"/>
        <v>-5.3335577999999941</v>
      </c>
    </row>
    <row r="343" spans="1:18" hidden="1">
      <c r="A343" t="s">
        <v>80</v>
      </c>
      <c r="B343" t="s">
        <v>90</v>
      </c>
      <c r="E343">
        <v>107.5416141</v>
      </c>
      <c r="G343"/>
      <c r="H343" t="s">
        <v>82</v>
      </c>
      <c r="I343" t="str">
        <f>IF(B343=B84, "same", "diff")</f>
        <v>same</v>
      </c>
      <c r="J343">
        <f t="shared" si="10"/>
        <v>-1.0023858999999931</v>
      </c>
    </row>
    <row r="344" spans="1:18" hidden="1">
      <c r="A344" t="s">
        <v>80</v>
      </c>
      <c r="B344" t="s">
        <v>91</v>
      </c>
      <c r="E344">
        <v>81.5575987</v>
      </c>
      <c r="G344"/>
      <c r="H344" t="s">
        <v>82</v>
      </c>
      <c r="I344" t="str">
        <f>IF(B344=B85, "same", "diff")</f>
        <v>same</v>
      </c>
      <c r="J344">
        <f t="shared" si="10"/>
        <v>4.4105986999999942</v>
      </c>
    </row>
    <row r="345" spans="1:18" hidden="1">
      <c r="A345" t="s">
        <v>80</v>
      </c>
      <c r="B345" t="s">
        <v>39</v>
      </c>
      <c r="E345" s="17">
        <v>24</v>
      </c>
      <c r="F345" s="17"/>
      <c r="G345" s="17"/>
      <c r="H345" t="s">
        <v>82</v>
      </c>
      <c r="I345" t="str">
        <f>IF(B345=B72, "same", "diff")</f>
        <v>same</v>
      </c>
      <c r="J345" s="17">
        <f t="shared" si="10"/>
        <v>-1097.117</v>
      </c>
      <c r="R345" t="s">
        <v>83</v>
      </c>
    </row>
    <row r="346" spans="1:18" hidden="1">
      <c r="A346" t="s">
        <v>80</v>
      </c>
      <c r="B346" t="s">
        <v>42</v>
      </c>
      <c r="E346" s="17">
        <v>10.197879070000001</v>
      </c>
      <c r="F346" s="17"/>
      <c r="G346" s="17"/>
      <c r="H346" t="s">
        <v>82</v>
      </c>
      <c r="I346" t="str">
        <f>IF(B346=B86, "same", "diff")</f>
        <v>diff</v>
      </c>
      <c r="J346" s="17">
        <f t="shared" si="10"/>
        <v>-1144.1821209300001</v>
      </c>
    </row>
    <row r="347" spans="1:18" hidden="1">
      <c r="A347" t="s">
        <v>80</v>
      </c>
      <c r="B347" t="s">
        <v>48</v>
      </c>
      <c r="E347">
        <v>86.941890509999993</v>
      </c>
      <c r="G347"/>
      <c r="H347" t="s">
        <v>82</v>
      </c>
      <c r="I347" t="str">
        <f>IF(B347=B87, "same", "diff")</f>
        <v>diff</v>
      </c>
      <c r="J347">
        <f t="shared" si="10"/>
        <v>2.658890509999992</v>
      </c>
    </row>
    <row r="348" spans="1:18" hidden="1">
      <c r="A348" t="s">
        <v>80</v>
      </c>
      <c r="B348" t="s">
        <v>232</v>
      </c>
      <c r="E348">
        <v>41.319632230000003</v>
      </c>
      <c r="G348"/>
      <c r="H348" t="s">
        <v>82</v>
      </c>
      <c r="I348" t="str">
        <f>IF(B348=B88, "same", "diff")</f>
        <v>diff</v>
      </c>
      <c r="J348">
        <f t="shared" si="10"/>
        <v>-0.81536776999999461</v>
      </c>
    </row>
    <row r="349" spans="1:18" hidden="1">
      <c r="A349" t="s">
        <v>233</v>
      </c>
      <c r="B349" t="s">
        <v>31</v>
      </c>
      <c r="E349">
        <v>1.8466838590000001</v>
      </c>
      <c r="G349"/>
      <c r="H349" t="s">
        <v>216</v>
      </c>
      <c r="J349"/>
      <c r="P349"/>
    </row>
    <row r="350" spans="1:18" hidden="1">
      <c r="A350" t="s">
        <v>233</v>
      </c>
      <c r="B350" t="s">
        <v>218</v>
      </c>
      <c r="E350">
        <v>2.1623406279999999</v>
      </c>
      <c r="G350"/>
      <c r="H350" t="s">
        <v>216</v>
      </c>
      <c r="J350"/>
      <c r="P350"/>
    </row>
    <row r="351" spans="1:18" hidden="1">
      <c r="A351" t="s">
        <v>233</v>
      </c>
      <c r="B351" t="s">
        <v>38</v>
      </c>
      <c r="E351">
        <v>7.6918397269999996</v>
      </c>
      <c r="G351"/>
      <c r="H351" t="s">
        <v>216</v>
      </c>
      <c r="J351"/>
      <c r="P351"/>
    </row>
    <row r="352" spans="1:18" hidden="1">
      <c r="A352" t="s">
        <v>80</v>
      </c>
      <c r="B352" s="9" t="s">
        <v>39</v>
      </c>
      <c r="C352" s="9"/>
      <c r="E352" s="3">
        <v>1100</v>
      </c>
      <c r="F352" s="3"/>
      <c r="G352" s="3"/>
      <c r="H352" t="s">
        <v>230</v>
      </c>
    </row>
    <row r="353" spans="1:19" hidden="1">
      <c r="A353" t="s">
        <v>80</v>
      </c>
      <c r="B353" s="6" t="s">
        <v>36</v>
      </c>
      <c r="C353" s="6">
        <v>4</v>
      </c>
      <c r="E353" s="3">
        <v>637</v>
      </c>
      <c r="F353" s="3"/>
      <c r="G353" s="3"/>
      <c r="H353" t="s">
        <v>82</v>
      </c>
      <c r="R353" t="s">
        <v>234</v>
      </c>
      <c r="S353" t="s">
        <v>83</v>
      </c>
    </row>
    <row r="354" spans="1:19" hidden="1">
      <c r="A354" t="s">
        <v>80</v>
      </c>
      <c r="B354" s="6" t="s">
        <v>36</v>
      </c>
      <c r="C354" s="6"/>
      <c r="E354" s="3">
        <v>339</v>
      </c>
      <c r="F354" s="3"/>
      <c r="G354" s="3"/>
      <c r="H354" t="s">
        <v>230</v>
      </c>
    </row>
    <row r="355" spans="1:19" hidden="1">
      <c r="A355" t="s">
        <v>233</v>
      </c>
      <c r="B355" t="s">
        <v>39</v>
      </c>
      <c r="E355">
        <v>11</v>
      </c>
      <c r="G355"/>
      <c r="H355" t="s">
        <v>216</v>
      </c>
      <c r="J355"/>
      <c r="P355"/>
    </row>
    <row r="356" spans="1:19" hidden="1">
      <c r="A356" t="s">
        <v>235</v>
      </c>
      <c r="B356" t="s">
        <v>31</v>
      </c>
      <c r="E356">
        <v>0.78264393899999996</v>
      </c>
      <c r="G356"/>
      <c r="H356" t="s">
        <v>236</v>
      </c>
      <c r="J356"/>
      <c r="P356"/>
    </row>
    <row r="357" spans="1:19" hidden="1">
      <c r="A357" t="s">
        <v>235</v>
      </c>
      <c r="B357" t="s">
        <v>237</v>
      </c>
      <c r="E357">
        <v>0.24982702000000001</v>
      </c>
      <c r="G357"/>
      <c r="H357" t="s">
        <v>236</v>
      </c>
      <c r="J357"/>
      <c r="P357"/>
    </row>
    <row r="358" spans="1:19" hidden="1">
      <c r="A358" t="s">
        <v>235</v>
      </c>
      <c r="B358" t="s">
        <v>38</v>
      </c>
      <c r="E358">
        <v>8.2531350920000008</v>
      </c>
      <c r="G358"/>
      <c r="H358" t="s">
        <v>236</v>
      </c>
      <c r="J358"/>
      <c r="P358"/>
    </row>
    <row r="359" spans="1:19" hidden="1">
      <c r="A359" t="s">
        <v>235</v>
      </c>
      <c r="B359" t="s">
        <v>90</v>
      </c>
      <c r="E359">
        <v>1.8847569420000001</v>
      </c>
      <c r="G359"/>
      <c r="H359" t="s">
        <v>236</v>
      </c>
      <c r="J359"/>
      <c r="P359"/>
    </row>
    <row r="360" spans="1:19" hidden="1">
      <c r="A360" t="s">
        <v>235</v>
      </c>
      <c r="B360" t="s">
        <v>39</v>
      </c>
      <c r="E360">
        <v>3</v>
      </c>
      <c r="G360"/>
      <c r="H360" t="s">
        <v>236</v>
      </c>
      <c r="J360"/>
      <c r="P360"/>
    </row>
    <row r="361" spans="1:19" hidden="1">
      <c r="A361" t="s">
        <v>235</v>
      </c>
      <c r="B361" t="s">
        <v>42</v>
      </c>
      <c r="E361">
        <v>1.661460226</v>
      </c>
      <c r="G361"/>
      <c r="H361" t="s">
        <v>236</v>
      </c>
      <c r="J361"/>
      <c r="P361"/>
    </row>
    <row r="362" spans="1:19" hidden="1">
      <c r="A362" t="s">
        <v>238</v>
      </c>
      <c r="B362" t="s">
        <v>31</v>
      </c>
      <c r="E362">
        <v>7.8201059529999997</v>
      </c>
      <c r="G362"/>
      <c r="H362" t="s">
        <v>239</v>
      </c>
      <c r="J362"/>
      <c r="P362"/>
    </row>
    <row r="363" spans="1:19" hidden="1">
      <c r="A363" t="s">
        <v>238</v>
      </c>
      <c r="B363" t="s">
        <v>38</v>
      </c>
      <c r="E363">
        <v>29.551768809999999</v>
      </c>
      <c r="G363"/>
      <c r="H363" t="s">
        <v>239</v>
      </c>
      <c r="J363"/>
      <c r="P363"/>
    </row>
    <row r="364" spans="1:19" hidden="1">
      <c r="A364" t="s">
        <v>238</v>
      </c>
      <c r="B364" t="s">
        <v>39</v>
      </c>
      <c r="E364">
        <v>12</v>
      </c>
      <c r="G364"/>
      <c r="H364" t="s">
        <v>239</v>
      </c>
      <c r="J364"/>
      <c r="P364"/>
    </row>
    <row r="365" spans="1:19" hidden="1">
      <c r="A365" t="s">
        <v>238</v>
      </c>
      <c r="B365" t="s">
        <v>42</v>
      </c>
      <c r="E365">
        <v>15.720304029999999</v>
      </c>
      <c r="G365"/>
      <c r="H365" t="s">
        <v>239</v>
      </c>
      <c r="J365"/>
      <c r="P365"/>
    </row>
    <row r="366" spans="1:19" hidden="1">
      <c r="A366" t="s">
        <v>240</v>
      </c>
      <c r="B366" t="s">
        <v>31</v>
      </c>
      <c r="E366">
        <v>2.3386566530000001</v>
      </c>
      <c r="G366"/>
      <c r="H366" t="s">
        <v>241</v>
      </c>
      <c r="J366"/>
      <c r="P366"/>
    </row>
    <row r="367" spans="1:19" hidden="1">
      <c r="A367" t="s">
        <v>240</v>
      </c>
      <c r="B367" t="s">
        <v>38</v>
      </c>
      <c r="E367">
        <v>21.00957124</v>
      </c>
      <c r="G367"/>
      <c r="H367" t="s">
        <v>241</v>
      </c>
      <c r="J367"/>
      <c r="P367"/>
    </row>
    <row r="368" spans="1:19" hidden="1">
      <c r="A368" t="s">
        <v>240</v>
      </c>
      <c r="B368" t="s">
        <v>39</v>
      </c>
      <c r="E368">
        <v>4</v>
      </c>
      <c r="G368"/>
      <c r="H368" t="s">
        <v>241</v>
      </c>
      <c r="J368"/>
      <c r="P368"/>
    </row>
    <row r="369" spans="1:16" hidden="1">
      <c r="A369" t="s">
        <v>242</v>
      </c>
      <c r="B369" t="s">
        <v>66</v>
      </c>
      <c r="E369">
        <v>19.314942330000001</v>
      </c>
      <c r="G369"/>
      <c r="H369" t="s">
        <v>243</v>
      </c>
      <c r="J369"/>
      <c r="P369"/>
    </row>
    <row r="370" spans="1:16" hidden="1">
      <c r="A370" t="s">
        <v>242</v>
      </c>
      <c r="B370" t="s">
        <v>31</v>
      </c>
      <c r="E370">
        <v>26.911100390000001</v>
      </c>
      <c r="G370"/>
      <c r="H370" t="s">
        <v>243</v>
      </c>
      <c r="J370"/>
      <c r="P370"/>
    </row>
    <row r="371" spans="1:16" hidden="1">
      <c r="A371" t="s">
        <v>242</v>
      </c>
      <c r="B371" t="s">
        <v>36</v>
      </c>
      <c r="E371">
        <v>49</v>
      </c>
      <c r="G371"/>
      <c r="H371" t="s">
        <v>243</v>
      </c>
      <c r="J371"/>
      <c r="P371"/>
    </row>
    <row r="372" spans="1:16" hidden="1">
      <c r="A372" t="s">
        <v>242</v>
      </c>
      <c r="B372" t="s">
        <v>37</v>
      </c>
      <c r="E372">
        <v>18.486031310000001</v>
      </c>
      <c r="G372"/>
      <c r="H372" t="s">
        <v>243</v>
      </c>
      <c r="J372"/>
      <c r="P372"/>
    </row>
    <row r="373" spans="1:16" hidden="1">
      <c r="A373" t="s">
        <v>242</v>
      </c>
      <c r="B373" t="s">
        <v>38</v>
      </c>
      <c r="E373">
        <v>75.601947280000005</v>
      </c>
      <c r="G373"/>
      <c r="H373" t="s">
        <v>243</v>
      </c>
      <c r="J373"/>
      <c r="P373"/>
    </row>
    <row r="374" spans="1:16" hidden="1">
      <c r="A374" t="s">
        <v>242</v>
      </c>
      <c r="B374" t="s">
        <v>39</v>
      </c>
      <c r="E374">
        <v>166</v>
      </c>
      <c r="G374"/>
      <c r="H374" t="s">
        <v>243</v>
      </c>
      <c r="J374"/>
      <c r="P374"/>
    </row>
    <row r="375" spans="1:16" hidden="1">
      <c r="A375" t="s">
        <v>242</v>
      </c>
      <c r="B375" t="s">
        <v>42</v>
      </c>
      <c r="E375">
        <v>75.400201749999994</v>
      </c>
      <c r="G375"/>
      <c r="H375" t="s">
        <v>243</v>
      </c>
      <c r="J375"/>
      <c r="P375"/>
    </row>
    <row r="376" spans="1:16" hidden="1">
      <c r="A376" t="s">
        <v>244</v>
      </c>
      <c r="B376" t="s">
        <v>31</v>
      </c>
      <c r="E376">
        <v>3.4467120179999999</v>
      </c>
      <c r="G376"/>
      <c r="H376" t="s">
        <v>245</v>
      </c>
      <c r="J376"/>
      <c r="P376"/>
    </row>
    <row r="377" spans="1:16" hidden="1">
      <c r="A377" t="s">
        <v>244</v>
      </c>
      <c r="B377" t="s">
        <v>246</v>
      </c>
      <c r="E377">
        <v>4.4988662130000003</v>
      </c>
      <c r="G377"/>
      <c r="H377" t="s">
        <v>245</v>
      </c>
      <c r="J377"/>
      <c r="P377"/>
    </row>
    <row r="378" spans="1:16" hidden="1">
      <c r="A378" t="s">
        <v>244</v>
      </c>
      <c r="B378" t="s">
        <v>36</v>
      </c>
      <c r="E378">
        <v>121</v>
      </c>
      <c r="G378"/>
      <c r="H378" t="s">
        <v>245</v>
      </c>
      <c r="J378"/>
      <c r="P378"/>
    </row>
    <row r="379" spans="1:16" hidden="1">
      <c r="A379" t="s">
        <v>244</v>
      </c>
      <c r="B379" t="s">
        <v>112</v>
      </c>
      <c r="E379">
        <v>36.498866210000003</v>
      </c>
      <c r="G379"/>
      <c r="H379" t="s">
        <v>245</v>
      </c>
      <c r="J379"/>
      <c r="P379"/>
    </row>
    <row r="380" spans="1:16" hidden="1">
      <c r="A380" t="s">
        <v>244</v>
      </c>
      <c r="B380" t="s">
        <v>247</v>
      </c>
      <c r="E380">
        <v>288.76190480000002</v>
      </c>
      <c r="G380"/>
      <c r="H380" t="s">
        <v>245</v>
      </c>
      <c r="J380"/>
      <c r="P380"/>
    </row>
    <row r="381" spans="1:16" hidden="1">
      <c r="A381" t="s">
        <v>244</v>
      </c>
      <c r="B381" t="s">
        <v>38</v>
      </c>
      <c r="E381">
        <v>75.936507939999998</v>
      </c>
      <c r="G381"/>
      <c r="H381" t="s">
        <v>245</v>
      </c>
      <c r="J381"/>
      <c r="P381"/>
    </row>
    <row r="382" spans="1:16" hidden="1">
      <c r="A382" t="s">
        <v>244</v>
      </c>
      <c r="B382" t="s">
        <v>39</v>
      </c>
      <c r="E382">
        <v>36</v>
      </c>
      <c r="G382"/>
      <c r="H382" t="s">
        <v>245</v>
      </c>
      <c r="J382"/>
      <c r="P382"/>
    </row>
    <row r="383" spans="1:16" hidden="1">
      <c r="A383" t="s">
        <v>244</v>
      </c>
      <c r="B383" t="s">
        <v>248</v>
      </c>
      <c r="E383">
        <v>20.97052154</v>
      </c>
      <c r="G383"/>
      <c r="H383" t="s">
        <v>245</v>
      </c>
      <c r="J383"/>
      <c r="P383"/>
    </row>
    <row r="384" spans="1:16" hidden="1">
      <c r="A384" t="s">
        <v>249</v>
      </c>
      <c r="B384" t="s">
        <v>66</v>
      </c>
      <c r="E384">
        <v>22.81942978</v>
      </c>
      <c r="G384"/>
      <c r="H384" t="s">
        <v>250</v>
      </c>
      <c r="J384"/>
      <c r="P384"/>
    </row>
    <row r="385" spans="1:16" hidden="1">
      <c r="A385" t="s">
        <v>249</v>
      </c>
      <c r="B385" t="s">
        <v>31</v>
      </c>
      <c r="E385">
        <v>7.5589173399999998</v>
      </c>
      <c r="G385"/>
      <c r="H385" t="s">
        <v>250</v>
      </c>
      <c r="J385"/>
      <c r="P385"/>
    </row>
    <row r="386" spans="1:16" hidden="1">
      <c r="A386" t="s">
        <v>249</v>
      </c>
      <c r="B386" t="s">
        <v>120</v>
      </c>
      <c r="E386">
        <v>43.749505689999999</v>
      </c>
      <c r="G386"/>
      <c r="H386" t="s">
        <v>250</v>
      </c>
      <c r="J386"/>
      <c r="P386"/>
    </row>
    <row r="387" spans="1:16" hidden="1">
      <c r="A387" t="s">
        <v>249</v>
      </c>
      <c r="B387" t="s">
        <v>121</v>
      </c>
      <c r="E387">
        <v>11.52836271</v>
      </c>
      <c r="G387"/>
      <c r="H387" t="s">
        <v>250</v>
      </c>
      <c r="J387"/>
      <c r="P387"/>
    </row>
    <row r="388" spans="1:16" hidden="1">
      <c r="A388" t="s">
        <v>249</v>
      </c>
      <c r="B388" t="s">
        <v>84</v>
      </c>
      <c r="E388">
        <v>5.2325189769999998</v>
      </c>
      <c r="G388"/>
      <c r="H388" t="s">
        <v>250</v>
      </c>
      <c r="J388"/>
      <c r="P388"/>
    </row>
    <row r="389" spans="1:16" hidden="1">
      <c r="A389" t="s">
        <v>249</v>
      </c>
      <c r="B389" t="s">
        <v>85</v>
      </c>
      <c r="E389">
        <v>2.4840948300000001</v>
      </c>
      <c r="G389"/>
      <c r="H389" t="s">
        <v>250</v>
      </c>
      <c r="J389"/>
      <c r="P389"/>
    </row>
    <row r="390" spans="1:16" hidden="1">
      <c r="A390" t="s">
        <v>249</v>
      </c>
      <c r="B390" t="s">
        <v>36</v>
      </c>
      <c r="E390">
        <v>54</v>
      </c>
      <c r="G390"/>
      <c r="H390" t="s">
        <v>250</v>
      </c>
      <c r="J390"/>
      <c r="P390"/>
    </row>
    <row r="391" spans="1:16" hidden="1">
      <c r="A391" t="s">
        <v>249</v>
      </c>
      <c r="B391" t="s">
        <v>86</v>
      </c>
      <c r="E391">
        <v>6.7193713849999996</v>
      </c>
      <c r="G391"/>
      <c r="H391" t="s">
        <v>250</v>
      </c>
      <c r="J391"/>
      <c r="P391"/>
    </row>
    <row r="392" spans="1:16" hidden="1">
      <c r="A392" t="s">
        <v>249</v>
      </c>
      <c r="B392" t="s">
        <v>37</v>
      </c>
      <c r="E392">
        <v>24.626180730000002</v>
      </c>
      <c r="G392"/>
      <c r="H392" t="s">
        <v>250</v>
      </c>
      <c r="J392"/>
      <c r="P392"/>
    </row>
    <row r="393" spans="1:16" hidden="1">
      <c r="A393" t="s">
        <v>249</v>
      </c>
      <c r="B393" t="s">
        <v>112</v>
      </c>
      <c r="E393">
        <v>2.7994877649999999</v>
      </c>
      <c r="G393"/>
      <c r="H393" t="s">
        <v>250</v>
      </c>
      <c r="J393"/>
      <c r="P393"/>
    </row>
    <row r="394" spans="1:16" hidden="1">
      <c r="A394" t="s">
        <v>249</v>
      </c>
      <c r="B394" t="s">
        <v>89</v>
      </c>
      <c r="E394">
        <v>2.9001131299999998</v>
      </c>
      <c r="G394"/>
      <c r="H394" t="s">
        <v>250</v>
      </c>
      <c r="J394"/>
      <c r="P394"/>
    </row>
    <row r="395" spans="1:16" hidden="1">
      <c r="A395" t="s">
        <v>249</v>
      </c>
      <c r="B395" t="s">
        <v>38</v>
      </c>
      <c r="E395">
        <v>57.087623090000001</v>
      </c>
      <c r="G395"/>
      <c r="H395" t="s">
        <v>250</v>
      </c>
      <c r="J395"/>
      <c r="P395"/>
    </row>
    <row r="396" spans="1:16" hidden="1">
      <c r="A396" t="s">
        <v>249</v>
      </c>
      <c r="B396" t="s">
        <v>90</v>
      </c>
      <c r="E396">
        <v>1.913383805</v>
      </c>
      <c r="G396"/>
      <c r="H396" t="s">
        <v>250</v>
      </c>
      <c r="J396"/>
      <c r="P396"/>
    </row>
    <row r="397" spans="1:16" hidden="1">
      <c r="A397" t="s">
        <v>249</v>
      </c>
      <c r="B397" t="s">
        <v>91</v>
      </c>
      <c r="E397">
        <v>6.1696865550000002</v>
      </c>
      <c r="G397"/>
      <c r="H397" t="s">
        <v>250</v>
      </c>
      <c r="J397"/>
      <c r="P397"/>
    </row>
    <row r="398" spans="1:16" hidden="1">
      <c r="A398" t="s">
        <v>249</v>
      </c>
      <c r="B398" t="s">
        <v>39</v>
      </c>
      <c r="E398">
        <v>51</v>
      </c>
      <c r="G398"/>
      <c r="H398" t="s">
        <v>250</v>
      </c>
      <c r="J398"/>
      <c r="P398"/>
    </row>
    <row r="399" spans="1:16" hidden="1">
      <c r="A399" t="s">
        <v>249</v>
      </c>
      <c r="B399" t="s">
        <v>42</v>
      </c>
      <c r="E399">
        <v>41.109216259999997</v>
      </c>
      <c r="G399"/>
      <c r="H399" t="s">
        <v>250</v>
      </c>
      <c r="J399"/>
      <c r="P399"/>
    </row>
    <row r="400" spans="1:16" hidden="1">
      <c r="A400" t="s">
        <v>251</v>
      </c>
      <c r="B400" t="s">
        <v>112</v>
      </c>
      <c r="E400">
        <v>1.994880915</v>
      </c>
      <c r="G400"/>
      <c r="H400" t="s">
        <v>252</v>
      </c>
      <c r="J400"/>
      <c r="P400"/>
    </row>
    <row r="401" spans="1:16" hidden="1">
      <c r="A401" t="s">
        <v>251</v>
      </c>
      <c r="B401" t="s">
        <v>89</v>
      </c>
      <c r="E401">
        <v>208.28371780000001</v>
      </c>
      <c r="G401"/>
      <c r="H401" t="s">
        <v>252</v>
      </c>
      <c r="J401"/>
      <c r="P401"/>
    </row>
    <row r="402" spans="1:16" hidden="1">
      <c r="A402" t="s">
        <v>251</v>
      </c>
      <c r="B402" t="s">
        <v>38</v>
      </c>
      <c r="E402">
        <v>22.051733339999998</v>
      </c>
      <c r="G402"/>
      <c r="H402" t="s">
        <v>252</v>
      </c>
      <c r="J402"/>
      <c r="P402"/>
    </row>
    <row r="403" spans="1:16" hidden="1">
      <c r="A403" t="s">
        <v>251</v>
      </c>
      <c r="B403" t="s">
        <v>90</v>
      </c>
      <c r="E403">
        <v>2.1496179620000002</v>
      </c>
      <c r="G403"/>
      <c r="H403" t="s">
        <v>252</v>
      </c>
      <c r="J403"/>
      <c r="P403"/>
    </row>
    <row r="404" spans="1:16" hidden="1">
      <c r="A404" t="s">
        <v>251</v>
      </c>
      <c r="B404" t="s">
        <v>39</v>
      </c>
      <c r="E404">
        <v>16</v>
      </c>
      <c r="G404"/>
      <c r="H404" t="s">
        <v>252</v>
      </c>
      <c r="J404"/>
      <c r="P404"/>
    </row>
    <row r="405" spans="1:16" hidden="1">
      <c r="A405" t="s">
        <v>251</v>
      </c>
      <c r="B405" t="s">
        <v>42</v>
      </c>
      <c r="E405">
        <v>5.1083675309999999</v>
      </c>
      <c r="G405"/>
      <c r="H405" t="s">
        <v>252</v>
      </c>
      <c r="J405"/>
      <c r="P405"/>
    </row>
    <row r="406" spans="1:16" hidden="1">
      <c r="A406" t="s">
        <v>253</v>
      </c>
      <c r="B406" t="s">
        <v>66</v>
      </c>
      <c r="E406">
        <v>16.69762587</v>
      </c>
      <c r="G406"/>
      <c r="H406" t="s">
        <v>254</v>
      </c>
      <c r="J406"/>
      <c r="P406"/>
    </row>
    <row r="407" spans="1:16" hidden="1">
      <c r="A407" t="s">
        <v>253</v>
      </c>
      <c r="B407" t="s">
        <v>31</v>
      </c>
      <c r="E407">
        <v>5.3407941829999999</v>
      </c>
      <c r="G407"/>
      <c r="H407" t="s">
        <v>255</v>
      </c>
      <c r="J407"/>
      <c r="P407"/>
    </row>
    <row r="408" spans="1:16" hidden="1">
      <c r="A408" t="s">
        <v>253</v>
      </c>
      <c r="B408" t="s">
        <v>122</v>
      </c>
      <c r="E408">
        <v>3.5252273939999998</v>
      </c>
      <c r="G408"/>
      <c r="H408" t="s">
        <v>256</v>
      </c>
      <c r="J408"/>
      <c r="P408"/>
    </row>
    <row r="409" spans="1:16" hidden="1">
      <c r="A409" t="s">
        <v>253</v>
      </c>
      <c r="B409" t="s">
        <v>37</v>
      </c>
      <c r="E409">
        <v>14.058582550000001</v>
      </c>
      <c r="G409"/>
      <c r="H409" t="s">
        <v>255</v>
      </c>
      <c r="J409"/>
      <c r="P409"/>
    </row>
    <row r="410" spans="1:16" hidden="1">
      <c r="A410" t="s">
        <v>253</v>
      </c>
      <c r="B410" t="s">
        <v>112</v>
      </c>
      <c r="E410">
        <v>8.0982195570000002</v>
      </c>
      <c r="G410"/>
      <c r="H410" t="s">
        <v>257</v>
      </c>
      <c r="J410"/>
      <c r="P410"/>
    </row>
    <row r="411" spans="1:16" hidden="1">
      <c r="A411" t="s">
        <v>253</v>
      </c>
      <c r="B411" t="s">
        <v>38</v>
      </c>
      <c r="E411">
        <v>22.370230830000001</v>
      </c>
      <c r="G411"/>
      <c r="H411" t="s">
        <v>255</v>
      </c>
      <c r="J411"/>
      <c r="P411"/>
    </row>
    <row r="412" spans="1:16" hidden="1">
      <c r="A412" t="s">
        <v>253</v>
      </c>
      <c r="B412" t="s">
        <v>90</v>
      </c>
      <c r="E412">
        <v>8.3715015430000008</v>
      </c>
      <c r="G412"/>
      <c r="H412" t="s">
        <v>255</v>
      </c>
      <c r="J412"/>
      <c r="P412"/>
    </row>
    <row r="413" spans="1:16" hidden="1">
      <c r="A413" t="s">
        <v>253</v>
      </c>
      <c r="B413" t="s">
        <v>91</v>
      </c>
      <c r="E413">
        <v>10.67927074</v>
      </c>
      <c r="G413"/>
      <c r="H413" t="s">
        <v>258</v>
      </c>
      <c r="J413"/>
      <c r="P413"/>
    </row>
    <row r="414" spans="1:16" hidden="1">
      <c r="A414" t="s">
        <v>253</v>
      </c>
      <c r="B414" t="s">
        <v>39</v>
      </c>
      <c r="E414">
        <v>95</v>
      </c>
      <c r="G414"/>
      <c r="H414" t="s">
        <v>255</v>
      </c>
      <c r="J414"/>
      <c r="P414"/>
    </row>
    <row r="415" spans="1:16" hidden="1">
      <c r="A415" t="s">
        <v>253</v>
      </c>
      <c r="B415" t="s">
        <v>42</v>
      </c>
      <c r="E415">
        <v>31.338378930000001</v>
      </c>
      <c r="G415"/>
      <c r="H415" t="s">
        <v>255</v>
      </c>
      <c r="J415"/>
      <c r="P415"/>
    </row>
    <row r="416" spans="1:16" hidden="1">
      <c r="A416" t="s">
        <v>259</v>
      </c>
      <c r="B416" t="s">
        <v>31</v>
      </c>
      <c r="E416">
        <v>9.2277777780000001</v>
      </c>
      <c r="G416"/>
      <c r="H416" t="s">
        <v>260</v>
      </c>
      <c r="J416"/>
      <c r="P416"/>
    </row>
    <row r="417" spans="1:16" hidden="1">
      <c r="A417" t="s">
        <v>259</v>
      </c>
      <c r="B417" t="s">
        <v>38</v>
      </c>
      <c r="E417">
        <v>32.583333330000002</v>
      </c>
      <c r="G417"/>
      <c r="H417" t="s">
        <v>260</v>
      </c>
      <c r="J417"/>
      <c r="P417"/>
    </row>
    <row r="418" spans="1:16" hidden="1">
      <c r="A418" t="s">
        <v>259</v>
      </c>
      <c r="B418" t="s">
        <v>222</v>
      </c>
      <c r="E418">
        <v>6.8366666670000003</v>
      </c>
      <c r="G418"/>
      <c r="H418" t="s">
        <v>260</v>
      </c>
      <c r="J418"/>
      <c r="P418"/>
    </row>
    <row r="419" spans="1:16" hidden="1">
      <c r="A419" t="s">
        <v>259</v>
      </c>
      <c r="B419" t="s">
        <v>39</v>
      </c>
      <c r="E419">
        <v>10</v>
      </c>
      <c r="G419"/>
      <c r="H419" t="s">
        <v>260</v>
      </c>
      <c r="J419"/>
      <c r="P419"/>
    </row>
    <row r="420" spans="1:16" hidden="1">
      <c r="A420" t="s">
        <v>261</v>
      </c>
      <c r="B420" t="s">
        <v>31</v>
      </c>
      <c r="E420">
        <v>24.977017889999999</v>
      </c>
      <c r="G420"/>
      <c r="H420" t="s">
        <v>262</v>
      </c>
      <c r="J420"/>
      <c r="P420"/>
    </row>
    <row r="421" spans="1:16" hidden="1">
      <c r="A421" t="s">
        <v>261</v>
      </c>
      <c r="B421" t="s">
        <v>120</v>
      </c>
      <c r="E421">
        <v>36.735435789999997</v>
      </c>
      <c r="G421"/>
      <c r="H421" t="s">
        <v>262</v>
      </c>
      <c r="J421"/>
      <c r="P421"/>
    </row>
    <row r="422" spans="1:16" hidden="1">
      <c r="A422" t="s">
        <v>261</v>
      </c>
      <c r="B422" t="s">
        <v>37</v>
      </c>
      <c r="E422">
        <v>25.131772229999999</v>
      </c>
      <c r="G422"/>
      <c r="H422" t="s">
        <v>262</v>
      </c>
      <c r="J422"/>
      <c r="P422"/>
    </row>
    <row r="423" spans="1:16" hidden="1">
      <c r="A423" t="s">
        <v>261</v>
      </c>
      <c r="B423" t="s">
        <v>89</v>
      </c>
      <c r="E423">
        <v>455.22592559999998</v>
      </c>
      <c r="G423"/>
      <c r="H423" t="s">
        <v>262</v>
      </c>
      <c r="J423"/>
      <c r="P423"/>
    </row>
    <row r="424" spans="1:16" hidden="1">
      <c r="A424" t="s">
        <v>261</v>
      </c>
      <c r="B424" t="s">
        <v>38</v>
      </c>
      <c r="E424">
        <v>34.229829889999998</v>
      </c>
      <c r="G424"/>
      <c r="H424" t="s">
        <v>262</v>
      </c>
      <c r="J424"/>
      <c r="P424"/>
    </row>
    <row r="425" spans="1:16" hidden="1">
      <c r="A425" t="s">
        <v>261</v>
      </c>
      <c r="B425" t="s">
        <v>90</v>
      </c>
      <c r="E425">
        <v>5.577396384</v>
      </c>
      <c r="G425"/>
      <c r="H425" t="s">
        <v>262</v>
      </c>
      <c r="J425"/>
      <c r="P425"/>
    </row>
    <row r="426" spans="1:16" hidden="1">
      <c r="A426" t="s">
        <v>261</v>
      </c>
      <c r="B426" t="s">
        <v>39</v>
      </c>
      <c r="E426">
        <v>115</v>
      </c>
      <c r="G426"/>
      <c r="H426" t="s">
        <v>262</v>
      </c>
      <c r="J426"/>
      <c r="P426"/>
    </row>
    <row r="427" spans="1:16" hidden="1">
      <c r="A427" t="s">
        <v>261</v>
      </c>
      <c r="B427" t="s">
        <v>42</v>
      </c>
      <c r="E427">
        <v>95.979308130000007</v>
      </c>
      <c r="G427"/>
      <c r="H427" t="s">
        <v>262</v>
      </c>
      <c r="J427"/>
      <c r="P427"/>
    </row>
    <row r="428" spans="1:16" hidden="1">
      <c r="A428" t="s">
        <v>117</v>
      </c>
      <c r="B428">
        <v>1</v>
      </c>
      <c r="E428">
        <v>26.646561089999999</v>
      </c>
      <c r="G428"/>
      <c r="H428" t="s">
        <v>263</v>
      </c>
      <c r="I428" t="str">
        <f t="shared" ref="I428:I441" si="11">IF(B428=B134, "same", "diff")</f>
        <v>same</v>
      </c>
      <c r="J428" s="3">
        <f t="shared" ref="J428:J441" si="12">E428-E134</f>
        <v>-0.40443890999999965</v>
      </c>
    </row>
    <row r="429" spans="1:16" hidden="1">
      <c r="A429" t="s">
        <v>117</v>
      </c>
      <c r="B429" t="s">
        <v>66</v>
      </c>
      <c r="E429">
        <v>34.328688659999997</v>
      </c>
      <c r="G429"/>
      <c r="H429" t="s">
        <v>263</v>
      </c>
      <c r="I429" t="str">
        <f t="shared" si="11"/>
        <v>same</v>
      </c>
      <c r="J429" s="3">
        <f t="shared" si="12"/>
        <v>-0.11631134000000287</v>
      </c>
    </row>
    <row r="430" spans="1:16" hidden="1">
      <c r="A430" t="s">
        <v>117</v>
      </c>
      <c r="B430" t="s">
        <v>120</v>
      </c>
      <c r="E430" s="17">
        <v>136.24236110000001</v>
      </c>
      <c r="F430" s="17"/>
      <c r="G430" s="17"/>
      <c r="H430" t="s">
        <v>263</v>
      </c>
      <c r="I430" t="str">
        <f t="shared" si="11"/>
        <v>same</v>
      </c>
      <c r="J430" s="3">
        <f t="shared" si="12"/>
        <v>-3.3586388999999883</v>
      </c>
    </row>
    <row r="431" spans="1:16" hidden="1">
      <c r="A431" t="s">
        <v>117</v>
      </c>
      <c r="B431" t="s">
        <v>121</v>
      </c>
      <c r="E431">
        <v>42.962263139999997</v>
      </c>
      <c r="G431"/>
      <c r="H431" t="s">
        <v>263</v>
      </c>
      <c r="I431" t="str">
        <f t="shared" si="11"/>
        <v>same</v>
      </c>
      <c r="J431" s="3">
        <f t="shared" si="12"/>
        <v>1.0252631399999999</v>
      </c>
    </row>
    <row r="432" spans="1:16" hidden="1">
      <c r="A432" t="s">
        <v>117</v>
      </c>
      <c r="B432" t="s">
        <v>84</v>
      </c>
      <c r="E432">
        <v>10.44374257</v>
      </c>
      <c r="G432"/>
      <c r="H432" t="s">
        <v>263</v>
      </c>
      <c r="I432" t="str">
        <f t="shared" si="11"/>
        <v>same</v>
      </c>
      <c r="J432" s="3">
        <f t="shared" si="12"/>
        <v>0.72274256999999942</v>
      </c>
    </row>
    <row r="433" spans="1:16" hidden="1">
      <c r="A433" t="s">
        <v>117</v>
      </c>
      <c r="B433" t="s">
        <v>85</v>
      </c>
      <c r="E433">
        <v>87.629873939999996</v>
      </c>
      <c r="G433"/>
      <c r="H433" t="s">
        <v>263</v>
      </c>
      <c r="I433" t="str">
        <f t="shared" si="11"/>
        <v>same</v>
      </c>
      <c r="J433" s="3">
        <f t="shared" si="12"/>
        <v>-0.70912606000000267</v>
      </c>
    </row>
    <row r="434" spans="1:16" hidden="1">
      <c r="A434" t="s">
        <v>117</v>
      </c>
      <c r="B434" t="s">
        <v>122</v>
      </c>
      <c r="E434">
        <v>10.867055819999999</v>
      </c>
      <c r="G434"/>
      <c r="H434" t="s">
        <v>263</v>
      </c>
      <c r="I434" t="str">
        <f t="shared" si="11"/>
        <v>same</v>
      </c>
      <c r="J434" s="3">
        <f t="shared" si="12"/>
        <v>0.72605581999999913</v>
      </c>
    </row>
    <row r="435" spans="1:16" hidden="1">
      <c r="A435" t="s">
        <v>117</v>
      </c>
      <c r="B435" t="s">
        <v>36</v>
      </c>
      <c r="E435" s="17">
        <v>36</v>
      </c>
      <c r="F435" s="17"/>
      <c r="G435" s="17"/>
      <c r="H435" t="s">
        <v>263</v>
      </c>
      <c r="I435" t="str">
        <f t="shared" si="11"/>
        <v>same</v>
      </c>
      <c r="J435" s="17">
        <f t="shared" si="12"/>
        <v>-15.789000000000001</v>
      </c>
    </row>
    <row r="436" spans="1:16" hidden="1">
      <c r="A436" t="s">
        <v>117</v>
      </c>
      <c r="B436" t="s">
        <v>37</v>
      </c>
      <c r="E436">
        <v>32.403621260000001</v>
      </c>
      <c r="G436"/>
      <c r="H436" t="s">
        <v>263</v>
      </c>
      <c r="I436" t="str">
        <f t="shared" si="11"/>
        <v>same</v>
      </c>
      <c r="J436" s="3">
        <f t="shared" si="12"/>
        <v>-1.3823787400000001</v>
      </c>
    </row>
    <row r="437" spans="1:16" hidden="1">
      <c r="A437" t="s">
        <v>117</v>
      </c>
      <c r="B437" t="s">
        <v>112</v>
      </c>
      <c r="E437">
        <v>12.11079045</v>
      </c>
      <c r="G437"/>
      <c r="H437" t="s">
        <v>263</v>
      </c>
      <c r="I437" t="str">
        <f t="shared" si="11"/>
        <v>same</v>
      </c>
      <c r="J437" s="3">
        <f t="shared" si="12"/>
        <v>-0.96820955000000097</v>
      </c>
    </row>
    <row r="438" spans="1:16" hidden="1">
      <c r="A438" t="s">
        <v>117</v>
      </c>
      <c r="B438" t="s">
        <v>38</v>
      </c>
      <c r="E438">
        <v>47.280058269999998</v>
      </c>
      <c r="G438"/>
      <c r="H438" t="s">
        <v>263</v>
      </c>
      <c r="I438" t="str">
        <f t="shared" si="11"/>
        <v>same</v>
      </c>
      <c r="J438" s="3">
        <f t="shared" si="12"/>
        <v>-1.544941730000005</v>
      </c>
    </row>
    <row r="439" spans="1:16" hidden="1">
      <c r="A439" t="s">
        <v>117</v>
      </c>
      <c r="B439" t="s">
        <v>90</v>
      </c>
      <c r="E439">
        <v>13.36460398</v>
      </c>
      <c r="G439"/>
      <c r="H439" t="s">
        <v>263</v>
      </c>
      <c r="I439" t="str">
        <f t="shared" si="11"/>
        <v>same</v>
      </c>
      <c r="J439" s="3">
        <f t="shared" si="12"/>
        <v>-5.9396019999999439E-2</v>
      </c>
    </row>
    <row r="440" spans="1:16" hidden="1">
      <c r="A440" t="s">
        <v>117</v>
      </c>
      <c r="B440" t="s">
        <v>39</v>
      </c>
      <c r="E440">
        <v>579</v>
      </c>
      <c r="G440"/>
      <c r="H440" t="s">
        <v>263</v>
      </c>
      <c r="I440" t="str">
        <f t="shared" si="11"/>
        <v>same</v>
      </c>
      <c r="J440" s="3">
        <f t="shared" si="12"/>
        <v>-2.1240000000000236</v>
      </c>
    </row>
    <row r="441" spans="1:16" hidden="1">
      <c r="A441" t="s">
        <v>117</v>
      </c>
      <c r="B441" t="s">
        <v>42</v>
      </c>
      <c r="E441">
        <v>271.37201299999998</v>
      </c>
      <c r="G441"/>
      <c r="H441" t="s">
        <v>263</v>
      </c>
      <c r="I441" t="str">
        <f t="shared" si="11"/>
        <v>same</v>
      </c>
      <c r="J441" s="3">
        <f t="shared" si="12"/>
        <v>-0.80398700000000645</v>
      </c>
    </row>
    <row r="442" spans="1:16" hidden="1">
      <c r="A442" t="s">
        <v>264</v>
      </c>
      <c r="B442" t="s">
        <v>31</v>
      </c>
      <c r="E442">
        <v>3.5960895900000001</v>
      </c>
      <c r="G442"/>
      <c r="H442" t="s">
        <v>265</v>
      </c>
      <c r="J442"/>
      <c r="P442"/>
    </row>
    <row r="443" spans="1:16" hidden="1">
      <c r="A443" t="s">
        <v>264</v>
      </c>
      <c r="B443" t="s">
        <v>36</v>
      </c>
      <c r="E443">
        <v>23</v>
      </c>
      <c r="G443"/>
      <c r="H443" t="s">
        <v>265</v>
      </c>
      <c r="J443"/>
      <c r="P443"/>
    </row>
    <row r="444" spans="1:16" hidden="1">
      <c r="A444" t="s">
        <v>264</v>
      </c>
      <c r="B444" t="s">
        <v>112</v>
      </c>
      <c r="E444">
        <v>4.990548489</v>
      </c>
      <c r="G444"/>
      <c r="H444" t="s">
        <v>265</v>
      </c>
      <c r="J444"/>
      <c r="P444"/>
    </row>
    <row r="445" spans="1:16" hidden="1">
      <c r="A445" t="s">
        <v>264</v>
      </c>
      <c r="B445" t="s">
        <v>89</v>
      </c>
      <c r="E445">
        <v>2.7390575039999998</v>
      </c>
      <c r="G445"/>
      <c r="H445" t="s">
        <v>265</v>
      </c>
      <c r="J445"/>
      <c r="P445"/>
    </row>
    <row r="446" spans="1:16" hidden="1">
      <c r="A446" t="s">
        <v>264</v>
      </c>
      <c r="B446" t="s">
        <v>38</v>
      </c>
      <c r="E446">
        <v>40.175444839999997</v>
      </c>
      <c r="G446"/>
      <c r="H446" t="s">
        <v>265</v>
      </c>
      <c r="J446"/>
      <c r="P446"/>
    </row>
    <row r="447" spans="1:16" hidden="1">
      <c r="A447" t="s">
        <v>264</v>
      </c>
      <c r="B447" t="s">
        <v>90</v>
      </c>
      <c r="E447">
        <v>4.5114724400000004</v>
      </c>
      <c r="G447"/>
      <c r="H447" t="s">
        <v>265</v>
      </c>
      <c r="J447"/>
      <c r="P447"/>
    </row>
    <row r="448" spans="1:16" hidden="1">
      <c r="A448" t="s">
        <v>264</v>
      </c>
      <c r="B448" t="s">
        <v>39</v>
      </c>
      <c r="E448">
        <v>24</v>
      </c>
      <c r="G448"/>
      <c r="H448" t="s">
        <v>265</v>
      </c>
      <c r="J448"/>
      <c r="P448"/>
    </row>
    <row r="449" spans="1:16" hidden="1">
      <c r="A449" t="s">
        <v>264</v>
      </c>
      <c r="B449" t="s">
        <v>42</v>
      </c>
      <c r="E449">
        <v>16.53520816</v>
      </c>
      <c r="G449"/>
      <c r="H449" t="s">
        <v>265</v>
      </c>
      <c r="J449"/>
      <c r="P449"/>
    </row>
    <row r="450" spans="1:16" hidden="1">
      <c r="A450" t="s">
        <v>266</v>
      </c>
      <c r="B450" t="s">
        <v>31</v>
      </c>
      <c r="E450">
        <v>0.41054879599999999</v>
      </c>
      <c r="G450"/>
      <c r="H450" t="s">
        <v>216</v>
      </c>
      <c r="J450"/>
      <c r="P450"/>
    </row>
    <row r="451" spans="1:16" hidden="1">
      <c r="A451" t="s">
        <v>266</v>
      </c>
      <c r="B451" t="s">
        <v>218</v>
      </c>
      <c r="E451">
        <v>0.49511012300000001</v>
      </c>
      <c r="G451"/>
      <c r="H451" t="s">
        <v>216</v>
      </c>
      <c r="J451"/>
      <c r="P451"/>
    </row>
    <row r="452" spans="1:16" hidden="1">
      <c r="A452" t="s">
        <v>266</v>
      </c>
      <c r="B452" t="s">
        <v>38</v>
      </c>
      <c r="E452">
        <v>1.715742221</v>
      </c>
      <c r="G452"/>
      <c r="H452" t="s">
        <v>216</v>
      </c>
      <c r="J452"/>
      <c r="P452"/>
    </row>
    <row r="453" spans="1:16" hidden="1">
      <c r="A453" t="s">
        <v>266</v>
      </c>
      <c r="B453" t="s">
        <v>39</v>
      </c>
      <c r="E453">
        <v>3</v>
      </c>
      <c r="G453"/>
      <c r="H453" t="s">
        <v>216</v>
      </c>
      <c r="J453"/>
      <c r="P453"/>
    </row>
    <row r="454" spans="1:16" hidden="1">
      <c r="A454" t="s">
        <v>267</v>
      </c>
      <c r="B454" t="s">
        <v>31</v>
      </c>
      <c r="E454">
        <v>4.4567051700000002</v>
      </c>
      <c r="G454"/>
      <c r="H454" t="s">
        <v>245</v>
      </c>
      <c r="J454"/>
      <c r="P454"/>
    </row>
    <row r="455" spans="1:16" hidden="1">
      <c r="A455" t="s">
        <v>267</v>
      </c>
      <c r="B455" t="s">
        <v>246</v>
      </c>
      <c r="E455">
        <v>6.7964753849999999</v>
      </c>
      <c r="G455"/>
      <c r="H455" t="s">
        <v>245</v>
      </c>
      <c r="J455"/>
      <c r="P455"/>
    </row>
    <row r="456" spans="1:16" hidden="1">
      <c r="A456" t="s">
        <v>267</v>
      </c>
      <c r="B456" t="s">
        <v>36</v>
      </c>
      <c r="E456">
        <v>102</v>
      </c>
      <c r="G456"/>
      <c r="H456" t="s">
        <v>245</v>
      </c>
      <c r="J456"/>
      <c r="P456"/>
    </row>
    <row r="457" spans="1:16" hidden="1">
      <c r="A457" t="s">
        <v>267</v>
      </c>
      <c r="B457" t="s">
        <v>112</v>
      </c>
      <c r="E457">
        <v>75.281178170000004</v>
      </c>
      <c r="G457"/>
      <c r="H457" t="s">
        <v>245</v>
      </c>
      <c r="J457"/>
      <c r="P457"/>
    </row>
    <row r="458" spans="1:16" hidden="1">
      <c r="A458" t="s">
        <v>267</v>
      </c>
      <c r="B458" t="s">
        <v>247</v>
      </c>
      <c r="E458">
        <v>847.56215069999996</v>
      </c>
      <c r="G458"/>
      <c r="H458" t="s">
        <v>245</v>
      </c>
      <c r="J458"/>
      <c r="P458"/>
    </row>
    <row r="459" spans="1:16" hidden="1">
      <c r="A459" t="s">
        <v>267</v>
      </c>
      <c r="B459" t="s">
        <v>38</v>
      </c>
      <c r="E459">
        <v>235.4254506</v>
      </c>
      <c r="G459"/>
      <c r="H459" t="s">
        <v>245</v>
      </c>
      <c r="J459"/>
      <c r="P459"/>
    </row>
    <row r="460" spans="1:16" hidden="1">
      <c r="A460" t="s">
        <v>267</v>
      </c>
      <c r="B460" t="s">
        <v>39</v>
      </c>
      <c r="E460">
        <v>14</v>
      </c>
      <c r="G460"/>
      <c r="H460" t="s">
        <v>245</v>
      </c>
      <c r="J460"/>
      <c r="P460"/>
    </row>
    <row r="461" spans="1:16" hidden="1">
      <c r="A461" t="s">
        <v>267</v>
      </c>
      <c r="B461" t="s">
        <v>248</v>
      </c>
      <c r="E461">
        <v>8.393461404</v>
      </c>
      <c r="G461"/>
      <c r="H461" t="s">
        <v>245</v>
      </c>
      <c r="J461"/>
      <c r="P461"/>
    </row>
    <row r="462" spans="1:16" hidden="1">
      <c r="A462" t="s">
        <v>268</v>
      </c>
      <c r="B462" t="s">
        <v>31</v>
      </c>
      <c r="E462">
        <v>14.42944876</v>
      </c>
      <c r="G462"/>
      <c r="H462" t="s">
        <v>269</v>
      </c>
      <c r="J462"/>
      <c r="P462"/>
    </row>
    <row r="463" spans="1:16" hidden="1">
      <c r="A463" t="s">
        <v>268</v>
      </c>
      <c r="B463" t="s">
        <v>39</v>
      </c>
      <c r="E463">
        <v>80</v>
      </c>
      <c r="G463"/>
      <c r="H463" t="s">
        <v>269</v>
      </c>
      <c r="J463"/>
      <c r="P463"/>
    </row>
    <row r="464" spans="1:16" hidden="1">
      <c r="A464" t="s">
        <v>268</v>
      </c>
      <c r="B464" t="s">
        <v>42</v>
      </c>
      <c r="E464">
        <v>23.255320300000001</v>
      </c>
      <c r="G464"/>
      <c r="H464" t="s">
        <v>269</v>
      </c>
      <c r="J464"/>
      <c r="P464"/>
    </row>
    <row r="465" spans="1:18" hidden="1"/>
    <row r="466" spans="1:18" hidden="1"/>
    <row r="467" spans="1:18" hidden="1"/>
    <row r="468" spans="1:18" hidden="1"/>
    <row r="469" spans="1:18" hidden="1"/>
    <row r="470" spans="1:18" hidden="1">
      <c r="A470" s="26" t="s">
        <v>270</v>
      </c>
    </row>
    <row r="471" spans="1:18">
      <c r="A471" t="s">
        <v>166</v>
      </c>
      <c r="B471" t="s">
        <v>271</v>
      </c>
      <c r="E471" s="50">
        <f>E223/E239</f>
        <v>2.3674068636447054E-2</v>
      </c>
      <c r="G471" s="34">
        <f t="shared" ref="G471:G472" si="13">E471</f>
        <v>2.3674068636447054E-2</v>
      </c>
      <c r="H471" t="s">
        <v>167</v>
      </c>
    </row>
    <row r="472" spans="1:18">
      <c r="A472" t="s">
        <v>169</v>
      </c>
      <c r="B472" t="s">
        <v>271</v>
      </c>
      <c r="E472" s="50">
        <f>E224/E240</f>
        <v>0.111</v>
      </c>
      <c r="G472" s="34">
        <f t="shared" si="13"/>
        <v>0.111</v>
      </c>
      <c r="H472" t="s">
        <v>167</v>
      </c>
    </row>
    <row r="473" spans="1:18">
      <c r="A473" t="s">
        <v>156</v>
      </c>
      <c r="B473" t="s">
        <v>271</v>
      </c>
      <c r="E473" s="50">
        <f>E225/E241</f>
        <v>2.5510204081632654E-2</v>
      </c>
      <c r="G473" s="34">
        <f t="shared" ref="G473" si="14">E473</f>
        <v>2.5510204081632654E-2</v>
      </c>
      <c r="H473" t="s">
        <v>167</v>
      </c>
    </row>
    <row r="474" spans="1:18">
      <c r="A474" t="s">
        <v>29</v>
      </c>
      <c r="B474" t="s">
        <v>271</v>
      </c>
      <c r="E474" s="50"/>
      <c r="G474" s="33"/>
    </row>
    <row r="475" spans="1:18">
      <c r="A475" t="s">
        <v>172</v>
      </c>
      <c r="B475" t="s">
        <v>271</v>
      </c>
      <c r="E475" s="50"/>
      <c r="G475" s="33"/>
    </row>
    <row r="476" spans="1:18">
      <c r="A476" t="s">
        <v>173</v>
      </c>
      <c r="B476" t="s">
        <v>271</v>
      </c>
      <c r="E476" s="50"/>
      <c r="G476" s="33"/>
    </row>
    <row r="477" spans="1:18">
      <c r="A477" t="s">
        <v>174</v>
      </c>
      <c r="B477" t="s">
        <v>271</v>
      </c>
      <c r="E477" s="50">
        <f>E229/E232</f>
        <v>7.9178885630498533E-2</v>
      </c>
      <c r="G477" s="33">
        <f>E477</f>
        <v>7.9178885630498533E-2</v>
      </c>
      <c r="H477" t="s">
        <v>279</v>
      </c>
      <c r="R477" t="s">
        <v>280</v>
      </c>
    </row>
    <row r="478" spans="1:18" ht="17" customHeight="1">
      <c r="A478" s="21" t="s">
        <v>176</v>
      </c>
      <c r="B478" t="s">
        <v>271</v>
      </c>
      <c r="E478" s="50">
        <f>E230/E245</f>
        <v>3.0731114658027015E-2</v>
      </c>
      <c r="G478" s="34">
        <f t="shared" ref="G478" si="15">E478</f>
        <v>3.0731114658027015E-2</v>
      </c>
      <c r="H478" t="s">
        <v>167</v>
      </c>
      <c r="K478" t="s">
        <v>272</v>
      </c>
    </row>
    <row r="479" spans="1:18">
      <c r="A479" t="s">
        <v>21</v>
      </c>
      <c r="B479" t="s">
        <v>271</v>
      </c>
      <c r="E479" s="50">
        <f>E157/E12</f>
        <v>3.1051537669217186E-2</v>
      </c>
      <c r="G479" s="34">
        <f t="shared" ref="G479:G482" si="16">E479</f>
        <v>3.1051537669217186E-2</v>
      </c>
      <c r="H479" t="s">
        <v>273</v>
      </c>
      <c r="K479" t="s">
        <v>322</v>
      </c>
      <c r="M479" t="s">
        <v>321</v>
      </c>
      <c r="N479" t="s">
        <v>317</v>
      </c>
    </row>
    <row r="480" spans="1:18">
      <c r="A480" t="s">
        <v>22</v>
      </c>
      <c r="B480" t="s">
        <v>271</v>
      </c>
      <c r="E480" s="50">
        <f>E128/E133</f>
        <v>2.9913949778999561E-2</v>
      </c>
      <c r="G480" s="34">
        <f t="shared" si="16"/>
        <v>2.9913949778999561E-2</v>
      </c>
      <c r="H480" t="s">
        <v>105</v>
      </c>
    </row>
    <row r="481" spans="1:16">
      <c r="A481" s="32" t="s">
        <v>22</v>
      </c>
      <c r="B481" t="s">
        <v>274</v>
      </c>
      <c r="E481" s="50">
        <f>E96/E105</f>
        <v>3.9839762925845942E-2</v>
      </c>
      <c r="G481" s="37">
        <f t="shared" ref="G481" si="17">E481</f>
        <v>3.9839762925845942E-2</v>
      </c>
      <c r="H481" t="s">
        <v>82</v>
      </c>
      <c r="P481" s="35"/>
    </row>
    <row r="482" spans="1:16">
      <c r="A482" t="s">
        <v>162</v>
      </c>
      <c r="B482" t="s">
        <v>271</v>
      </c>
      <c r="E482" s="50">
        <f>E49/E56</f>
        <v>2.2899389815808417E-2</v>
      </c>
      <c r="G482" s="34">
        <f t="shared" si="16"/>
        <v>2.2899389815808417E-2</v>
      </c>
      <c r="H482" t="s">
        <v>275</v>
      </c>
    </row>
    <row r="483" spans="1:16">
      <c r="A483" t="s">
        <v>162</v>
      </c>
      <c r="B483" t="s">
        <v>274</v>
      </c>
      <c r="E483" s="50">
        <f>E22/E56</f>
        <v>5.0711095648498516E-2</v>
      </c>
      <c r="G483" s="37">
        <f>E483</f>
        <v>5.0711095648498516E-2</v>
      </c>
      <c r="H483" t="s">
        <v>34</v>
      </c>
    </row>
    <row r="484" spans="1:16" hidden="1">
      <c r="A484" s="31"/>
    </row>
    <row r="485" spans="1:16" hidden="1"/>
    <row r="486" spans="1:16" hidden="1"/>
    <row r="487" spans="1:16" hidden="1">
      <c r="G487" s="12" t="s">
        <v>276</v>
      </c>
    </row>
    <row r="488" spans="1:16" hidden="1">
      <c r="G488" s="17" t="s">
        <v>277</v>
      </c>
    </row>
    <row r="489" spans="1:16" hidden="1">
      <c r="G489" s="36" t="s">
        <v>278</v>
      </c>
    </row>
    <row r="490" spans="1:16" hidden="1"/>
    <row r="491" spans="1:16">
      <c r="A491" t="s">
        <v>162</v>
      </c>
      <c r="B491" t="s">
        <v>327</v>
      </c>
      <c r="E491" s="50">
        <f>E9/E10</f>
        <v>3.0573248407643312E-2</v>
      </c>
      <c r="H491" s="39" t="s">
        <v>283</v>
      </c>
    </row>
    <row r="492" spans="1:16">
      <c r="A492" t="s">
        <v>162</v>
      </c>
      <c r="B492" t="s">
        <v>327</v>
      </c>
      <c r="E492" s="50">
        <f>E25/E45</f>
        <v>2.9864298564360015E-2</v>
      </c>
      <c r="H492" t="s">
        <v>34</v>
      </c>
    </row>
    <row r="493" spans="1:16">
      <c r="A493" t="s">
        <v>21</v>
      </c>
      <c r="B493" t="s">
        <v>326</v>
      </c>
      <c r="E493" s="50">
        <f>E166/E182</f>
        <v>0.10683039173668923</v>
      </c>
      <c r="H493" t="s">
        <v>329</v>
      </c>
    </row>
    <row r="494" spans="1:16">
      <c r="A494" t="s">
        <v>21</v>
      </c>
      <c r="B494" t="s">
        <v>326</v>
      </c>
      <c r="E494" s="50">
        <f>E166/E12</f>
        <v>0.1089354031783402</v>
      </c>
      <c r="H494" t="s">
        <v>328</v>
      </c>
    </row>
    <row r="495" spans="1:16">
      <c r="A495" t="s">
        <v>22</v>
      </c>
      <c r="B495" t="s">
        <v>326</v>
      </c>
      <c r="E495" s="50">
        <f>E122/E133</f>
        <v>0.10548233402307233</v>
      </c>
      <c r="H495" t="s">
        <v>105</v>
      </c>
    </row>
    <row r="496" spans="1:16">
      <c r="A496" t="s">
        <v>117</v>
      </c>
      <c r="B496" t="s">
        <v>326</v>
      </c>
      <c r="E496" s="50">
        <f>E146/E152</f>
        <v>0.1932206974011543</v>
      </c>
      <c r="H496" t="s">
        <v>119</v>
      </c>
    </row>
    <row r="497" spans="1:13">
      <c r="A497" t="s">
        <v>174</v>
      </c>
      <c r="B497" t="s">
        <v>326</v>
      </c>
      <c r="E497" s="50">
        <f>E231/E232</f>
        <v>0.1027565982404692</v>
      </c>
      <c r="H497" t="s">
        <v>180</v>
      </c>
    </row>
    <row r="498" spans="1:13" hidden="1">
      <c r="A498" t="s">
        <v>157</v>
      </c>
      <c r="B498" s="9" t="s">
        <v>154</v>
      </c>
      <c r="E498" s="50">
        <f>E187/E20</f>
        <v>0.10935897435897436</v>
      </c>
      <c r="H498" t="s">
        <v>332</v>
      </c>
    </row>
    <row r="499" spans="1:13" hidden="1">
      <c r="A499" t="s">
        <v>158</v>
      </c>
      <c r="B499" s="9" t="s">
        <v>154</v>
      </c>
      <c r="E499" s="50">
        <f>E188/E19</f>
        <v>0.11451612903225807</v>
      </c>
      <c r="H499" t="s">
        <v>332</v>
      </c>
    </row>
    <row r="501" spans="1:13">
      <c r="A501" t="s">
        <v>174</v>
      </c>
      <c r="B501" t="s">
        <v>342</v>
      </c>
      <c r="E501" t="s">
        <v>23</v>
      </c>
      <c r="H501" t="s">
        <v>340</v>
      </c>
      <c r="M501" t="s">
        <v>338</v>
      </c>
    </row>
    <row r="502" spans="1:13">
      <c r="A502" t="s">
        <v>162</v>
      </c>
      <c r="B502" t="s">
        <v>342</v>
      </c>
      <c r="E502" s="24"/>
      <c r="H502" t="s">
        <v>340</v>
      </c>
      <c r="M502" t="s">
        <v>341</v>
      </c>
    </row>
    <row r="503" spans="1:13">
      <c r="A503" t="s">
        <v>174</v>
      </c>
      <c r="B503" t="s">
        <v>344</v>
      </c>
      <c r="E503" s="24">
        <f>((1.431*433^1.059)*100)/2</f>
        <v>44325.160856367896</v>
      </c>
      <c r="F503" t="s">
        <v>343</v>
      </c>
      <c r="H503" t="s">
        <v>339</v>
      </c>
      <c r="M503" t="s">
        <v>338</v>
      </c>
    </row>
    <row r="504" spans="1:13">
      <c r="A504" t="s">
        <v>162</v>
      </c>
      <c r="B504" t="s">
        <v>344</v>
      </c>
      <c r="E504" s="24">
        <f xml:space="preserve"> ((1.431 * 1300^1.059)*100)/2</f>
        <v>141995.84882305315</v>
      </c>
      <c r="F504" t="s">
        <v>343</v>
      </c>
      <c r="H504" t="s">
        <v>339</v>
      </c>
      <c r="M504" t="s">
        <v>341</v>
      </c>
    </row>
    <row r="505" spans="1:13">
      <c r="A505" t="s">
        <v>174</v>
      </c>
      <c r="B505" t="s">
        <v>17</v>
      </c>
      <c r="E505" t="s">
        <v>23</v>
      </c>
      <c r="F505" t="s">
        <v>343</v>
      </c>
      <c r="H505" t="s">
        <v>340</v>
      </c>
      <c r="M505" t="s">
        <v>338</v>
      </c>
    </row>
    <row r="506" spans="1:13">
      <c r="A506" t="s">
        <v>162</v>
      </c>
      <c r="B506" t="s">
        <v>17</v>
      </c>
      <c r="E506">
        <f>(2500*100)/2</f>
        <v>125000</v>
      </c>
      <c r="F506" t="s">
        <v>343</v>
      </c>
      <c r="H506" t="s">
        <v>340</v>
      </c>
      <c r="M506" t="s">
        <v>341</v>
      </c>
    </row>
  </sheetData>
  <autoFilter ref="B1:B499" xr:uid="{5E938233-F907-374F-B90D-9126C5A9020A}">
    <filterColumn colId="0">
      <filters>
        <filter val="Area4/cortex"/>
        <filter val="cortex"/>
        <filter val="M1/cortex"/>
        <filter val="neocortex"/>
        <filter val="neocortex or brain"/>
        <filter val="V1/cortex"/>
        <filter val="V1/neocortex"/>
      </filters>
    </filterColumn>
  </autoFilter>
  <phoneticPr fontId="25" type="noConversion"/>
  <conditionalFormatting sqref="A1:A1048576">
    <cfRule type="containsText" dxfId="3" priority="5" stopIfTrue="1" operator="containsText" text="Homo">
      <formula>NOT(ISERROR(SEARCH("Homo",A1)))</formula>
    </cfRule>
    <cfRule type="containsText" dxfId="2" priority="6" stopIfTrue="1" operator="containsText" text="Saimiri">
      <formula>NOT(ISERROR(SEARCH("Saimiri",A1)))</formula>
    </cfRule>
    <cfRule type="containsText" dxfId="1" priority="7" stopIfTrue="1" operator="containsText" text="Macaca">
      <formula>NOT(ISERROR(SEARCH("Macaca",A1)))</formula>
    </cfRule>
    <cfRule type="containsText" dxfId="0" priority="8" stopIfTrue="1" operator="containsText" text="apella">
      <formula>NOT(ISERROR(SEARCH("apella",A1)))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  <SharedWithUsers xmlns="3bad6c6a-329d-45e9-b8b0-1ebecc8a8764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1CD8AAE-C79B-4C70-BD56-1CAF8E7A71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26171D-D581-4D17-844B-E91BA0A4D4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5E0FA7-D5D6-4DD3-B681-EDACD0FD9DC5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8e1efd23-f4ba-42d2-85fd-6a510437bae6"/>
    <ds:schemaRef ds:uri="http://schemas.microsoft.com/office/infopath/2007/PartnerControls"/>
    <ds:schemaRef ds:uri="http://schemas.microsoft.com/office/2006/metadata/properties"/>
    <ds:schemaRef ds:uri="3bad6c6a-329d-45e9-b8b0-1ebecc8a8764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 surface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Alexandra de Sousa</cp:lastModifiedBy>
  <cp:revision/>
  <dcterms:created xsi:type="dcterms:W3CDTF">2024-09-20T18:34:24Z</dcterms:created>
  <dcterms:modified xsi:type="dcterms:W3CDTF">2024-10-28T06:04:19Z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Order">
    <vt:r8>341600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