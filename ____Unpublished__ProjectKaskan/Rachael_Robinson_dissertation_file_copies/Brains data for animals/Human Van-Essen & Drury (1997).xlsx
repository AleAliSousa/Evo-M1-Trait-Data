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ProjectKaskan__Unpublished/Rachael_Robinson_dissertation_file_copies/Brains data for animals/"/>
    </mc:Choice>
  </mc:AlternateContent>
  <xr:revisionPtr revIDLastSave="20" documentId="13_ncr:1_{1B1F9C3B-8822-4B6F-9D7C-B7C66D894C66}" xr6:coauthVersionLast="47" xr6:coauthVersionMax="47" xr10:uidLastSave="{2CC7E6E8-AD5C-1546-9F8C-FB9A3973AE1E}"/>
  <bookViews>
    <workbookView xWindow="4960" yWindow="760" windowWidth="24460" windowHeight="20140" xr2:uid="{00000000-000D-0000-FFFF-FFFF00000000}"/>
  </bookViews>
  <sheets>
    <sheet name="Sheet1" sheetId="2" r:id="rId1"/>
    <sheet name="Pitzalis, S., Fattori, P., &amp; Ga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 s="1"/>
  <c r="P2" i="3"/>
  <c r="P3" i="3" s="1"/>
  <c r="M22" i="4" l="1"/>
  <c r="M14" i="4"/>
  <c r="M6" i="4"/>
  <c r="M13" i="4"/>
  <c r="M5" i="4"/>
  <c r="M21" i="4"/>
  <c r="M20" i="4"/>
  <c r="M12" i="4"/>
  <c r="M4" i="4"/>
  <c r="M16" i="4"/>
  <c r="M8" i="4"/>
  <c r="M19" i="4"/>
  <c r="M11" i="4"/>
  <c r="M3" i="4"/>
  <c r="M15" i="4"/>
  <c r="M18" i="4"/>
  <c r="M10" i="4"/>
  <c r="M7" i="4"/>
  <c r="M17" i="4"/>
  <c r="M9" i="4"/>
  <c r="M22" i="3"/>
  <c r="M14" i="3"/>
  <c r="M6" i="3"/>
  <c r="M21" i="3"/>
  <c r="M13" i="3"/>
  <c r="M5" i="3"/>
  <c r="M20" i="3"/>
  <c r="M12" i="3"/>
  <c r="M4" i="3"/>
  <c r="M19" i="3"/>
  <c r="M11" i="3"/>
  <c r="M18" i="3"/>
  <c r="M10" i="3"/>
  <c r="M3" i="3"/>
  <c r="M17" i="3"/>
  <c r="M16" i="3"/>
  <c r="M8" i="3"/>
  <c r="M15" i="3"/>
  <c r="M7" i="3"/>
  <c r="M9" i="3"/>
  <c r="P2" i="2" l="1"/>
  <c r="P3" i="2" s="1"/>
  <c r="L37" i="3" l="1"/>
  <c r="L36" i="3"/>
  <c r="L37" i="2"/>
  <c r="L29" i="2"/>
  <c r="L21" i="2"/>
  <c r="L13" i="2"/>
  <c r="L5" i="2"/>
  <c r="L28" i="2"/>
  <c r="L20" i="2"/>
  <c r="L12" i="2"/>
  <c r="L4" i="2"/>
  <c r="L27" i="2"/>
  <c r="L19" i="2"/>
  <c r="L11" i="2"/>
  <c r="L26" i="2"/>
  <c r="L18" i="2"/>
  <c r="L10" i="2"/>
  <c r="L3" i="2"/>
  <c r="L25" i="2"/>
  <c r="L17" i="2"/>
  <c r="L9" i="2"/>
  <c r="L36" i="2"/>
  <c r="L35" i="2"/>
  <c r="L34" i="2"/>
  <c r="L33" i="2"/>
  <c r="L32" i="2"/>
  <c r="L31" i="2"/>
  <c r="L23" i="2"/>
  <c r="L15" i="2"/>
  <c r="L7" i="2"/>
  <c r="L22" i="2"/>
  <c r="L14" i="2"/>
  <c r="L6" i="2"/>
  <c r="L24" i="2"/>
  <c r="L16" i="2"/>
  <c r="L8" i="2"/>
  <c r="L30" i="2"/>
</calcChain>
</file>

<file path=xl/sharedStrings.xml><?xml version="1.0" encoding="utf-8"?>
<sst xmlns="http://schemas.openxmlformats.org/spreadsheetml/2006/main" count="293" uniqueCount="66">
  <si>
    <t xml:space="preserve"> </t>
  </si>
  <si>
    <t>Area</t>
  </si>
  <si>
    <t>Mean</t>
  </si>
  <si>
    <t>Min</t>
  </si>
  <si>
    <t>Max</t>
  </si>
  <si>
    <t>Angle</t>
  </si>
  <si>
    <t>Length</t>
  </si>
  <si>
    <t>area 17</t>
  </si>
  <si>
    <t>area 18</t>
  </si>
  <si>
    <t>pixels across</t>
  </si>
  <si>
    <t>pixels</t>
  </si>
  <si>
    <t>ORIGINAL UNITS</t>
  </si>
  <si>
    <r>
      <t>mm</t>
    </r>
    <r>
      <rPr>
        <vertAlign val="superscript"/>
        <sz val="12"/>
        <color theme="1"/>
        <rFont val="Calibri (Body)"/>
      </rPr>
      <t>2</t>
    </r>
  </si>
  <si>
    <r>
      <t>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/>
    </r>
  </si>
  <si>
    <t>Scale conversion</t>
  </si>
  <si>
    <t>REGION MEASURED</t>
  </si>
  <si>
    <t>VI</t>
  </si>
  <si>
    <t>VII</t>
  </si>
  <si>
    <t>MT</t>
  </si>
  <si>
    <t>DM</t>
  </si>
  <si>
    <t>MST</t>
  </si>
  <si>
    <t>FST</t>
  </si>
  <si>
    <t>VPP</t>
  </si>
  <si>
    <t>AI+R</t>
  </si>
  <si>
    <t>… and so on</t>
  </si>
  <si>
    <t>3b</t>
  </si>
  <si>
    <t>SII</t>
  </si>
  <si>
    <t>3a</t>
  </si>
  <si>
    <t>PV</t>
  </si>
  <si>
    <t>M1</t>
  </si>
  <si>
    <t>FEF</t>
  </si>
  <si>
    <t>FV</t>
  </si>
  <si>
    <t>SMA</t>
  </si>
  <si>
    <t>FR</t>
  </si>
  <si>
    <t>REGION (Kaskan 2005)</t>
  </si>
  <si>
    <t>Figure scale length</t>
  </si>
  <si>
    <t>Information about brain</t>
  </si>
  <si>
    <t>species:</t>
  </si>
  <si>
    <t>publication:</t>
  </si>
  <si>
    <t>Figure:</t>
  </si>
  <si>
    <t>Fig 1</t>
  </si>
  <si>
    <t>Homo sapiens</t>
  </si>
  <si>
    <t>Van   Essen    &amp;   Drury    (1997);</t>
  </si>
  <si>
    <t>10cm scale length</t>
  </si>
  <si>
    <t>SCALE (in cm)</t>
  </si>
  <si>
    <t>Pixels across 1cm</t>
  </si>
  <si>
    <r>
      <t>Pixels in 1cm</t>
    </r>
    <r>
      <rPr>
        <vertAlign val="superscript"/>
        <sz val="12"/>
        <color theme="1"/>
        <rFont val="Calibri (Body)"/>
      </rPr>
      <t>2</t>
    </r>
  </si>
  <si>
    <r>
      <t>AREA CONVERTED To cm</t>
    </r>
    <r>
      <rPr>
        <vertAlign val="superscript"/>
        <sz val="12"/>
        <color theme="1"/>
        <rFont val="Calibri (Body)"/>
      </rPr>
      <t>2</t>
    </r>
  </si>
  <si>
    <t>had to add area of two parts</t>
  </si>
  <si>
    <t>Area mm2 x100</t>
  </si>
  <si>
    <r>
      <t>Pitzalis, S., Fattori, P., &amp; Galletti, C. (2015). The human cortical areas V6 and V6A. </t>
    </r>
    <r>
      <rPr>
        <i/>
        <sz val="7"/>
        <color rgb="FF222222"/>
        <rFont val="Arial"/>
        <family val="2"/>
      </rPr>
      <t>Visual neuroscience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32</t>
    </r>
    <r>
      <rPr>
        <sz val="7"/>
        <color rgb="FF222222"/>
        <rFont val="Arial"/>
        <family val="2"/>
      </rPr>
      <t>.</t>
    </r>
  </si>
  <si>
    <t>SCALE (in mm)</t>
  </si>
  <si>
    <t>AREA CONVERTED TO (mm2)</t>
  </si>
  <si>
    <t>Pixels across 1mm</t>
  </si>
  <si>
    <t>mm2</t>
  </si>
  <si>
    <t>Pixels in 1mm2</t>
  </si>
  <si>
    <t>VP</t>
  </si>
  <si>
    <t>R</t>
  </si>
  <si>
    <t>A1</t>
  </si>
  <si>
    <t>3b/S1</t>
  </si>
  <si>
    <t>mst</t>
  </si>
  <si>
    <t>mef</t>
  </si>
  <si>
    <t>CT (visual area)</t>
  </si>
  <si>
    <t xml:space="preserve"> scale length 10mm</t>
  </si>
  <si>
    <r>
      <t>Brecht, M., &amp; Freiwald, W. A. (2012). The many facets of facial interactions in mammals. </t>
    </r>
    <r>
      <rPr>
        <i/>
        <sz val="7"/>
        <color rgb="FF222222"/>
        <rFont val="Arial"/>
        <family val="2"/>
      </rPr>
      <t>Current Opinion in Neurobiology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22</t>
    </r>
    <r>
      <rPr>
        <sz val="7"/>
        <color rgb="FF222222"/>
        <rFont val="Arial"/>
        <family val="2"/>
      </rPr>
      <t>(2), 259-266.</t>
    </r>
  </si>
  <si>
    <t>v1,v2,a1, s1/3b, 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</si>
</sst>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0" xfId="0" applyFill="1"/>
    <xf numFmtId="0" fontId="14" fillId="0" borderId="0" xfId="0" applyFont="1"/>
    <xf numFmtId="0" fontId="19" fillId="0" borderId="0" xfId="0" applyFont="1"/>
    <xf numFmtId="0" fontId="21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CC74-2115-41FC-A4FD-BA1982BCA9B4}">
  <dimension ref="A1:S39"/>
  <sheetViews>
    <sheetView tabSelected="1" topLeftCell="C1" workbookViewId="0">
      <selection activeCell="T12" sqref="T12"/>
    </sheetView>
  </sheetViews>
  <sheetFormatPr baseColWidth="10" defaultColWidth="8.83203125" defaultRowHeight="16" x14ac:dyDescent="0.2"/>
  <cols>
    <col min="8" max="8" width="11.1640625" customWidth="1"/>
    <col min="9" max="9" width="8.83203125" customWidth="1"/>
    <col min="12" max="12" width="8.83203125" customWidth="1"/>
    <col min="19" max="19" width="20" customWidth="1"/>
  </cols>
  <sheetData>
    <row r="1" spans="1:19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15</v>
      </c>
      <c r="I1" s="8" t="s">
        <v>34</v>
      </c>
      <c r="J1" t="s">
        <v>11</v>
      </c>
      <c r="K1" t="s">
        <v>44</v>
      </c>
      <c r="L1" t="s">
        <v>47</v>
      </c>
      <c r="M1" t="s">
        <v>49</v>
      </c>
      <c r="O1" t="s">
        <v>14</v>
      </c>
      <c r="R1" t="s">
        <v>36</v>
      </c>
    </row>
    <row r="2" spans="1:19" x14ac:dyDescent="0.2">
      <c r="A2">
        <v>1</v>
      </c>
      <c r="B2">
        <v>144</v>
      </c>
      <c r="C2">
        <v>76.944000000000003</v>
      </c>
      <c r="D2">
        <v>67.915000000000006</v>
      </c>
      <c r="E2">
        <v>225.667</v>
      </c>
      <c r="F2">
        <v>0.40100000000000002</v>
      </c>
      <c r="G2">
        <v>142.673</v>
      </c>
      <c r="H2" s="6" t="s">
        <v>43</v>
      </c>
      <c r="I2" s="7" t="s">
        <v>35</v>
      </c>
      <c r="J2" t="s">
        <v>9</v>
      </c>
      <c r="K2" s="4">
        <v>100</v>
      </c>
      <c r="O2" t="s">
        <v>45</v>
      </c>
      <c r="P2" s="5">
        <f>G2/K2</f>
        <v>1.4267300000000001</v>
      </c>
      <c r="R2" t="s">
        <v>37</v>
      </c>
      <c r="S2" s="6" t="s">
        <v>41</v>
      </c>
    </row>
    <row r="3" spans="1:19" ht="19" x14ac:dyDescent="0.2">
      <c r="A3">
        <v>2</v>
      </c>
      <c r="B3">
        <v>7110</v>
      </c>
      <c r="C3" t="s">
        <v>48</v>
      </c>
      <c r="H3" s="6" t="s">
        <v>7</v>
      </c>
      <c r="I3" s="9" t="s">
        <v>16</v>
      </c>
      <c r="J3" t="s">
        <v>10</v>
      </c>
      <c r="L3" s="5">
        <f t="shared" ref="L3:L37" si="0">B3/$P$3</f>
        <v>3492.898889813081</v>
      </c>
      <c r="M3" s="5"/>
      <c r="N3" t="s">
        <v>12</v>
      </c>
      <c r="O3" t="s">
        <v>46</v>
      </c>
      <c r="P3" s="5">
        <f>P2^2</f>
        <v>2.0355584929000003</v>
      </c>
      <c r="R3" t="s">
        <v>38</v>
      </c>
      <c r="S3" t="s">
        <v>42</v>
      </c>
    </row>
    <row r="4" spans="1:19" ht="19" x14ac:dyDescent="0.2">
      <c r="A4">
        <v>3</v>
      </c>
      <c r="B4">
        <v>5746</v>
      </c>
      <c r="H4" s="6" t="s">
        <v>8</v>
      </c>
      <c r="I4" s="9" t="s">
        <v>17</v>
      </c>
      <c r="J4" t="s">
        <v>10</v>
      </c>
      <c r="L4" s="5">
        <f t="shared" si="0"/>
        <v>2822.812520515607</v>
      </c>
      <c r="M4" s="5"/>
      <c r="N4" t="s">
        <v>12</v>
      </c>
      <c r="R4" t="s">
        <v>39</v>
      </c>
      <c r="S4" t="s">
        <v>40</v>
      </c>
    </row>
    <row r="5" spans="1:19" ht="19" x14ac:dyDescent="0.2">
      <c r="H5" s="6"/>
      <c r="I5" s="9" t="s">
        <v>18</v>
      </c>
      <c r="J5" t="s">
        <v>10</v>
      </c>
      <c r="L5" s="5">
        <f t="shared" si="0"/>
        <v>0</v>
      </c>
      <c r="M5" s="5"/>
      <c r="N5" t="s">
        <v>12</v>
      </c>
    </row>
    <row r="6" spans="1:19" ht="19" x14ac:dyDescent="0.2">
      <c r="H6" s="6"/>
      <c r="I6" s="9" t="s">
        <v>19</v>
      </c>
      <c r="J6" t="s">
        <v>10</v>
      </c>
      <c r="L6" s="5">
        <f t="shared" si="0"/>
        <v>0</v>
      </c>
      <c r="M6" s="5"/>
      <c r="N6" t="s">
        <v>13</v>
      </c>
    </row>
    <row r="7" spans="1:19" ht="19" x14ac:dyDescent="0.2">
      <c r="H7" s="6"/>
      <c r="I7" s="9" t="s">
        <v>20</v>
      </c>
      <c r="J7" t="s">
        <v>10</v>
      </c>
      <c r="L7" s="5">
        <f t="shared" si="0"/>
        <v>0</v>
      </c>
      <c r="M7" s="5"/>
      <c r="N7" t="s">
        <v>13</v>
      </c>
    </row>
    <row r="8" spans="1:19" ht="19" x14ac:dyDescent="0.2">
      <c r="H8" s="6"/>
      <c r="I8" s="9" t="s">
        <v>21</v>
      </c>
      <c r="J8" t="s">
        <v>10</v>
      </c>
      <c r="L8" s="5">
        <f t="shared" si="0"/>
        <v>0</v>
      </c>
      <c r="M8" s="5"/>
      <c r="N8" t="s">
        <v>13</v>
      </c>
    </row>
    <row r="9" spans="1:19" ht="19" x14ac:dyDescent="0.2">
      <c r="H9" s="6"/>
      <c r="I9" s="9" t="s">
        <v>22</v>
      </c>
      <c r="J9" t="s">
        <v>10</v>
      </c>
      <c r="L9" s="5">
        <f t="shared" si="0"/>
        <v>0</v>
      </c>
      <c r="M9" s="5"/>
      <c r="N9" t="s">
        <v>13</v>
      </c>
    </row>
    <row r="10" spans="1:19" ht="19" x14ac:dyDescent="0.2">
      <c r="H10" s="6"/>
      <c r="I10" s="9" t="s">
        <v>23</v>
      </c>
      <c r="J10" t="s">
        <v>10</v>
      </c>
      <c r="L10" s="5">
        <f t="shared" si="0"/>
        <v>0</v>
      </c>
      <c r="M10" s="5"/>
      <c r="N10" t="s">
        <v>13</v>
      </c>
    </row>
    <row r="11" spans="1:19" ht="19" x14ac:dyDescent="0.2">
      <c r="H11" s="6"/>
      <c r="I11" s="9" t="s">
        <v>25</v>
      </c>
      <c r="J11" t="s">
        <v>10</v>
      </c>
      <c r="L11" s="5">
        <f t="shared" si="0"/>
        <v>0</v>
      </c>
      <c r="M11" s="5"/>
      <c r="N11" t="s">
        <v>13</v>
      </c>
    </row>
    <row r="12" spans="1:19" ht="19" x14ac:dyDescent="0.2">
      <c r="H12" s="6"/>
      <c r="I12" s="9" t="s">
        <v>26</v>
      </c>
      <c r="J12" t="s">
        <v>10</v>
      </c>
      <c r="L12" s="5">
        <f t="shared" si="0"/>
        <v>0</v>
      </c>
      <c r="M12" s="5"/>
      <c r="N12" t="s">
        <v>13</v>
      </c>
    </row>
    <row r="13" spans="1:19" ht="19" x14ac:dyDescent="0.2">
      <c r="H13" s="6"/>
      <c r="I13" s="9" t="s">
        <v>27</v>
      </c>
      <c r="J13" t="s">
        <v>10</v>
      </c>
      <c r="L13" s="5">
        <f t="shared" si="0"/>
        <v>0</v>
      </c>
      <c r="M13" s="5"/>
      <c r="N13" t="s">
        <v>13</v>
      </c>
    </row>
    <row r="14" spans="1:19" ht="19" x14ac:dyDescent="0.2">
      <c r="H14" s="6"/>
      <c r="I14" s="9">
        <v>1</v>
      </c>
      <c r="J14" t="s">
        <v>10</v>
      </c>
      <c r="L14" s="5">
        <f t="shared" si="0"/>
        <v>0</v>
      </c>
      <c r="M14" s="5"/>
      <c r="N14" t="s">
        <v>13</v>
      </c>
    </row>
    <row r="15" spans="1:19" ht="19" x14ac:dyDescent="0.2">
      <c r="H15" s="6"/>
      <c r="I15" s="9">
        <v>2</v>
      </c>
      <c r="J15" t="s">
        <v>10</v>
      </c>
      <c r="L15" s="5">
        <f t="shared" si="0"/>
        <v>0</v>
      </c>
      <c r="M15" s="5"/>
      <c r="N15" t="s">
        <v>13</v>
      </c>
    </row>
    <row r="16" spans="1:19" ht="19" x14ac:dyDescent="0.2">
      <c r="H16" s="6"/>
      <c r="I16" s="9" t="s">
        <v>28</v>
      </c>
      <c r="J16" t="s">
        <v>10</v>
      </c>
      <c r="L16" s="5">
        <f t="shared" si="0"/>
        <v>0</v>
      </c>
      <c r="M16" s="5"/>
      <c r="N16" t="s">
        <v>13</v>
      </c>
    </row>
    <row r="17" spans="1:14" ht="19" x14ac:dyDescent="0.2">
      <c r="A17">
        <v>6</v>
      </c>
      <c r="B17">
        <v>1362</v>
      </c>
      <c r="C17">
        <v>95.724999999999994</v>
      </c>
      <c r="D17">
        <v>51</v>
      </c>
      <c r="E17">
        <v>160</v>
      </c>
      <c r="F17">
        <v>0</v>
      </c>
      <c r="G17">
        <v>0</v>
      </c>
      <c r="H17" s="6"/>
      <c r="I17" s="9" t="s">
        <v>29</v>
      </c>
      <c r="J17" t="s">
        <v>10</v>
      </c>
      <c r="L17" s="5">
        <f t="shared" si="0"/>
        <v>669.10383796419364</v>
      </c>
      <c r="M17" s="5"/>
      <c r="N17" t="s">
        <v>13</v>
      </c>
    </row>
    <row r="18" spans="1:14" ht="19" x14ac:dyDescent="0.2">
      <c r="H18" s="6"/>
      <c r="I18" s="9" t="s">
        <v>30</v>
      </c>
      <c r="J18" t="s">
        <v>10</v>
      </c>
      <c r="L18" s="5">
        <f t="shared" si="0"/>
        <v>0</v>
      </c>
      <c r="M18" s="5"/>
      <c r="N18" t="s">
        <v>13</v>
      </c>
    </row>
    <row r="19" spans="1:14" ht="19" x14ac:dyDescent="0.2">
      <c r="H19" s="6"/>
      <c r="I19" s="9" t="s">
        <v>31</v>
      </c>
      <c r="J19" t="s">
        <v>10</v>
      </c>
      <c r="L19" s="5">
        <f t="shared" si="0"/>
        <v>0</v>
      </c>
      <c r="M19" s="5"/>
      <c r="N19" t="s">
        <v>13</v>
      </c>
    </row>
    <row r="20" spans="1:14" ht="19" x14ac:dyDescent="0.2">
      <c r="H20" s="6"/>
      <c r="I20" s="9" t="s">
        <v>32</v>
      </c>
      <c r="J20" t="s">
        <v>10</v>
      </c>
      <c r="L20" s="5">
        <f t="shared" si="0"/>
        <v>0</v>
      </c>
      <c r="M20" s="5"/>
      <c r="N20" t="s">
        <v>13</v>
      </c>
    </row>
    <row r="21" spans="1:14" ht="19" x14ac:dyDescent="0.2">
      <c r="H21" s="6"/>
      <c r="I21" s="9" t="s">
        <v>33</v>
      </c>
      <c r="J21" t="s">
        <v>10</v>
      </c>
      <c r="L21" s="5">
        <f t="shared" si="0"/>
        <v>0</v>
      </c>
      <c r="M21" s="5"/>
      <c r="N21" t="s">
        <v>13</v>
      </c>
    </row>
    <row r="22" spans="1:14" ht="19" x14ac:dyDescent="0.2">
      <c r="H22" s="6"/>
      <c r="I22" s="9"/>
      <c r="J22" t="s">
        <v>10</v>
      </c>
      <c r="L22" s="5">
        <f t="shared" si="0"/>
        <v>0</v>
      </c>
      <c r="M22" s="5"/>
      <c r="N22" t="s">
        <v>13</v>
      </c>
    </row>
    <row r="23" spans="1:14" ht="19" x14ac:dyDescent="0.2">
      <c r="H23" s="6"/>
      <c r="I23" s="9"/>
      <c r="J23" t="s">
        <v>10</v>
      </c>
      <c r="L23" s="5">
        <f t="shared" si="0"/>
        <v>0</v>
      </c>
      <c r="M23" s="5"/>
      <c r="N23" t="s">
        <v>13</v>
      </c>
    </row>
    <row r="24" spans="1:14" ht="19" x14ac:dyDescent="0.2">
      <c r="H24" s="6"/>
      <c r="I24" s="9"/>
      <c r="J24" t="s">
        <v>10</v>
      </c>
      <c r="L24" s="5">
        <f t="shared" si="0"/>
        <v>0</v>
      </c>
      <c r="M24" s="5"/>
      <c r="N24" t="s">
        <v>13</v>
      </c>
    </row>
    <row r="25" spans="1:14" ht="19" x14ac:dyDescent="0.2">
      <c r="H25" s="6"/>
      <c r="I25" s="9"/>
      <c r="J25" t="s">
        <v>10</v>
      </c>
      <c r="L25" s="5">
        <f t="shared" si="0"/>
        <v>0</v>
      </c>
      <c r="M25" s="5"/>
      <c r="N25" t="s">
        <v>13</v>
      </c>
    </row>
    <row r="26" spans="1:14" ht="19" x14ac:dyDescent="0.2">
      <c r="H26" s="6"/>
      <c r="I26" s="9"/>
      <c r="J26" t="s">
        <v>10</v>
      </c>
      <c r="L26" s="5">
        <f t="shared" si="0"/>
        <v>0</v>
      </c>
      <c r="M26" s="5"/>
      <c r="N26" t="s">
        <v>13</v>
      </c>
    </row>
    <row r="27" spans="1:14" ht="19" x14ac:dyDescent="0.2">
      <c r="H27" s="6"/>
      <c r="I27" s="9"/>
      <c r="J27" t="s">
        <v>10</v>
      </c>
      <c r="L27" s="5">
        <f t="shared" si="0"/>
        <v>0</v>
      </c>
      <c r="M27" s="5"/>
      <c r="N27" t="s">
        <v>13</v>
      </c>
    </row>
    <row r="28" spans="1:14" ht="19" x14ac:dyDescent="0.2">
      <c r="H28" s="6"/>
      <c r="I28" s="9"/>
      <c r="J28" t="s">
        <v>10</v>
      </c>
      <c r="L28" s="5">
        <f t="shared" si="0"/>
        <v>0</v>
      </c>
      <c r="M28" s="5"/>
      <c r="N28" t="s">
        <v>13</v>
      </c>
    </row>
    <row r="29" spans="1:14" ht="19" x14ac:dyDescent="0.2">
      <c r="H29" s="6"/>
      <c r="I29" s="9"/>
      <c r="J29" t="s">
        <v>10</v>
      </c>
      <c r="L29" s="5">
        <f t="shared" si="0"/>
        <v>0</v>
      </c>
      <c r="M29" s="5"/>
      <c r="N29" t="s">
        <v>13</v>
      </c>
    </row>
    <row r="30" spans="1:14" ht="19" x14ac:dyDescent="0.2">
      <c r="H30" s="6"/>
      <c r="I30" s="9"/>
      <c r="J30" t="s">
        <v>10</v>
      </c>
      <c r="L30" s="5">
        <f t="shared" si="0"/>
        <v>0</v>
      </c>
      <c r="M30" s="5"/>
      <c r="N30" t="s">
        <v>13</v>
      </c>
    </row>
    <row r="31" spans="1:14" ht="19" x14ac:dyDescent="0.2">
      <c r="H31" s="6"/>
      <c r="I31" s="9"/>
      <c r="J31" t="s">
        <v>10</v>
      </c>
      <c r="L31" s="5">
        <f t="shared" si="0"/>
        <v>0</v>
      </c>
      <c r="M31" s="5"/>
      <c r="N31" t="s">
        <v>13</v>
      </c>
    </row>
    <row r="32" spans="1:14" ht="19" x14ac:dyDescent="0.2">
      <c r="H32" s="6"/>
      <c r="I32" s="9"/>
      <c r="J32" t="s">
        <v>10</v>
      </c>
      <c r="L32" s="5">
        <f t="shared" si="0"/>
        <v>0</v>
      </c>
      <c r="M32" s="5"/>
      <c r="N32" t="s">
        <v>13</v>
      </c>
    </row>
    <row r="33" spans="8:14" ht="19" x14ac:dyDescent="0.2">
      <c r="H33" s="6"/>
      <c r="I33" s="9"/>
      <c r="J33" t="s">
        <v>10</v>
      </c>
      <c r="L33" s="5">
        <f t="shared" si="0"/>
        <v>0</v>
      </c>
      <c r="M33" s="5"/>
      <c r="N33" t="s">
        <v>13</v>
      </c>
    </row>
    <row r="34" spans="8:14" ht="19" x14ac:dyDescent="0.2">
      <c r="H34" s="6"/>
      <c r="I34" s="9"/>
      <c r="J34" t="s">
        <v>10</v>
      </c>
      <c r="L34" s="5">
        <f t="shared" si="0"/>
        <v>0</v>
      </c>
      <c r="M34" s="5"/>
      <c r="N34" t="s">
        <v>13</v>
      </c>
    </row>
    <row r="35" spans="8:14" ht="19" x14ac:dyDescent="0.2">
      <c r="H35" s="6"/>
      <c r="I35" s="9"/>
      <c r="J35" t="s">
        <v>10</v>
      </c>
      <c r="L35" s="5">
        <f t="shared" si="0"/>
        <v>0</v>
      </c>
      <c r="M35" s="5"/>
      <c r="N35" t="s">
        <v>13</v>
      </c>
    </row>
    <row r="36" spans="8:14" ht="19" x14ac:dyDescent="0.2">
      <c r="H36" s="6"/>
      <c r="I36" s="9"/>
      <c r="J36" t="s">
        <v>10</v>
      </c>
      <c r="L36" s="5">
        <f t="shared" si="0"/>
        <v>0</v>
      </c>
      <c r="M36" s="5"/>
      <c r="N36" t="s">
        <v>13</v>
      </c>
    </row>
    <row r="37" spans="8:14" ht="19" x14ac:dyDescent="0.2">
      <c r="H37" s="6"/>
      <c r="I37" s="9" t="s">
        <v>24</v>
      </c>
      <c r="J37" t="s">
        <v>10</v>
      </c>
      <c r="L37" s="5">
        <f t="shared" si="0"/>
        <v>0</v>
      </c>
      <c r="M37" s="5"/>
      <c r="N37" t="s">
        <v>13</v>
      </c>
    </row>
    <row r="38" spans="8:14" x14ac:dyDescent="0.2">
      <c r="H38" s="6"/>
      <c r="I38" s="9"/>
    </row>
    <row r="39" spans="8:14" x14ac:dyDescent="0.2">
      <c r="H39" s="6"/>
      <c r="I3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1C2-D7DA-4506-B3EB-B2368D2CDCF7}">
  <dimension ref="A1:S38"/>
  <sheetViews>
    <sheetView workbookViewId="0">
      <selection activeCell="S3" sqref="S3"/>
    </sheetView>
  </sheetViews>
  <sheetFormatPr baseColWidth="10" defaultColWidth="8.83203125" defaultRowHeight="16" x14ac:dyDescent="0.2"/>
  <sheetData>
    <row r="1" spans="1:19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15</v>
      </c>
      <c r="J1" t="s">
        <v>34</v>
      </c>
      <c r="K1" t="s">
        <v>11</v>
      </c>
      <c r="L1" t="s">
        <v>51</v>
      </c>
      <c r="M1" t="s">
        <v>52</v>
      </c>
      <c r="O1" t="s">
        <v>14</v>
      </c>
      <c r="R1" t="s">
        <v>36</v>
      </c>
    </row>
    <row r="2" spans="1:19" x14ac:dyDescent="0.2">
      <c r="A2">
        <v>1</v>
      </c>
      <c r="B2">
        <v>19</v>
      </c>
      <c r="C2">
        <v>222.702</v>
      </c>
      <c r="D2">
        <v>12.548</v>
      </c>
      <c r="E2">
        <v>252.06800000000001</v>
      </c>
      <c r="F2">
        <v>0</v>
      </c>
      <c r="G2" s="4">
        <v>17.754000000000001</v>
      </c>
      <c r="I2" t="s">
        <v>63</v>
      </c>
      <c r="J2" t="s">
        <v>35</v>
      </c>
      <c r="K2" t="s">
        <v>9</v>
      </c>
      <c r="L2" s="4">
        <v>10</v>
      </c>
      <c r="O2" t="s">
        <v>53</v>
      </c>
      <c r="P2" s="4">
        <f>G2/L2</f>
        <v>1.7754000000000001</v>
      </c>
      <c r="R2" t="s">
        <v>37</v>
      </c>
      <c r="S2" s="6" t="s">
        <v>41</v>
      </c>
    </row>
    <row r="3" spans="1:19" x14ac:dyDescent="0.2">
      <c r="A3">
        <v>2</v>
      </c>
      <c r="B3">
        <v>4285</v>
      </c>
      <c r="C3">
        <v>105.992</v>
      </c>
      <c r="D3">
        <v>0</v>
      </c>
      <c r="E3">
        <v>255</v>
      </c>
      <c r="F3">
        <v>0</v>
      </c>
      <c r="G3">
        <v>0</v>
      </c>
      <c r="I3" t="s">
        <v>7</v>
      </c>
      <c r="J3" t="s">
        <v>16</v>
      </c>
      <c r="K3" t="s">
        <v>10</v>
      </c>
      <c r="M3">
        <f>B3/P3</f>
        <v>1359.4348375389393</v>
      </c>
      <c r="N3" t="s">
        <v>54</v>
      </c>
      <c r="O3" t="s">
        <v>55</v>
      </c>
      <c r="P3" s="4">
        <f>P2^2</f>
        <v>3.1520451600000001</v>
      </c>
      <c r="R3" t="s">
        <v>38</v>
      </c>
      <c r="S3" s="10" t="s">
        <v>50</v>
      </c>
    </row>
    <row r="4" spans="1:19" x14ac:dyDescent="0.2">
      <c r="A4">
        <v>3</v>
      </c>
      <c r="B4">
        <v>4076</v>
      </c>
      <c r="C4">
        <v>184.499</v>
      </c>
      <c r="D4">
        <v>68</v>
      </c>
      <c r="E4">
        <v>255</v>
      </c>
      <c r="F4">
        <v>0</v>
      </c>
      <c r="G4">
        <v>0</v>
      </c>
      <c r="I4" t="s">
        <v>8</v>
      </c>
      <c r="J4" t="s">
        <v>17</v>
      </c>
      <c r="K4" t="s">
        <v>10</v>
      </c>
      <c r="M4">
        <f>B4/P3</f>
        <v>1293.1286809355231</v>
      </c>
      <c r="N4" t="s">
        <v>54</v>
      </c>
      <c r="R4" t="s">
        <v>39</v>
      </c>
      <c r="S4" t="s">
        <v>40</v>
      </c>
    </row>
    <row r="5" spans="1:19" x14ac:dyDescent="0.2">
      <c r="A5">
        <v>4</v>
      </c>
      <c r="B5">
        <v>999</v>
      </c>
      <c r="C5">
        <v>88.322000000000003</v>
      </c>
      <c r="D5">
        <v>39</v>
      </c>
      <c r="E5">
        <v>254</v>
      </c>
      <c r="F5">
        <v>0</v>
      </c>
      <c r="G5">
        <v>0</v>
      </c>
      <c r="J5" t="s">
        <v>18</v>
      </c>
      <c r="K5" t="s">
        <v>10</v>
      </c>
      <c r="M5">
        <f>B5/P3</f>
        <v>316.93708347757303</v>
      </c>
      <c r="N5" t="s">
        <v>54</v>
      </c>
    </row>
    <row r="6" spans="1:19" x14ac:dyDescent="0.2">
      <c r="J6" t="s">
        <v>19</v>
      </c>
      <c r="K6" t="s">
        <v>10</v>
      </c>
      <c r="M6">
        <f>B6/P3</f>
        <v>0</v>
      </c>
      <c r="N6" t="s">
        <v>54</v>
      </c>
    </row>
    <row r="7" spans="1:19" x14ac:dyDescent="0.2">
      <c r="J7" t="s">
        <v>21</v>
      </c>
      <c r="K7" t="s">
        <v>10</v>
      </c>
      <c r="M7">
        <f>B7/P3</f>
        <v>0</v>
      </c>
      <c r="N7" t="s">
        <v>54</v>
      </c>
    </row>
    <row r="8" spans="1:19" x14ac:dyDescent="0.2">
      <c r="A8">
        <v>5</v>
      </c>
      <c r="B8">
        <v>1781</v>
      </c>
      <c r="C8">
        <v>97.454999999999998</v>
      </c>
      <c r="D8">
        <v>60</v>
      </c>
      <c r="E8">
        <v>255</v>
      </c>
      <c r="F8">
        <v>0</v>
      </c>
      <c r="G8">
        <v>0</v>
      </c>
      <c r="J8" t="s">
        <v>56</v>
      </c>
      <c r="K8" t="s">
        <v>10</v>
      </c>
      <c r="M8">
        <f>B8/P3</f>
        <v>565.02997564920668</v>
      </c>
      <c r="N8" t="s">
        <v>54</v>
      </c>
    </row>
    <row r="9" spans="1:19" x14ac:dyDescent="0.2">
      <c r="J9" t="s">
        <v>57</v>
      </c>
      <c r="K9" t="s">
        <v>10</v>
      </c>
      <c r="M9">
        <f>B9/P2</f>
        <v>0</v>
      </c>
      <c r="N9" t="s">
        <v>54</v>
      </c>
    </row>
    <row r="10" spans="1:19" x14ac:dyDescent="0.2">
      <c r="J10" t="s">
        <v>58</v>
      </c>
      <c r="K10" t="s">
        <v>10</v>
      </c>
      <c r="M10">
        <f>B10/P3</f>
        <v>0</v>
      </c>
      <c r="N10" t="s">
        <v>54</v>
      </c>
    </row>
    <row r="11" spans="1:19" x14ac:dyDescent="0.2">
      <c r="J11" t="s">
        <v>59</v>
      </c>
      <c r="K11" t="s">
        <v>10</v>
      </c>
      <c r="M11">
        <f>B11/P3</f>
        <v>0</v>
      </c>
      <c r="N11" t="s">
        <v>54</v>
      </c>
    </row>
    <row r="12" spans="1:19" x14ac:dyDescent="0.2">
      <c r="J12" t="s">
        <v>26</v>
      </c>
      <c r="K12" t="s">
        <v>10</v>
      </c>
      <c r="M12">
        <f>B12/P3</f>
        <v>0</v>
      </c>
      <c r="N12" t="s">
        <v>54</v>
      </c>
    </row>
    <row r="13" spans="1:19" x14ac:dyDescent="0.2">
      <c r="J13" t="s">
        <v>27</v>
      </c>
      <c r="K13" t="s">
        <v>10</v>
      </c>
      <c r="M13">
        <f>B13/P3</f>
        <v>0</v>
      </c>
      <c r="N13" t="s">
        <v>54</v>
      </c>
    </row>
    <row r="14" spans="1:19" x14ac:dyDescent="0.2">
      <c r="J14">
        <v>1</v>
      </c>
      <c r="K14" t="s">
        <v>10</v>
      </c>
      <c r="M14">
        <f>B14/P3</f>
        <v>0</v>
      </c>
      <c r="N14" t="s">
        <v>54</v>
      </c>
    </row>
    <row r="15" spans="1:19" x14ac:dyDescent="0.2">
      <c r="J15" t="s">
        <v>28</v>
      </c>
      <c r="K15" t="s">
        <v>10</v>
      </c>
      <c r="M15">
        <f>B15/P3</f>
        <v>0</v>
      </c>
      <c r="N15" t="s">
        <v>54</v>
      </c>
    </row>
    <row r="16" spans="1:19" x14ac:dyDescent="0.2">
      <c r="J16" t="s">
        <v>29</v>
      </c>
      <c r="K16" t="s">
        <v>10</v>
      </c>
      <c r="M16">
        <f>B16/P3</f>
        <v>0</v>
      </c>
      <c r="N16" t="s">
        <v>54</v>
      </c>
    </row>
    <row r="17" spans="10:14" x14ac:dyDescent="0.2">
      <c r="J17" t="s">
        <v>30</v>
      </c>
      <c r="K17" t="s">
        <v>10</v>
      </c>
      <c r="M17">
        <f>B17/P3</f>
        <v>0</v>
      </c>
      <c r="N17" t="s">
        <v>54</v>
      </c>
    </row>
    <row r="18" spans="10:14" x14ac:dyDescent="0.2">
      <c r="J18" t="s">
        <v>31</v>
      </c>
      <c r="K18" t="s">
        <v>10</v>
      </c>
      <c r="M18">
        <f>B18/P3</f>
        <v>0</v>
      </c>
      <c r="N18" t="s">
        <v>54</v>
      </c>
    </row>
    <row r="19" spans="10:14" x14ac:dyDescent="0.2">
      <c r="J19" t="s">
        <v>32</v>
      </c>
      <c r="K19" t="s">
        <v>10</v>
      </c>
      <c r="M19">
        <f>B19/P3</f>
        <v>0</v>
      </c>
      <c r="N19" t="s">
        <v>54</v>
      </c>
    </row>
    <row r="20" spans="10:14" x14ac:dyDescent="0.2">
      <c r="J20" t="s">
        <v>60</v>
      </c>
      <c r="K20" t="s">
        <v>10</v>
      </c>
      <c r="M20">
        <f>B20/P3</f>
        <v>0</v>
      </c>
      <c r="N20" t="s">
        <v>54</v>
      </c>
    </row>
    <row r="21" spans="10:14" x14ac:dyDescent="0.2">
      <c r="J21" t="s">
        <v>61</v>
      </c>
      <c r="K21" t="s">
        <v>10</v>
      </c>
      <c r="M21">
        <f>B21/P3</f>
        <v>0</v>
      </c>
      <c r="N21" t="s">
        <v>54</v>
      </c>
    </row>
    <row r="22" spans="10:14" x14ac:dyDescent="0.2">
      <c r="J22" t="s">
        <v>62</v>
      </c>
      <c r="K22" t="s">
        <v>10</v>
      </c>
      <c r="M22">
        <f>B22/P3</f>
        <v>0</v>
      </c>
      <c r="N22" t="s">
        <v>54</v>
      </c>
    </row>
    <row r="36" spans="8:14" ht="19" x14ac:dyDescent="0.2">
      <c r="H36" s="6"/>
      <c r="I36" s="9"/>
      <c r="J36" t="s">
        <v>10</v>
      </c>
      <c r="L36" s="5">
        <f t="shared" ref="L36:L37" si="0">B36/$P$3</f>
        <v>0</v>
      </c>
      <c r="M36" s="5"/>
      <c r="N36" t="s">
        <v>13</v>
      </c>
    </row>
    <row r="37" spans="8:14" ht="19" x14ac:dyDescent="0.2">
      <c r="H37" s="6"/>
      <c r="I37" s="9" t="s">
        <v>24</v>
      </c>
      <c r="J37" t="s">
        <v>10</v>
      </c>
      <c r="L37" s="5">
        <f t="shared" si="0"/>
        <v>0</v>
      </c>
      <c r="M37" s="5"/>
      <c r="N37" t="s">
        <v>13</v>
      </c>
    </row>
    <row r="38" spans="8:14" x14ac:dyDescent="0.2">
      <c r="H38" s="6"/>
      <c r="I38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05E1-856C-4849-B2A9-AEFC7F3F9D53}">
  <dimension ref="A1:S22"/>
  <sheetViews>
    <sheetView topLeftCell="C1" workbookViewId="0">
      <selection activeCell="R1" sqref="R1:S4"/>
    </sheetView>
  </sheetViews>
  <sheetFormatPr baseColWidth="10" defaultColWidth="8.83203125" defaultRowHeight="16" x14ac:dyDescent="0.2"/>
  <cols>
    <col min="13" max="13" width="8.83203125" customWidth="1"/>
    <col min="18" max="18" width="13.1640625" customWidth="1"/>
  </cols>
  <sheetData>
    <row r="1" spans="1:19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15</v>
      </c>
      <c r="J1" t="s">
        <v>34</v>
      </c>
      <c r="K1" t="s">
        <v>11</v>
      </c>
      <c r="L1" t="s">
        <v>51</v>
      </c>
      <c r="M1" t="s">
        <v>52</v>
      </c>
      <c r="O1" t="s">
        <v>14</v>
      </c>
      <c r="R1" t="s">
        <v>36</v>
      </c>
    </row>
    <row r="2" spans="1:19" x14ac:dyDescent="0.2">
      <c r="A2">
        <v>1</v>
      </c>
      <c r="B2">
        <v>12</v>
      </c>
      <c r="C2">
        <v>44.418999999999997</v>
      </c>
      <c r="D2">
        <v>13.614000000000001</v>
      </c>
      <c r="E2">
        <v>121</v>
      </c>
      <c r="F2">
        <v>0</v>
      </c>
      <c r="G2" s="4">
        <v>10.5</v>
      </c>
      <c r="I2" t="s">
        <v>63</v>
      </c>
      <c r="J2" t="s">
        <v>35</v>
      </c>
      <c r="K2" t="s">
        <v>9</v>
      </c>
      <c r="L2" s="4">
        <v>10</v>
      </c>
      <c r="O2" t="s">
        <v>53</v>
      </c>
      <c r="P2" s="4">
        <f>G2/L2</f>
        <v>1.05</v>
      </c>
      <c r="R2" t="s">
        <v>37</v>
      </c>
      <c r="S2" s="6" t="s">
        <v>41</v>
      </c>
    </row>
    <row r="3" spans="1:19" x14ac:dyDescent="0.2">
      <c r="A3">
        <v>2</v>
      </c>
      <c r="B3">
        <v>2342</v>
      </c>
      <c r="C3">
        <v>67.863</v>
      </c>
      <c r="D3">
        <v>1</v>
      </c>
      <c r="E3">
        <v>235</v>
      </c>
      <c r="F3">
        <v>0</v>
      </c>
      <c r="G3">
        <v>0</v>
      </c>
      <c r="I3" t="s">
        <v>7</v>
      </c>
      <c r="J3" t="s">
        <v>16</v>
      </c>
      <c r="K3" t="s">
        <v>10</v>
      </c>
      <c r="M3">
        <f>B3/P3</f>
        <v>2124.2630385487528</v>
      </c>
      <c r="N3" t="s">
        <v>54</v>
      </c>
      <c r="O3" t="s">
        <v>55</v>
      </c>
      <c r="P3" s="4">
        <f>P2^2</f>
        <v>1.1025</v>
      </c>
      <c r="R3" t="s">
        <v>38</v>
      </c>
      <c r="S3" s="10" t="s">
        <v>64</v>
      </c>
    </row>
    <row r="4" spans="1:19" x14ac:dyDescent="0.2">
      <c r="I4" t="s">
        <v>8</v>
      </c>
      <c r="J4" t="s">
        <v>17</v>
      </c>
      <c r="K4" t="s">
        <v>10</v>
      </c>
      <c r="M4">
        <f>B4/P3</f>
        <v>0</v>
      </c>
      <c r="N4" t="s">
        <v>54</v>
      </c>
      <c r="R4" t="s">
        <v>39</v>
      </c>
      <c r="S4" t="s">
        <v>40</v>
      </c>
    </row>
    <row r="5" spans="1:19" x14ac:dyDescent="0.2">
      <c r="J5" t="s">
        <v>18</v>
      </c>
      <c r="K5" t="s">
        <v>10</v>
      </c>
      <c r="M5">
        <f>B5/P3</f>
        <v>0</v>
      </c>
      <c r="N5" t="s">
        <v>54</v>
      </c>
    </row>
    <row r="6" spans="1:19" x14ac:dyDescent="0.2">
      <c r="J6" t="s">
        <v>19</v>
      </c>
      <c r="K6" t="s">
        <v>10</v>
      </c>
      <c r="M6">
        <f>B6/P3</f>
        <v>0</v>
      </c>
      <c r="N6" t="s">
        <v>54</v>
      </c>
    </row>
    <row r="7" spans="1:19" x14ac:dyDescent="0.2">
      <c r="J7" t="s">
        <v>21</v>
      </c>
      <c r="K7" t="s">
        <v>10</v>
      </c>
      <c r="M7">
        <f>B7/P3</f>
        <v>0</v>
      </c>
      <c r="N7" t="s">
        <v>54</v>
      </c>
    </row>
    <row r="8" spans="1:19" x14ac:dyDescent="0.2">
      <c r="J8" t="s">
        <v>56</v>
      </c>
      <c r="K8" t="s">
        <v>10</v>
      </c>
      <c r="M8">
        <f>B8/P3</f>
        <v>0</v>
      </c>
      <c r="N8" t="s">
        <v>54</v>
      </c>
    </row>
    <row r="9" spans="1:19" x14ac:dyDescent="0.2">
      <c r="J9" t="s">
        <v>57</v>
      </c>
      <c r="K9" t="s">
        <v>10</v>
      </c>
      <c r="M9">
        <f>B9/P2</f>
        <v>0</v>
      </c>
      <c r="N9" t="s">
        <v>54</v>
      </c>
    </row>
    <row r="10" spans="1:19" x14ac:dyDescent="0.2">
      <c r="A10">
        <v>3</v>
      </c>
      <c r="B10">
        <v>154</v>
      </c>
      <c r="C10">
        <v>161.83099999999999</v>
      </c>
      <c r="D10">
        <v>22</v>
      </c>
      <c r="E10">
        <v>253</v>
      </c>
      <c r="F10">
        <v>0</v>
      </c>
      <c r="G10">
        <v>0</v>
      </c>
      <c r="J10" t="s">
        <v>58</v>
      </c>
      <c r="K10" t="s">
        <v>10</v>
      </c>
      <c r="M10">
        <f>B10/P3</f>
        <v>139.68253968253967</v>
      </c>
      <c r="N10" t="s">
        <v>54</v>
      </c>
    </row>
    <row r="11" spans="1:19" x14ac:dyDescent="0.2">
      <c r="A11">
        <v>4</v>
      </c>
      <c r="B11">
        <v>1361</v>
      </c>
      <c r="C11">
        <v>103.43600000000001</v>
      </c>
      <c r="D11">
        <v>2</v>
      </c>
      <c r="E11">
        <v>249</v>
      </c>
      <c r="F11">
        <v>0</v>
      </c>
      <c r="G11">
        <v>0</v>
      </c>
      <c r="J11" t="s">
        <v>59</v>
      </c>
      <c r="K11" t="s">
        <v>10</v>
      </c>
      <c r="M11">
        <f>B11/P3</f>
        <v>1234.4671201814058</v>
      </c>
      <c r="N11" t="s">
        <v>54</v>
      </c>
    </row>
    <row r="12" spans="1:19" x14ac:dyDescent="0.2">
      <c r="J12" t="s">
        <v>26</v>
      </c>
      <c r="K12" t="s">
        <v>10</v>
      </c>
      <c r="M12">
        <f>B12/P3</f>
        <v>0</v>
      </c>
      <c r="N12" t="s">
        <v>54</v>
      </c>
    </row>
    <row r="13" spans="1:19" x14ac:dyDescent="0.2">
      <c r="J13" t="s">
        <v>27</v>
      </c>
      <c r="K13" t="s">
        <v>10</v>
      </c>
      <c r="M13">
        <f>B13/P3</f>
        <v>0</v>
      </c>
      <c r="N13" t="s">
        <v>54</v>
      </c>
      <c r="O13" t="s">
        <v>65</v>
      </c>
    </row>
    <row r="14" spans="1:19" x14ac:dyDescent="0.2">
      <c r="J14">
        <v>1</v>
      </c>
      <c r="K14" t="s">
        <v>10</v>
      </c>
      <c r="M14">
        <f>B14/P3</f>
        <v>0</v>
      </c>
      <c r="N14" t="s">
        <v>54</v>
      </c>
    </row>
    <row r="15" spans="1:19" x14ac:dyDescent="0.2">
      <c r="J15" t="s">
        <v>28</v>
      </c>
      <c r="K15" t="s">
        <v>10</v>
      </c>
      <c r="M15">
        <f>B15/P3</f>
        <v>0</v>
      </c>
      <c r="N15" t="s">
        <v>54</v>
      </c>
    </row>
    <row r="16" spans="1:19" x14ac:dyDescent="0.2">
      <c r="J16" t="s">
        <v>29</v>
      </c>
      <c r="K16" t="s">
        <v>10</v>
      </c>
      <c r="M16">
        <f>B16/P3</f>
        <v>0</v>
      </c>
      <c r="N16" t="s">
        <v>54</v>
      </c>
    </row>
    <row r="17" spans="10:14" x14ac:dyDescent="0.2">
      <c r="J17" t="s">
        <v>30</v>
      </c>
      <c r="K17" t="s">
        <v>10</v>
      </c>
      <c r="M17">
        <f>B17/P3</f>
        <v>0</v>
      </c>
      <c r="N17" t="s">
        <v>54</v>
      </c>
    </row>
    <row r="18" spans="10:14" x14ac:dyDescent="0.2">
      <c r="J18" t="s">
        <v>31</v>
      </c>
      <c r="K18" t="s">
        <v>10</v>
      </c>
      <c r="M18">
        <f>B18/P3</f>
        <v>0</v>
      </c>
      <c r="N18" t="s">
        <v>54</v>
      </c>
    </row>
    <row r="19" spans="10:14" x14ac:dyDescent="0.2">
      <c r="J19" t="s">
        <v>32</v>
      </c>
      <c r="K19" t="s">
        <v>10</v>
      </c>
      <c r="M19">
        <f>B19/P3</f>
        <v>0</v>
      </c>
      <c r="N19" t="s">
        <v>54</v>
      </c>
    </row>
    <row r="20" spans="10:14" x14ac:dyDescent="0.2">
      <c r="J20" t="s">
        <v>60</v>
      </c>
      <c r="K20" t="s">
        <v>10</v>
      </c>
      <c r="M20">
        <f>B20/P3</f>
        <v>0</v>
      </c>
      <c r="N20" t="s">
        <v>54</v>
      </c>
    </row>
    <row r="21" spans="10:14" x14ac:dyDescent="0.2">
      <c r="J21" t="s">
        <v>61</v>
      </c>
      <c r="K21" t="s">
        <v>10</v>
      </c>
      <c r="M21">
        <f>B21/P3</f>
        <v>0</v>
      </c>
      <c r="N21" t="s">
        <v>54</v>
      </c>
    </row>
    <row r="22" spans="10:14" x14ac:dyDescent="0.2">
      <c r="J22" t="s">
        <v>62</v>
      </c>
      <c r="K22" t="s">
        <v>10</v>
      </c>
      <c r="M22">
        <f>B22/P3</f>
        <v>0</v>
      </c>
      <c r="N2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53ADFD-DE30-4C1C-9625-BDEF53DBA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D3D4C1-0B7A-4711-8392-9FCAAA9BDF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Pitzalis, S., Fattori, P., &amp; Ga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2020-10-27T18:04:52Z</dcterms:created>
  <dcterms:modified xsi:type="dcterms:W3CDTF">2024-03-01T01:51:29Z</dcterms:modified>
</cp:coreProperties>
</file>