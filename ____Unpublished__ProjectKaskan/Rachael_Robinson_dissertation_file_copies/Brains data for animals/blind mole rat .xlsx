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-M1-Trait-Data/_ProjectKaskan__Unpublished/Rachael_Robinson_dissertation_file_copies/Brains data for animals/"/>
    </mc:Choice>
  </mc:AlternateContent>
  <xr:revisionPtr revIDLastSave="1" documentId="13_ncr:1_{B519AD28-ED4C-4DF1-884C-9B98AD02CAA8}" xr6:coauthVersionLast="47" xr6:coauthVersionMax="47" xr10:uidLastSave="{0B7D9688-A6CD-3349-8BC3-87A5534221BA}"/>
  <bookViews>
    <workbookView xWindow="72340" yWindow="-3560" windowWidth="25560" windowHeight="15900" xr2:uid="{6D1477F4-83B1-47A4-9A26-3C2A3DBD56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" l="1"/>
  <c r="O3" i="1" s="1"/>
  <c r="L22" i="1" l="1"/>
  <c r="L14" i="1"/>
  <c r="L6" i="1"/>
  <c r="L17" i="1"/>
  <c r="L21" i="1"/>
  <c r="L13" i="1"/>
  <c r="L5" i="1"/>
  <c r="L8" i="1"/>
  <c r="L7" i="1"/>
  <c r="L20" i="1"/>
  <c r="L12" i="1"/>
  <c r="L4" i="1"/>
  <c r="L11" i="1"/>
  <c r="L16" i="1"/>
  <c r="L15" i="1"/>
  <c r="L19" i="1"/>
  <c r="L18" i="1"/>
  <c r="L10" i="1"/>
  <c r="L3" i="1"/>
  <c r="L9" i="1"/>
</calcChain>
</file>

<file path=xl/sharedStrings.xml><?xml version="1.0" encoding="utf-8"?>
<sst xmlns="http://schemas.openxmlformats.org/spreadsheetml/2006/main" count="87" uniqueCount="51">
  <si>
    <t xml:space="preserve"> </t>
  </si>
  <si>
    <t>Area</t>
  </si>
  <si>
    <t>Mean</t>
  </si>
  <si>
    <t>Min</t>
  </si>
  <si>
    <t>Max</t>
  </si>
  <si>
    <t>Angle</t>
  </si>
  <si>
    <t>Length</t>
  </si>
  <si>
    <t>REGION MEASURED</t>
  </si>
  <si>
    <t>REGION (Kaskan 2005)</t>
  </si>
  <si>
    <t>ORIGINAL UNITS</t>
  </si>
  <si>
    <t>SCALE (in mm)</t>
  </si>
  <si>
    <r>
      <t>AREA CONVERTED To mm</t>
    </r>
    <r>
      <rPr>
        <vertAlign val="superscript"/>
        <sz val="12"/>
        <color theme="1"/>
        <rFont val="Calibri (Body)"/>
      </rPr>
      <t>2</t>
    </r>
  </si>
  <si>
    <t>Scale conversion</t>
  </si>
  <si>
    <t>Information about brain</t>
  </si>
  <si>
    <t>1mm scale length</t>
  </si>
  <si>
    <t>Figure scale length</t>
  </si>
  <si>
    <t>pixels across</t>
  </si>
  <si>
    <t>Pixels across 1mm</t>
  </si>
  <si>
    <t>species:</t>
  </si>
  <si>
    <t>area 17</t>
  </si>
  <si>
    <t>VI</t>
  </si>
  <si>
    <t>pixels</t>
  </si>
  <si>
    <r>
      <t>mm</t>
    </r>
    <r>
      <rPr>
        <vertAlign val="superscript"/>
        <sz val="12"/>
        <color theme="1"/>
        <rFont val="Calibri (Body)"/>
      </rPr>
      <t>2</t>
    </r>
  </si>
  <si>
    <r>
      <t>Pixels in 1mm</t>
    </r>
    <r>
      <rPr>
        <vertAlign val="superscript"/>
        <sz val="12"/>
        <color theme="1"/>
        <rFont val="Calibri (Body)"/>
      </rPr>
      <t>2</t>
    </r>
  </si>
  <si>
    <t>publication:</t>
  </si>
  <si>
    <t>area 18</t>
  </si>
  <si>
    <t>VII</t>
  </si>
  <si>
    <t>Figure:</t>
  </si>
  <si>
    <t>88-5</t>
  </si>
  <si>
    <t>MT</t>
  </si>
  <si>
    <t>DM</t>
  </si>
  <si>
    <r>
      <t>mm</t>
    </r>
    <r>
      <rPr>
        <vertAlign val="superscript"/>
        <sz val="12"/>
        <color theme="1"/>
        <rFont val="Calibri (Body)"/>
      </rPr>
      <t>2</t>
    </r>
    <r>
      <rPr>
        <sz val="11"/>
        <color theme="1"/>
        <rFont val="Calibri"/>
        <family val="2"/>
        <scheme val="minor"/>
      </rPr>
      <t/>
    </r>
  </si>
  <si>
    <t>MST</t>
  </si>
  <si>
    <t>FST</t>
  </si>
  <si>
    <t>VPp</t>
  </si>
  <si>
    <t>AI</t>
  </si>
  <si>
    <t>3b/S1</t>
  </si>
  <si>
    <t>SII</t>
  </si>
  <si>
    <t>3a</t>
  </si>
  <si>
    <t>PV</t>
  </si>
  <si>
    <t>M1</t>
  </si>
  <si>
    <t>FEF</t>
  </si>
  <si>
    <t>FV</t>
  </si>
  <si>
    <t>SMA</t>
  </si>
  <si>
    <t>FR</t>
  </si>
  <si>
    <t>DL</t>
  </si>
  <si>
    <t>mm2</t>
  </si>
  <si>
    <t>Nannospalax galili</t>
  </si>
  <si>
    <t xml:space="preserve">blind mole rat </t>
  </si>
  <si>
    <t>V1, A1, 3b/S1</t>
  </si>
  <si>
    <t>Krubitzer and Prescott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</si>
</sst>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rgb="FF7030A0"/>
      <name val="Calibri"/>
      <family val="2"/>
      <scheme val="minor"/>
    </font>
    <font>
      <vertAlign val="superscript"/>
      <sz val="12"/>
      <color theme="1"/>
      <name val="Calibri (Body)"/>
    </font>
    <font>
      <i/>
      <sz val="12"/>
      <color theme="1"/>
      <name val="Calibri"/>
      <family val="2"/>
      <scheme val="minor"/>
    </font>
    <font>
      <i/>
      <sz val="12"/>
      <color rgb="FF7030A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0" fillId="2" borderId="0" xfId="0" applyFill="1"/>
    <xf numFmtId="0" fontId="5" fillId="0" borderId="0" xfId="0" applyFont="1"/>
    <xf numFmtId="0" fontId="4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D8AE1-83F9-4EB3-ADEC-DA505152B3D9}">
  <dimension ref="A1:S22"/>
  <sheetViews>
    <sheetView tabSelected="1" workbookViewId="0">
      <selection activeCell="L1" sqref="L1:L1048576"/>
    </sheetView>
  </sheetViews>
  <sheetFormatPr baseColWidth="10" defaultColWidth="8.83203125" defaultRowHeight="15" x14ac:dyDescent="0.2"/>
  <sheetData>
    <row r="1" spans="1:19" ht="19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t="s">
        <v>7</v>
      </c>
      <c r="I1" s="4" t="s">
        <v>8</v>
      </c>
      <c r="J1" t="s">
        <v>9</v>
      </c>
      <c r="K1" t="s">
        <v>10</v>
      </c>
      <c r="L1" t="s">
        <v>11</v>
      </c>
      <c r="N1" t="s">
        <v>12</v>
      </c>
      <c r="Q1" t="s">
        <v>13</v>
      </c>
    </row>
    <row r="2" spans="1:19" ht="16" x14ac:dyDescent="0.2">
      <c r="A2">
        <v>1</v>
      </c>
      <c r="B2">
        <v>26</v>
      </c>
      <c r="C2">
        <v>21.183</v>
      </c>
      <c r="D2">
        <v>0</v>
      </c>
      <c r="E2">
        <v>253</v>
      </c>
      <c r="F2">
        <v>2.2909999999999999</v>
      </c>
      <c r="G2">
        <v>25.02</v>
      </c>
      <c r="H2" s="5" t="s">
        <v>14</v>
      </c>
      <c r="I2" s="6" t="s">
        <v>15</v>
      </c>
      <c r="J2" t="s">
        <v>16</v>
      </c>
      <c r="K2" s="7">
        <v>1</v>
      </c>
      <c r="N2" t="s">
        <v>17</v>
      </c>
      <c r="O2" s="8">
        <f>G2/K2</f>
        <v>25.02</v>
      </c>
      <c r="Q2" t="s">
        <v>18</v>
      </c>
      <c r="R2" s="10" t="s">
        <v>47</v>
      </c>
      <c r="S2" s="11" t="s">
        <v>48</v>
      </c>
    </row>
    <row r="3" spans="1:19" ht="19" x14ac:dyDescent="0.2">
      <c r="A3">
        <v>2</v>
      </c>
      <c r="B3">
        <v>2314</v>
      </c>
      <c r="C3">
        <v>131.21700000000001</v>
      </c>
      <c r="D3">
        <v>24</v>
      </c>
      <c r="E3">
        <v>153</v>
      </c>
      <c r="F3">
        <v>0</v>
      </c>
      <c r="G3">
        <v>0</v>
      </c>
      <c r="H3" s="5" t="s">
        <v>19</v>
      </c>
      <c r="I3" s="9" t="s">
        <v>20</v>
      </c>
      <c r="J3" t="s">
        <v>21</v>
      </c>
      <c r="L3" s="8">
        <f t="shared" ref="L3:L22" si="0">B3/$O$3</f>
        <v>3.6964832610330598</v>
      </c>
      <c r="M3" t="s">
        <v>22</v>
      </c>
      <c r="N3" t="s">
        <v>23</v>
      </c>
      <c r="O3" s="8">
        <f>O2^2</f>
        <v>626.00040000000001</v>
      </c>
      <c r="Q3" t="s">
        <v>24</v>
      </c>
      <c r="R3" t="s">
        <v>50</v>
      </c>
    </row>
    <row r="4" spans="1:19" ht="19" x14ac:dyDescent="0.2">
      <c r="H4" s="5" t="s">
        <v>25</v>
      </c>
      <c r="I4" s="9" t="s">
        <v>26</v>
      </c>
      <c r="J4" t="s">
        <v>21</v>
      </c>
      <c r="L4" s="8">
        <f t="shared" si="0"/>
        <v>0</v>
      </c>
      <c r="M4" t="s">
        <v>22</v>
      </c>
      <c r="Q4" t="s">
        <v>27</v>
      </c>
      <c r="R4" t="s">
        <v>28</v>
      </c>
    </row>
    <row r="5" spans="1:19" ht="19" x14ac:dyDescent="0.2">
      <c r="H5" s="5"/>
      <c r="I5" s="9" t="s">
        <v>29</v>
      </c>
      <c r="J5" t="s">
        <v>21</v>
      </c>
      <c r="L5" s="8">
        <f t="shared" si="0"/>
        <v>0</v>
      </c>
      <c r="M5" t="s">
        <v>22</v>
      </c>
    </row>
    <row r="6" spans="1:19" ht="19" x14ac:dyDescent="0.2">
      <c r="H6" s="5"/>
      <c r="I6" s="9" t="s">
        <v>30</v>
      </c>
      <c r="J6" t="s">
        <v>21</v>
      </c>
      <c r="L6" s="8">
        <f t="shared" si="0"/>
        <v>0</v>
      </c>
      <c r="M6" t="s">
        <v>31</v>
      </c>
    </row>
    <row r="7" spans="1:19" ht="19" x14ac:dyDescent="0.2">
      <c r="H7" s="5"/>
      <c r="I7" s="9" t="s">
        <v>32</v>
      </c>
      <c r="J7" t="s">
        <v>21</v>
      </c>
      <c r="L7" s="8">
        <f t="shared" si="0"/>
        <v>0</v>
      </c>
      <c r="M7" t="s">
        <v>31</v>
      </c>
    </row>
    <row r="8" spans="1:19" ht="19" x14ac:dyDescent="0.2">
      <c r="H8" s="5"/>
      <c r="I8" s="9" t="s">
        <v>33</v>
      </c>
      <c r="J8" t="s">
        <v>21</v>
      </c>
      <c r="L8" s="8">
        <f t="shared" si="0"/>
        <v>0</v>
      </c>
      <c r="M8" t="s">
        <v>31</v>
      </c>
    </row>
    <row r="9" spans="1:19" ht="19" x14ac:dyDescent="0.2">
      <c r="H9" s="5"/>
      <c r="I9" s="9" t="s">
        <v>34</v>
      </c>
      <c r="J9" t="s">
        <v>21</v>
      </c>
      <c r="L9" s="8">
        <f t="shared" si="0"/>
        <v>0</v>
      </c>
      <c r="M9" t="s">
        <v>31</v>
      </c>
      <c r="N9" t="s">
        <v>49</v>
      </c>
    </row>
    <row r="10" spans="1:19" ht="19" x14ac:dyDescent="0.2">
      <c r="A10">
        <v>3</v>
      </c>
      <c r="B10">
        <v>1464</v>
      </c>
      <c r="C10">
        <v>125.794</v>
      </c>
      <c r="D10">
        <v>1</v>
      </c>
      <c r="E10">
        <v>164</v>
      </c>
      <c r="F10">
        <v>0</v>
      </c>
      <c r="G10">
        <v>0</v>
      </c>
      <c r="H10" s="5"/>
      <c r="I10" s="9" t="s">
        <v>35</v>
      </c>
      <c r="J10" t="s">
        <v>21</v>
      </c>
      <c r="L10" s="8">
        <f t="shared" si="0"/>
        <v>2.3386566526155574</v>
      </c>
      <c r="M10" t="s">
        <v>31</v>
      </c>
    </row>
    <row r="11" spans="1:19" ht="19" x14ac:dyDescent="0.2">
      <c r="A11">
        <v>4</v>
      </c>
      <c r="B11">
        <v>13152</v>
      </c>
      <c r="C11">
        <v>126.41500000000001</v>
      </c>
      <c r="D11">
        <v>5</v>
      </c>
      <c r="E11">
        <v>255</v>
      </c>
      <c r="F11">
        <v>0</v>
      </c>
      <c r="G11">
        <v>0</v>
      </c>
      <c r="H11" s="5"/>
      <c r="I11" s="9" t="s">
        <v>36</v>
      </c>
      <c r="J11" t="s">
        <v>21</v>
      </c>
      <c r="L11" s="8">
        <f t="shared" si="0"/>
        <v>21.00957123989058</v>
      </c>
      <c r="M11" t="s">
        <v>31</v>
      </c>
    </row>
    <row r="12" spans="1:19" ht="19" x14ac:dyDescent="0.2">
      <c r="H12" s="5"/>
      <c r="I12" s="9" t="s">
        <v>37</v>
      </c>
      <c r="J12" t="s">
        <v>21</v>
      </c>
      <c r="L12" s="8">
        <f t="shared" si="0"/>
        <v>0</v>
      </c>
      <c r="M12" t="s">
        <v>31</v>
      </c>
    </row>
    <row r="13" spans="1:19" ht="19" x14ac:dyDescent="0.2">
      <c r="H13" s="5"/>
      <c r="I13" s="9" t="s">
        <v>38</v>
      </c>
      <c r="J13" t="s">
        <v>21</v>
      </c>
      <c r="L13" s="8">
        <f t="shared" si="0"/>
        <v>0</v>
      </c>
      <c r="M13" t="s">
        <v>31</v>
      </c>
    </row>
    <row r="14" spans="1:19" ht="19" x14ac:dyDescent="0.2">
      <c r="H14" s="5"/>
      <c r="I14" s="9">
        <v>1</v>
      </c>
      <c r="J14" t="s">
        <v>21</v>
      </c>
      <c r="L14" s="8">
        <f t="shared" si="0"/>
        <v>0</v>
      </c>
      <c r="M14" t="s">
        <v>31</v>
      </c>
    </row>
    <row r="15" spans="1:19" ht="19" x14ac:dyDescent="0.2">
      <c r="H15" s="5"/>
      <c r="I15" s="9">
        <v>2</v>
      </c>
      <c r="J15" t="s">
        <v>21</v>
      </c>
      <c r="L15" s="8">
        <f t="shared" si="0"/>
        <v>0</v>
      </c>
      <c r="M15" t="s">
        <v>31</v>
      </c>
    </row>
    <row r="16" spans="1:19" ht="19" x14ac:dyDescent="0.2">
      <c r="H16" s="5"/>
      <c r="I16" s="9" t="s">
        <v>39</v>
      </c>
      <c r="J16" t="s">
        <v>21</v>
      </c>
      <c r="L16" s="8">
        <f t="shared" si="0"/>
        <v>0</v>
      </c>
      <c r="M16" t="s">
        <v>31</v>
      </c>
    </row>
    <row r="17" spans="8:13" ht="19" x14ac:dyDescent="0.2">
      <c r="H17" s="5"/>
      <c r="I17" s="9" t="s">
        <v>40</v>
      </c>
      <c r="J17" t="s">
        <v>21</v>
      </c>
      <c r="L17" s="8">
        <f t="shared" si="0"/>
        <v>0</v>
      </c>
      <c r="M17" t="s">
        <v>31</v>
      </c>
    </row>
    <row r="18" spans="8:13" ht="19" x14ac:dyDescent="0.2">
      <c r="H18" s="5"/>
      <c r="I18" s="9" t="s">
        <v>41</v>
      </c>
      <c r="J18" t="s">
        <v>21</v>
      </c>
      <c r="L18" s="8">
        <f t="shared" si="0"/>
        <v>0</v>
      </c>
      <c r="M18" t="s">
        <v>31</v>
      </c>
    </row>
    <row r="19" spans="8:13" ht="19" x14ac:dyDescent="0.2">
      <c r="H19" s="5"/>
      <c r="I19" s="9" t="s">
        <v>42</v>
      </c>
      <c r="J19" t="s">
        <v>21</v>
      </c>
      <c r="L19" s="8">
        <f t="shared" si="0"/>
        <v>0</v>
      </c>
      <c r="M19" t="s">
        <v>31</v>
      </c>
    </row>
    <row r="20" spans="8:13" ht="19" x14ac:dyDescent="0.2">
      <c r="H20" s="5"/>
      <c r="I20" s="9" t="s">
        <v>43</v>
      </c>
      <c r="J20" t="s">
        <v>21</v>
      </c>
      <c r="L20" s="8">
        <f t="shared" si="0"/>
        <v>0</v>
      </c>
      <c r="M20" t="s">
        <v>31</v>
      </c>
    </row>
    <row r="21" spans="8:13" ht="19" x14ac:dyDescent="0.2">
      <c r="H21" s="5"/>
      <c r="I21" s="9" t="s">
        <v>44</v>
      </c>
      <c r="J21" t="s">
        <v>21</v>
      </c>
      <c r="L21" s="8">
        <f t="shared" si="0"/>
        <v>0</v>
      </c>
      <c r="M21" t="s">
        <v>22</v>
      </c>
    </row>
    <row r="22" spans="8:13" ht="16" x14ac:dyDescent="0.2">
      <c r="I22" s="9" t="s">
        <v>45</v>
      </c>
      <c r="J22" t="s">
        <v>21</v>
      </c>
      <c r="L22" s="8">
        <f t="shared" si="0"/>
        <v>0</v>
      </c>
      <c r="M22" t="s">
        <v>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6" ma:contentTypeDescription="Create a new document." ma:contentTypeScope="" ma:versionID="66af2654134d243f62aac8e2b322f1d6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bc3adf68671d86faa9c37249f40034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6C1A30-1D8A-4606-B9CE-8898D830D2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DA15090-D56A-462C-9BC4-E3184A2BEF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1efd23-f4ba-42d2-85fd-6a510437bae6"/>
    <ds:schemaRef ds:uri="3bad6c6a-329d-45e9-b8b0-1ebecc8a87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Rachael</dc:creator>
  <cp:lastModifiedBy>Alexandra de Sousa</cp:lastModifiedBy>
  <dcterms:created xsi:type="dcterms:W3CDTF">2021-03-12T11:58:56Z</dcterms:created>
  <dcterms:modified xsi:type="dcterms:W3CDTF">2024-03-01T00:33:35Z</dcterms:modified>
</cp:coreProperties>
</file>