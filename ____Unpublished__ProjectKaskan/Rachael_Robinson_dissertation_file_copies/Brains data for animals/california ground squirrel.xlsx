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eninstitute.sharepoint.com/sites/MammalianM1/Shared Documents/General/Species/Evo-M1-Trait-Data/_ProjectKaskan__Unpublished/Rachael_Robinson_dissertation_file_copies/Brains data for animals/"/>
    </mc:Choice>
  </mc:AlternateContent>
  <xr:revisionPtr revIDLastSave="5" documentId="13_ncr:1_{6C910CEF-9058-40FD-B0B7-57242B931A15}" xr6:coauthVersionLast="47" xr6:coauthVersionMax="47" xr10:uidLastSave="{995F5C65-6B39-6349-B32B-79EBC0D38D2F}"/>
  <bookViews>
    <workbookView xWindow="82000" yWindow="-2600" windowWidth="18660" windowHeight="10420" xr2:uid="{DF509882-127E-4C47-8D16-EB2ED3AC31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" i="1" l="1"/>
  <c r="P3" i="1" s="1"/>
  <c r="M14" i="1" l="1"/>
  <c r="M6" i="1"/>
  <c r="M21" i="1"/>
  <c r="M13" i="1"/>
  <c r="M5" i="1"/>
  <c r="M20" i="1"/>
  <c r="M12" i="1"/>
  <c r="M4" i="1"/>
  <c r="M19" i="1"/>
  <c r="M11" i="1"/>
  <c r="M18" i="1"/>
  <c r="M10" i="1"/>
  <c r="M3" i="1"/>
  <c r="M17" i="1"/>
  <c r="M16" i="1"/>
  <c r="M8" i="1"/>
  <c r="M15" i="1"/>
  <c r="M7" i="1"/>
  <c r="M9" i="1"/>
</calcChain>
</file>

<file path=xl/sharedStrings.xml><?xml version="1.0" encoding="utf-8"?>
<sst xmlns="http://schemas.openxmlformats.org/spreadsheetml/2006/main" count="83" uniqueCount="49">
  <si>
    <t>96-81</t>
  </si>
  <si>
    <t>Area</t>
  </si>
  <si>
    <t>Mean</t>
  </si>
  <si>
    <t>Min</t>
  </si>
  <si>
    <t>Max</t>
  </si>
  <si>
    <t>Angle</t>
  </si>
  <si>
    <t>Length</t>
  </si>
  <si>
    <t>REGION MEASURED</t>
  </si>
  <si>
    <t>REGION (Kaskan 2005)</t>
  </si>
  <si>
    <t>ORIGINAL UNITS</t>
  </si>
  <si>
    <t>SCALE (in mm)</t>
  </si>
  <si>
    <t>AREA CONVERTED TO (mm2)</t>
  </si>
  <si>
    <t>Scale conversion</t>
  </si>
  <si>
    <t>Information about brain</t>
  </si>
  <si>
    <t>Figure scale length</t>
  </si>
  <si>
    <t>pixels across</t>
  </si>
  <si>
    <t>Pixels across 1mm</t>
  </si>
  <si>
    <t>species:</t>
  </si>
  <si>
    <t>area 17</t>
  </si>
  <si>
    <t>VI</t>
  </si>
  <si>
    <t>pixels</t>
  </si>
  <si>
    <t>mm2</t>
  </si>
  <si>
    <t>Pixels in 1mm2</t>
  </si>
  <si>
    <t>publication:</t>
  </si>
  <si>
    <t>Lyon et al. (1998</t>
  </si>
  <si>
    <t>area 18</t>
  </si>
  <si>
    <t>VII</t>
  </si>
  <si>
    <t>Figure:</t>
  </si>
  <si>
    <t>MT</t>
  </si>
  <si>
    <t>DM</t>
  </si>
  <si>
    <t>FST</t>
  </si>
  <si>
    <t>VP</t>
  </si>
  <si>
    <t>R</t>
  </si>
  <si>
    <t>A1</t>
  </si>
  <si>
    <t>SII</t>
  </si>
  <si>
    <t>3a</t>
  </si>
  <si>
    <t>PV</t>
  </si>
  <si>
    <t>M1</t>
  </si>
  <si>
    <t>FEF</t>
  </si>
  <si>
    <t>FV</t>
  </si>
  <si>
    <t>SMA</t>
  </si>
  <si>
    <t>mst</t>
  </si>
  <si>
    <t>mm3</t>
  </si>
  <si>
    <t>mef</t>
  </si>
  <si>
    <t>mm4</t>
  </si>
  <si>
    <t>Clifornia ground sqirrel</t>
  </si>
  <si>
    <t>2mm  scale length</t>
  </si>
  <si>
    <t>3b =S1</t>
  </si>
  <si>
    <t>V1,V2, R, SII, 3b/S1, PV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</si>
</sst>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4D31D-8BF4-4549-83B5-7463F04944B9}">
  <dimension ref="A1:R21"/>
  <sheetViews>
    <sheetView tabSelected="1" workbookViewId="0">
      <selection activeCell="M1" sqref="M1"/>
    </sheetView>
  </sheetViews>
  <sheetFormatPr baseColWidth="10" defaultColWidth="8.83203125" defaultRowHeight="15" x14ac:dyDescent="0.2"/>
  <sheetData>
    <row r="1" spans="1:18" x14ac:dyDescent="0.2"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O1" t="s">
        <v>12</v>
      </c>
      <c r="Q1" t="s">
        <v>13</v>
      </c>
    </row>
    <row r="2" spans="1:18" x14ac:dyDescent="0.2">
      <c r="A2">
        <v>1</v>
      </c>
      <c r="B2">
        <v>109</v>
      </c>
      <c r="C2">
        <v>68.430000000000007</v>
      </c>
      <c r="D2">
        <v>0</v>
      </c>
      <c r="E2">
        <v>255</v>
      </c>
      <c r="F2">
        <v>1.0509999999999999</v>
      </c>
      <c r="G2" s="1">
        <v>108.333</v>
      </c>
      <c r="I2" t="s">
        <v>46</v>
      </c>
      <c r="J2" t="s">
        <v>14</v>
      </c>
      <c r="K2" t="s">
        <v>15</v>
      </c>
      <c r="L2" s="1">
        <v>2</v>
      </c>
      <c r="O2" t="s">
        <v>16</v>
      </c>
      <c r="P2" s="1">
        <f>G2/L2</f>
        <v>54.166499999999999</v>
      </c>
      <c r="Q2" t="s">
        <v>17</v>
      </c>
      <c r="R2" t="s">
        <v>45</v>
      </c>
    </row>
    <row r="3" spans="1:18" x14ac:dyDescent="0.2">
      <c r="A3">
        <v>2</v>
      </c>
      <c r="B3">
        <v>47786</v>
      </c>
      <c r="C3">
        <v>240.74</v>
      </c>
      <c r="D3">
        <v>0</v>
      </c>
      <c r="E3">
        <v>255</v>
      </c>
      <c r="F3">
        <v>0</v>
      </c>
      <c r="G3">
        <v>0</v>
      </c>
      <c r="I3" t="s">
        <v>18</v>
      </c>
      <c r="J3" t="s">
        <v>19</v>
      </c>
      <c r="K3" t="s">
        <v>20</v>
      </c>
      <c r="M3">
        <f>B3/P3</f>
        <v>16.286926262587304</v>
      </c>
      <c r="N3" t="s">
        <v>21</v>
      </c>
      <c r="O3" t="s">
        <v>22</v>
      </c>
      <c r="P3" s="1">
        <f>P2^2</f>
        <v>2934.0097222499999</v>
      </c>
      <c r="Q3" t="s">
        <v>23</v>
      </c>
      <c r="R3" t="s">
        <v>24</v>
      </c>
    </row>
    <row r="4" spans="1:18" x14ac:dyDescent="0.2">
      <c r="A4">
        <v>3</v>
      </c>
      <c r="B4">
        <v>14988</v>
      </c>
      <c r="C4">
        <v>218.64699999999999</v>
      </c>
      <c r="D4">
        <v>0</v>
      </c>
      <c r="E4">
        <v>255</v>
      </c>
      <c r="F4">
        <v>0</v>
      </c>
      <c r="G4">
        <v>0</v>
      </c>
      <c r="I4" t="s">
        <v>25</v>
      </c>
      <c r="J4" t="s">
        <v>26</v>
      </c>
      <c r="K4" t="s">
        <v>20</v>
      </c>
      <c r="M4">
        <f>B4/P3</f>
        <v>5.1083675307340748</v>
      </c>
      <c r="N4" t="s">
        <v>21</v>
      </c>
      <c r="Q4" t="s">
        <v>27</v>
      </c>
      <c r="R4" t="s">
        <v>0</v>
      </c>
    </row>
    <row r="5" spans="1:18" x14ac:dyDescent="0.2">
      <c r="J5" t="s">
        <v>28</v>
      </c>
      <c r="K5" t="s">
        <v>20</v>
      </c>
      <c r="M5">
        <f>B5/P3</f>
        <v>0</v>
      </c>
      <c r="N5" t="s">
        <v>21</v>
      </c>
    </row>
    <row r="6" spans="1:18" x14ac:dyDescent="0.2">
      <c r="J6" t="s">
        <v>29</v>
      </c>
      <c r="K6" t="s">
        <v>20</v>
      </c>
      <c r="M6">
        <f>B6/P3</f>
        <v>0</v>
      </c>
      <c r="N6" t="s">
        <v>21</v>
      </c>
    </row>
    <row r="7" spans="1:18" x14ac:dyDescent="0.2">
      <c r="J7" t="s">
        <v>30</v>
      </c>
      <c r="K7" t="s">
        <v>20</v>
      </c>
      <c r="M7">
        <f>B7/P3</f>
        <v>0</v>
      </c>
      <c r="N7" t="s">
        <v>21</v>
      </c>
    </row>
    <row r="8" spans="1:18" x14ac:dyDescent="0.2">
      <c r="J8" t="s">
        <v>31</v>
      </c>
      <c r="K8" t="s">
        <v>20</v>
      </c>
      <c r="M8">
        <f>B8/P3</f>
        <v>0</v>
      </c>
      <c r="N8" t="s">
        <v>21</v>
      </c>
      <c r="O8" t="s">
        <v>48</v>
      </c>
    </row>
    <row r="9" spans="1:18" x14ac:dyDescent="0.2">
      <c r="A9">
        <v>4</v>
      </c>
      <c r="B9">
        <v>11282</v>
      </c>
      <c r="C9">
        <v>216.29</v>
      </c>
      <c r="D9">
        <v>0</v>
      </c>
      <c r="E9">
        <v>255</v>
      </c>
      <c r="F9">
        <v>0</v>
      </c>
      <c r="G9">
        <v>0</v>
      </c>
      <c r="J9" t="s">
        <v>32</v>
      </c>
      <c r="K9" t="s">
        <v>20</v>
      </c>
      <c r="M9">
        <f>B9/P2</f>
        <v>208.28371779605476</v>
      </c>
      <c r="N9" t="s">
        <v>21</v>
      </c>
    </row>
    <row r="10" spans="1:18" x14ac:dyDescent="0.2">
      <c r="J10" t="s">
        <v>33</v>
      </c>
      <c r="K10" t="s">
        <v>20</v>
      </c>
      <c r="M10">
        <f>B10/P3</f>
        <v>0</v>
      </c>
      <c r="N10" t="s">
        <v>21</v>
      </c>
    </row>
    <row r="11" spans="1:18" x14ac:dyDescent="0.2">
      <c r="A11">
        <v>5</v>
      </c>
      <c r="B11">
        <v>64700</v>
      </c>
      <c r="C11">
        <v>239.85300000000001</v>
      </c>
      <c r="D11">
        <v>0</v>
      </c>
      <c r="E11">
        <v>255</v>
      </c>
      <c r="F11">
        <v>0</v>
      </c>
      <c r="G11">
        <v>0</v>
      </c>
      <c r="J11" t="s">
        <v>47</v>
      </c>
      <c r="K11" t="s">
        <v>20</v>
      </c>
      <c r="M11">
        <f>B11/P3</f>
        <v>22.051733335901698</v>
      </c>
      <c r="N11" t="s">
        <v>21</v>
      </c>
    </row>
    <row r="12" spans="1:18" x14ac:dyDescent="0.2">
      <c r="A12">
        <v>6</v>
      </c>
      <c r="B12">
        <v>6307</v>
      </c>
      <c r="C12">
        <v>214.91200000000001</v>
      </c>
      <c r="D12">
        <v>0</v>
      </c>
      <c r="E12">
        <v>255</v>
      </c>
      <c r="F12">
        <v>0</v>
      </c>
      <c r="G12">
        <v>0</v>
      </c>
      <c r="J12" t="s">
        <v>34</v>
      </c>
      <c r="K12" t="s">
        <v>20</v>
      </c>
      <c r="M12">
        <f>B12/P3</f>
        <v>2.1496179621256877</v>
      </c>
      <c r="N12" t="s">
        <v>21</v>
      </c>
    </row>
    <row r="13" spans="1:18" x14ac:dyDescent="0.2">
      <c r="J13" t="s">
        <v>35</v>
      </c>
      <c r="K13" t="s">
        <v>20</v>
      </c>
      <c r="M13">
        <f>B13/P3</f>
        <v>0</v>
      </c>
      <c r="N13" t="s">
        <v>21</v>
      </c>
    </row>
    <row r="14" spans="1:18" x14ac:dyDescent="0.2">
      <c r="J14">
        <v>1</v>
      </c>
      <c r="K14" t="s">
        <v>20</v>
      </c>
      <c r="M14">
        <f>B14/P3</f>
        <v>0</v>
      </c>
      <c r="N14" t="s">
        <v>21</v>
      </c>
    </row>
    <row r="15" spans="1:18" x14ac:dyDescent="0.2">
      <c r="A15">
        <v>7</v>
      </c>
      <c r="B15">
        <v>5853</v>
      </c>
      <c r="C15">
        <v>207.41399999999999</v>
      </c>
      <c r="D15">
        <v>0</v>
      </c>
      <c r="E15">
        <v>255</v>
      </c>
      <c r="F15">
        <v>0</v>
      </c>
      <c r="G15">
        <v>0</v>
      </c>
      <c r="J15" t="s">
        <v>36</v>
      </c>
      <c r="K15" t="s">
        <v>20</v>
      </c>
      <c r="M15">
        <f>B15/P3</f>
        <v>1.9948809152246156</v>
      </c>
      <c r="N15" t="s">
        <v>21</v>
      </c>
    </row>
    <row r="16" spans="1:18" x14ac:dyDescent="0.2">
      <c r="J16" t="s">
        <v>37</v>
      </c>
      <c r="K16" t="s">
        <v>20</v>
      </c>
      <c r="M16">
        <f>B16/P3</f>
        <v>0</v>
      </c>
      <c r="N16" t="s">
        <v>21</v>
      </c>
    </row>
    <row r="17" spans="10:14" x14ac:dyDescent="0.2">
      <c r="J17" t="s">
        <v>38</v>
      </c>
      <c r="K17" t="s">
        <v>20</v>
      </c>
      <c r="M17">
        <f>B17/P3</f>
        <v>0</v>
      </c>
      <c r="N17" t="s">
        <v>21</v>
      </c>
    </row>
    <row r="18" spans="10:14" x14ac:dyDescent="0.2">
      <c r="J18" t="s">
        <v>39</v>
      </c>
      <c r="K18" t="s">
        <v>20</v>
      </c>
      <c r="M18">
        <f>B18/P3</f>
        <v>0</v>
      </c>
      <c r="N18" t="s">
        <v>21</v>
      </c>
    </row>
    <row r="19" spans="10:14" x14ac:dyDescent="0.2">
      <c r="J19" t="s">
        <v>40</v>
      </c>
      <c r="K19" t="s">
        <v>20</v>
      </c>
      <c r="M19">
        <f>B19/P3</f>
        <v>0</v>
      </c>
      <c r="N19" t="s">
        <v>21</v>
      </c>
    </row>
    <row r="20" spans="10:14" x14ac:dyDescent="0.2">
      <c r="J20" t="s">
        <v>41</v>
      </c>
      <c r="K20" t="s">
        <v>20</v>
      </c>
      <c r="M20">
        <f>B20/P3</f>
        <v>0</v>
      </c>
      <c r="N20" t="s">
        <v>42</v>
      </c>
    </row>
    <row r="21" spans="10:14" x14ac:dyDescent="0.2">
      <c r="J21" t="s">
        <v>43</v>
      </c>
      <c r="K21" t="s">
        <v>20</v>
      </c>
      <c r="M21">
        <f>B21/P3</f>
        <v>0</v>
      </c>
      <c r="N21" t="s">
        <v>44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6" ma:contentTypeDescription="Create a new document." ma:contentTypeScope="" ma:versionID="66af2654134d243f62aac8e2b322f1d6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2bc3adf68671d86faa9c37249f40034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A89D5D-A5A3-48C9-8FDC-9C93C86B232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e1efd23-f4ba-42d2-85fd-6a510437bae6"/>
    <ds:schemaRef ds:uri="3bad6c6a-329d-45e9-b8b0-1ebecc8a876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AE6204C-E5D0-49FE-BA66-6C912A94109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Rachael</dc:creator>
  <cp:lastModifiedBy>Alexandra de Sousa</cp:lastModifiedBy>
  <dcterms:created xsi:type="dcterms:W3CDTF">2021-03-11T15:17:42Z</dcterms:created>
  <dcterms:modified xsi:type="dcterms:W3CDTF">2024-03-01T00:36:16Z</dcterms:modified>
</cp:coreProperties>
</file>