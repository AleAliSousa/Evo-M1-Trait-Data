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7" documentId="11_D18DFC27B3546FDF43B2B52A8B4A44A5B02B2384" xr6:coauthVersionLast="47" xr6:coauthVersionMax="47" xr10:uidLastSave="{0CFEFF24-2090-C649-B6B1-B4C93E644C26}"/>
  <bookViews>
    <workbookView xWindow="36060" yWindow="-5860" windowWidth="47200" windowHeight="17880" xr2:uid="{00000000-000D-0000-FFFF-FFFF00000000}"/>
  </bookViews>
  <sheets>
    <sheet name="Sheet1" sheetId="1" r:id="rId1"/>
    <sheet name="File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5" i="1" l="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T262" i="1"/>
  <c r="J262" i="1"/>
  <c r="L262" i="1" s="1"/>
  <c r="M262" i="1" s="1" a="1"/>
  <c r="M262" i="1" s="1"/>
  <c r="I262" i="1"/>
  <c r="H262" i="1" s="1"/>
  <c r="G262" i="1"/>
  <c r="F262" i="1" s="1"/>
  <c r="K262" i="1" s="1"/>
  <c r="E262" i="1"/>
  <c r="T261" i="1"/>
  <c r="J261" i="1"/>
  <c r="L261" i="1" s="1"/>
  <c r="M261" i="1" s="1" a="1"/>
  <c r="M261" i="1" s="1"/>
  <c r="I261" i="1"/>
  <c r="H261" i="1" s="1"/>
  <c r="F261" i="1" s="1"/>
  <c r="K261" i="1" s="1"/>
  <c r="G261" i="1"/>
  <c r="E261" i="1"/>
  <c r="J260" i="1"/>
  <c r="L260" i="1" s="1"/>
  <c r="M260" i="1" s="1" a="1"/>
  <c r="M260" i="1" s="1"/>
  <c r="I260" i="1"/>
  <c r="H260" i="1"/>
  <c r="G260" i="1"/>
  <c r="F260" i="1" s="1"/>
  <c r="K260" i="1" s="1"/>
  <c r="E260" i="1"/>
  <c r="L259" i="1"/>
  <c r="M259" i="1" s="1" a="1"/>
  <c r="M259" i="1" s="1"/>
  <c r="J259" i="1"/>
  <c r="I259" i="1"/>
  <c r="H259" i="1"/>
  <c r="G259" i="1"/>
  <c r="E259" i="1"/>
  <c r="L258" i="1"/>
  <c r="M258" i="1" s="1" a="1"/>
  <c r="M258" i="1" s="1"/>
  <c r="J258" i="1"/>
  <c r="I258" i="1"/>
  <c r="H258" i="1"/>
  <c r="G258" i="1"/>
  <c r="F258" i="1" s="1"/>
  <c r="K258" i="1" s="1"/>
  <c r="E258" i="1"/>
  <c r="L257" i="1"/>
  <c r="M257" i="1" s="1" a="1"/>
  <c r="M257" i="1" s="1"/>
  <c r="J257" i="1"/>
  <c r="I257" i="1"/>
  <c r="H257" i="1"/>
  <c r="G257" i="1"/>
  <c r="F257" i="1"/>
  <c r="K257" i="1" s="1"/>
  <c r="E257" i="1"/>
  <c r="L256" i="1"/>
  <c r="M256" i="1" s="1" a="1"/>
  <c r="M256" i="1" s="1"/>
  <c r="J256" i="1"/>
  <c r="I256" i="1"/>
  <c r="H256" i="1" s="1"/>
  <c r="G256" i="1"/>
  <c r="E256" i="1"/>
  <c r="J255" i="1"/>
  <c r="L255" i="1" s="1"/>
  <c r="M255" i="1" s="1" a="1"/>
  <c r="M255" i="1" s="1"/>
  <c r="I255" i="1"/>
  <c r="H255" i="1" s="1"/>
  <c r="F255" i="1" s="1"/>
  <c r="K255" i="1" s="1"/>
  <c r="G255" i="1"/>
  <c r="E255" i="1"/>
  <c r="J254" i="1"/>
  <c r="L254" i="1" s="1"/>
  <c r="M254" i="1" s="1" a="1"/>
  <c r="M254" i="1" s="1"/>
  <c r="I254" i="1"/>
  <c r="H254" i="1"/>
  <c r="G254" i="1"/>
  <c r="F254" i="1" s="1"/>
  <c r="K254" i="1" s="1"/>
  <c r="E254" i="1"/>
  <c r="J253" i="1"/>
  <c r="L253" i="1" s="1"/>
  <c r="M253" i="1" s="1" a="1"/>
  <c r="M253" i="1" s="1"/>
  <c r="I253" i="1"/>
  <c r="H253" i="1"/>
  <c r="G253" i="1"/>
  <c r="E253" i="1"/>
  <c r="L252" i="1"/>
  <c r="M252" i="1" s="1" a="1"/>
  <c r="M252" i="1" s="1"/>
  <c r="J252" i="1"/>
  <c r="I252" i="1"/>
  <c r="H252" i="1" s="1"/>
  <c r="G252" i="1"/>
  <c r="E252" i="1"/>
  <c r="J251" i="1"/>
  <c r="L251" i="1" s="1"/>
  <c r="M251" i="1" s="1" a="1"/>
  <c r="M251" i="1" s="1"/>
  <c r="I251" i="1"/>
  <c r="H251" i="1"/>
  <c r="G251" i="1"/>
  <c r="F251" i="1" s="1"/>
  <c r="K251" i="1" s="1"/>
  <c r="E251" i="1"/>
  <c r="J250" i="1"/>
  <c r="L250" i="1" s="1"/>
  <c r="M250" i="1" s="1" a="1"/>
  <c r="M250" i="1" s="1"/>
  <c r="I250" i="1"/>
  <c r="H250" i="1"/>
  <c r="G250" i="1"/>
  <c r="F250" i="1"/>
  <c r="K250" i="1" s="1"/>
  <c r="E250" i="1"/>
  <c r="L249" i="1"/>
  <c r="M249" i="1" s="1" a="1"/>
  <c r="M249" i="1" s="1"/>
  <c r="J249" i="1"/>
  <c r="I249" i="1"/>
  <c r="H249" i="1"/>
  <c r="G249" i="1"/>
  <c r="E249" i="1"/>
  <c r="L248" i="1"/>
  <c r="M248" i="1" s="1" a="1"/>
  <c r="M248" i="1" s="1"/>
  <c r="J248" i="1"/>
  <c r="I248" i="1"/>
  <c r="H248" i="1"/>
  <c r="G248" i="1"/>
  <c r="F248" i="1" s="1"/>
  <c r="K248" i="1" s="1"/>
  <c r="E248" i="1"/>
  <c r="L247" i="1"/>
  <c r="M247" i="1" s="1" a="1"/>
  <c r="M247" i="1" s="1"/>
  <c r="J247" i="1"/>
  <c r="I247" i="1"/>
  <c r="H247" i="1"/>
  <c r="G247" i="1"/>
  <c r="E247" i="1"/>
  <c r="L246" i="1"/>
  <c r="M246" i="1" s="1" a="1"/>
  <c r="M246" i="1" s="1"/>
  <c r="J246" i="1"/>
  <c r="I246" i="1"/>
  <c r="H246" i="1"/>
  <c r="F246" i="1" s="1"/>
  <c r="K246" i="1" s="1"/>
  <c r="G246" i="1"/>
  <c r="E246" i="1"/>
  <c r="L245" i="1"/>
  <c r="M245" i="1" s="1" a="1"/>
  <c r="M245" i="1" s="1"/>
  <c r="J245" i="1"/>
  <c r="I245" i="1"/>
  <c r="H245" i="1"/>
  <c r="G245" i="1"/>
  <c r="F245" i="1" s="1"/>
  <c r="K245" i="1" s="1"/>
  <c r="E245" i="1"/>
  <c r="L244" i="1"/>
  <c r="M244" i="1" s="1" a="1"/>
  <c r="M244" i="1" s="1"/>
  <c r="J244" i="1"/>
  <c r="I244" i="1"/>
  <c r="H244" i="1"/>
  <c r="G244" i="1"/>
  <c r="F244" i="1"/>
  <c r="K244" i="1" s="1"/>
  <c r="E244" i="1"/>
  <c r="L243" i="1"/>
  <c r="M243" i="1" s="1" a="1"/>
  <c r="M243" i="1" s="1"/>
  <c r="J243" i="1"/>
  <c r="I243" i="1"/>
  <c r="H243" i="1"/>
  <c r="F243" i="1" s="1"/>
  <c r="K243" i="1" s="1"/>
  <c r="G243" i="1"/>
  <c r="E243" i="1"/>
  <c r="J242" i="1"/>
  <c r="L242" i="1" s="1"/>
  <c r="M242" i="1" s="1" a="1"/>
  <c r="M242" i="1" s="1"/>
  <c r="I242" i="1"/>
  <c r="H242" i="1"/>
  <c r="G242" i="1"/>
  <c r="F242" i="1" s="1"/>
  <c r="K242" i="1" s="1"/>
  <c r="E242" i="1"/>
  <c r="J241" i="1"/>
  <c r="L241" i="1" s="1"/>
  <c r="M241" i="1" s="1" a="1"/>
  <c r="M241" i="1" s="1"/>
  <c r="I241" i="1"/>
  <c r="H241" i="1"/>
  <c r="G241" i="1"/>
  <c r="F241" i="1" s="1"/>
  <c r="K241" i="1" s="1"/>
  <c r="E241" i="1"/>
  <c r="J240" i="1"/>
  <c r="L240" i="1" s="1"/>
  <c r="M240" i="1" s="1" a="1"/>
  <c r="M240" i="1" s="1"/>
  <c r="I240" i="1"/>
  <c r="H240" i="1" s="1"/>
  <c r="F240" i="1" s="1"/>
  <c r="K240" i="1" s="1"/>
  <c r="G240" i="1"/>
  <c r="E240" i="1"/>
  <c r="J239" i="1"/>
  <c r="L239" i="1" s="1"/>
  <c r="M239" i="1" s="1" a="1"/>
  <c r="M239" i="1" s="1"/>
  <c r="I239" i="1"/>
  <c r="H239" i="1" s="1"/>
  <c r="G239" i="1"/>
  <c r="E239" i="1"/>
  <c r="L238" i="1"/>
  <c r="M238" i="1" s="1" a="1"/>
  <c r="M238" i="1" s="1"/>
  <c r="J238" i="1"/>
  <c r="I238" i="1"/>
  <c r="H238" i="1"/>
  <c r="G238" i="1"/>
  <c r="E238" i="1"/>
  <c r="L237" i="1"/>
  <c r="M237" i="1" s="1" a="1"/>
  <c r="M237" i="1" s="1"/>
  <c r="J237" i="1"/>
  <c r="I237" i="1"/>
  <c r="H237" i="1"/>
  <c r="G237" i="1"/>
  <c r="F237" i="1" s="1"/>
  <c r="K237" i="1" s="1"/>
  <c r="E237" i="1"/>
  <c r="J236" i="1"/>
  <c r="L236" i="1" s="1"/>
  <c r="M236" i="1" s="1" a="1"/>
  <c r="M236" i="1" s="1"/>
  <c r="I236" i="1"/>
  <c r="H236" i="1"/>
  <c r="G236" i="1"/>
  <c r="F236" i="1" s="1"/>
  <c r="K236" i="1" s="1"/>
  <c r="E236" i="1"/>
  <c r="J235" i="1"/>
  <c r="L235" i="1" s="1"/>
  <c r="M235" i="1" s="1" a="1"/>
  <c r="M235" i="1" s="1"/>
  <c r="I235" i="1"/>
  <c r="H235" i="1" s="1"/>
  <c r="F235" i="1" s="1"/>
  <c r="K235" i="1" s="1"/>
  <c r="G235" i="1"/>
  <c r="E235" i="1"/>
  <c r="J234" i="1"/>
  <c r="L234" i="1" s="1"/>
  <c r="M234" i="1" s="1" a="1"/>
  <c r="M234" i="1" s="1"/>
  <c r="I234" i="1"/>
  <c r="H234" i="1"/>
  <c r="G234" i="1"/>
  <c r="F234" i="1" s="1"/>
  <c r="K234" i="1" s="1"/>
  <c r="E234" i="1"/>
  <c r="J233" i="1"/>
  <c r="L233" i="1" s="1"/>
  <c r="M233" i="1" s="1" a="1"/>
  <c r="M233" i="1" s="1"/>
  <c r="I233" i="1"/>
  <c r="H233" i="1" s="1"/>
  <c r="F233" i="1" s="1"/>
  <c r="K233" i="1" s="1"/>
  <c r="G233" i="1"/>
  <c r="E233" i="1"/>
  <c r="J232" i="1"/>
  <c r="L232" i="1" s="1"/>
  <c r="M232" i="1" s="1" a="1"/>
  <c r="M232" i="1" s="1"/>
  <c r="I232" i="1"/>
  <c r="H232" i="1" s="1"/>
  <c r="G232" i="1"/>
  <c r="E232" i="1"/>
  <c r="L231" i="1"/>
  <c r="M231" i="1" s="1" a="1"/>
  <c r="M231" i="1" s="1"/>
  <c r="J231" i="1"/>
  <c r="I231" i="1"/>
  <c r="H231" i="1"/>
  <c r="G231" i="1"/>
  <c r="E231" i="1"/>
  <c r="J230" i="1"/>
  <c r="L230" i="1" s="1"/>
  <c r="M230" i="1" s="1" a="1"/>
  <c r="M230" i="1" s="1"/>
  <c r="I230" i="1"/>
  <c r="H230" i="1"/>
  <c r="G230" i="1"/>
  <c r="F230" i="1" s="1"/>
  <c r="K230" i="1" s="1"/>
  <c r="E230" i="1"/>
  <c r="J229" i="1"/>
  <c r="L229" i="1" s="1"/>
  <c r="M229" i="1" s="1" a="1"/>
  <c r="M229" i="1" s="1"/>
  <c r="I229" i="1"/>
  <c r="H229" i="1"/>
  <c r="G229" i="1"/>
  <c r="F229" i="1" s="1"/>
  <c r="K229" i="1" s="1"/>
  <c r="E229" i="1"/>
  <c r="L228" i="1"/>
  <c r="M228" i="1" s="1" a="1"/>
  <c r="M228" i="1" s="1"/>
  <c r="J228" i="1"/>
  <c r="I228" i="1"/>
  <c r="H228" i="1" s="1"/>
  <c r="G228" i="1"/>
  <c r="E228" i="1"/>
  <c r="J227" i="1"/>
  <c r="L227" i="1" s="1"/>
  <c r="M227" i="1" s="1" a="1"/>
  <c r="M227" i="1" s="1"/>
  <c r="I227" i="1"/>
  <c r="H227" i="1" s="1"/>
  <c r="F227" i="1" s="1"/>
  <c r="K227" i="1" s="1"/>
  <c r="G227" i="1"/>
  <c r="E227" i="1"/>
  <c r="J226" i="1"/>
  <c r="L226" i="1" s="1"/>
  <c r="M226" i="1" s="1" a="1"/>
  <c r="M226" i="1" s="1"/>
  <c r="I226" i="1"/>
  <c r="H226" i="1"/>
  <c r="F226" i="1" s="1"/>
  <c r="K226" i="1" s="1"/>
  <c r="G226" i="1"/>
  <c r="E226" i="1"/>
  <c r="J225" i="1"/>
  <c r="L225" i="1" s="1"/>
  <c r="M225" i="1" s="1" a="1"/>
  <c r="M225" i="1" s="1"/>
  <c r="I225" i="1"/>
  <c r="H225" i="1"/>
  <c r="F225" i="1" s="1"/>
  <c r="K225" i="1" s="1"/>
  <c r="G225" i="1"/>
  <c r="E225" i="1"/>
  <c r="J224" i="1"/>
  <c r="L224" i="1" s="1"/>
  <c r="M224" i="1" s="1" a="1"/>
  <c r="M224" i="1" s="1"/>
  <c r="I224" i="1"/>
  <c r="H224" i="1" s="1"/>
  <c r="F224" i="1" s="1"/>
  <c r="K224" i="1" s="1"/>
  <c r="G224" i="1"/>
  <c r="E224" i="1"/>
  <c r="J223" i="1"/>
  <c r="L223" i="1" s="1"/>
  <c r="M223" i="1" s="1" a="1"/>
  <c r="M223" i="1" s="1"/>
  <c r="I223" i="1"/>
  <c r="H223" i="1"/>
  <c r="F223" i="1" s="1"/>
  <c r="K223" i="1" s="1"/>
  <c r="G223" i="1"/>
  <c r="E223" i="1"/>
  <c r="J222" i="1"/>
  <c r="L222" i="1" s="1"/>
  <c r="M222" i="1" s="1" a="1"/>
  <c r="M222" i="1" s="1"/>
  <c r="I222" i="1"/>
  <c r="H222" i="1"/>
  <c r="G222" i="1"/>
  <c r="F222" i="1" s="1"/>
  <c r="K222" i="1" s="1"/>
  <c r="E222" i="1"/>
  <c r="J221" i="1"/>
  <c r="L221" i="1" s="1"/>
  <c r="M221" i="1" s="1" a="1"/>
  <c r="M221" i="1" s="1"/>
  <c r="I221" i="1"/>
  <c r="H221" i="1" s="1"/>
  <c r="G221" i="1"/>
  <c r="E221" i="1"/>
  <c r="J220" i="1"/>
  <c r="L220" i="1" s="1"/>
  <c r="M220" i="1" s="1" a="1"/>
  <c r="M220" i="1" s="1"/>
  <c r="I220" i="1"/>
  <c r="H220" i="1"/>
  <c r="G220" i="1"/>
  <c r="E220" i="1"/>
  <c r="J219" i="1"/>
  <c r="L219" i="1" s="1"/>
  <c r="M219" i="1" s="1" a="1"/>
  <c r="M219" i="1" s="1"/>
  <c r="I219" i="1"/>
  <c r="H219" i="1"/>
  <c r="G219" i="1"/>
  <c r="E219" i="1"/>
  <c r="J218" i="1"/>
  <c r="L218" i="1" s="1"/>
  <c r="M218" i="1" s="1" a="1"/>
  <c r="M218" i="1" s="1"/>
  <c r="I218" i="1"/>
  <c r="H218" i="1"/>
  <c r="G218" i="1"/>
  <c r="F218" i="1" s="1"/>
  <c r="K218" i="1" s="1"/>
  <c r="E218" i="1"/>
  <c r="L217" i="1"/>
  <c r="M217" i="1" s="1" a="1"/>
  <c r="M217" i="1" s="1"/>
  <c r="J217" i="1"/>
  <c r="I217" i="1"/>
  <c r="H217" i="1" s="1"/>
  <c r="F217" i="1" s="1"/>
  <c r="K217" i="1" s="1"/>
  <c r="G217" i="1"/>
  <c r="E217" i="1"/>
  <c r="T216" i="1"/>
  <c r="J216" i="1"/>
  <c r="L216" i="1" s="1"/>
  <c r="M216" i="1" s="1" a="1"/>
  <c r="M216" i="1" s="1"/>
  <c r="I216" i="1"/>
  <c r="H216" i="1" s="1"/>
  <c r="G216" i="1"/>
  <c r="E216" i="1"/>
  <c r="T215" i="1"/>
  <c r="L215" i="1"/>
  <c r="M215" i="1" s="1" a="1"/>
  <c r="M215" i="1" s="1"/>
  <c r="J215" i="1"/>
  <c r="I215" i="1"/>
  <c r="H215" i="1"/>
  <c r="G215" i="1"/>
  <c r="F215" i="1" s="1"/>
  <c r="K215" i="1" s="1"/>
  <c r="E215" i="1"/>
  <c r="J214" i="1"/>
  <c r="L214" i="1" s="1"/>
  <c r="M214" i="1" s="1" a="1"/>
  <c r="M214" i="1" s="1"/>
  <c r="I214" i="1"/>
  <c r="H214" i="1" s="1"/>
  <c r="F214" i="1" s="1"/>
  <c r="K214" i="1" s="1"/>
  <c r="G214" i="1"/>
  <c r="E214" i="1"/>
  <c r="L213" i="1"/>
  <c r="M213" i="1" s="1" a="1"/>
  <c r="M213" i="1" s="1"/>
  <c r="J213" i="1"/>
  <c r="I213" i="1"/>
  <c r="H213" i="1" s="1"/>
  <c r="G213" i="1"/>
  <c r="F213" i="1" s="1"/>
  <c r="K213" i="1" s="1"/>
  <c r="E213" i="1"/>
  <c r="J212" i="1"/>
  <c r="L212" i="1" s="1"/>
  <c r="M212" i="1" s="1" a="1"/>
  <c r="M212" i="1" s="1"/>
  <c r="I212" i="1"/>
  <c r="H212" i="1"/>
  <c r="G212" i="1"/>
  <c r="E212" i="1"/>
  <c r="J211" i="1"/>
  <c r="L211" i="1" s="1"/>
  <c r="M211" i="1" s="1" a="1"/>
  <c r="M211" i="1" s="1"/>
  <c r="I211" i="1"/>
  <c r="H211" i="1"/>
  <c r="F211" i="1" s="1"/>
  <c r="K211" i="1" s="1"/>
  <c r="G211" i="1"/>
  <c r="E211" i="1"/>
  <c r="L210" i="1"/>
  <c r="M210" i="1" s="1" a="1"/>
  <c r="M210" i="1" s="1"/>
  <c r="J210" i="1"/>
  <c r="I210" i="1"/>
  <c r="H210" i="1"/>
  <c r="G210" i="1"/>
  <c r="F210" i="1" s="1"/>
  <c r="K210" i="1" s="1"/>
  <c r="E210" i="1"/>
  <c r="J209" i="1"/>
  <c r="L209" i="1" s="1"/>
  <c r="M209" i="1" s="1" a="1"/>
  <c r="M209" i="1" s="1"/>
  <c r="I209" i="1"/>
  <c r="H209" i="1"/>
  <c r="G209" i="1"/>
  <c r="F209" i="1" s="1"/>
  <c r="K209" i="1" s="1"/>
  <c r="E209" i="1"/>
  <c r="J208" i="1"/>
  <c r="L208" i="1" s="1"/>
  <c r="M208" i="1" s="1" a="1"/>
  <c r="M208" i="1" s="1"/>
  <c r="I208" i="1"/>
  <c r="H208" i="1" s="1"/>
  <c r="F208" i="1" s="1"/>
  <c r="K208" i="1" s="1"/>
  <c r="G208" i="1"/>
  <c r="E208" i="1"/>
  <c r="J207" i="1"/>
  <c r="L207" i="1" s="1"/>
  <c r="M207" i="1" s="1" a="1"/>
  <c r="M207" i="1" s="1"/>
  <c r="I207" i="1"/>
  <c r="H207" i="1"/>
  <c r="G207" i="1"/>
  <c r="E207" i="1"/>
  <c r="J206" i="1"/>
  <c r="L206" i="1" s="1"/>
  <c r="M206" i="1" s="1" a="1"/>
  <c r="M206" i="1" s="1"/>
  <c r="I206" i="1"/>
  <c r="H206" i="1" s="1"/>
  <c r="G206" i="1"/>
  <c r="E206" i="1"/>
  <c r="J205" i="1"/>
  <c r="L205" i="1" s="1"/>
  <c r="M205" i="1" s="1" a="1"/>
  <c r="M205" i="1" s="1"/>
  <c r="I205" i="1"/>
  <c r="H205" i="1" s="1"/>
  <c r="F205" i="1" s="1"/>
  <c r="K205" i="1" s="1"/>
  <c r="G205" i="1"/>
  <c r="E205" i="1"/>
  <c r="J204" i="1"/>
  <c r="L204" i="1" s="1"/>
  <c r="M204" i="1" s="1" a="1"/>
  <c r="M204" i="1" s="1"/>
  <c r="I204" i="1"/>
  <c r="H204" i="1" s="1"/>
  <c r="F204" i="1" s="1"/>
  <c r="K204" i="1" s="1"/>
  <c r="G204" i="1"/>
  <c r="E204" i="1"/>
  <c r="L203" i="1"/>
  <c r="M203" i="1" s="1" a="1"/>
  <c r="M203" i="1" s="1"/>
  <c r="J203" i="1"/>
  <c r="I203" i="1"/>
  <c r="H203" i="1" s="1"/>
  <c r="G203" i="1"/>
  <c r="E203" i="1"/>
  <c r="J202" i="1"/>
  <c r="L202" i="1" s="1"/>
  <c r="M202" i="1" s="1" a="1"/>
  <c r="M202" i="1" s="1"/>
  <c r="I202" i="1"/>
  <c r="H202" i="1" s="1"/>
  <c r="G202" i="1"/>
  <c r="F202" i="1" s="1"/>
  <c r="K202" i="1" s="1"/>
  <c r="E202" i="1"/>
  <c r="J201" i="1"/>
  <c r="L201" i="1" s="1"/>
  <c r="M201" i="1" s="1" a="1"/>
  <c r="M201" i="1" s="1"/>
  <c r="I201" i="1"/>
  <c r="H201" i="1"/>
  <c r="G201" i="1"/>
  <c r="E201" i="1"/>
  <c r="L200" i="1"/>
  <c r="M200" i="1" s="1" a="1"/>
  <c r="M200" i="1" s="1"/>
  <c r="J200" i="1"/>
  <c r="I200" i="1"/>
  <c r="H200" i="1" s="1"/>
  <c r="F200" i="1" s="1"/>
  <c r="K200" i="1" s="1"/>
  <c r="G200" i="1"/>
  <c r="E200" i="1"/>
  <c r="J199" i="1"/>
  <c r="L199" i="1" s="1"/>
  <c r="M199" i="1" s="1" a="1"/>
  <c r="M199" i="1" s="1"/>
  <c r="I199" i="1"/>
  <c r="H199" i="1" s="1"/>
  <c r="G199" i="1"/>
  <c r="F199" i="1" s="1"/>
  <c r="K199" i="1" s="1"/>
  <c r="E199" i="1"/>
  <c r="T198" i="1"/>
  <c r="J198" i="1"/>
  <c r="L198" i="1" s="1"/>
  <c r="M198" i="1" s="1" a="1"/>
  <c r="M198" i="1" s="1"/>
  <c r="I198" i="1"/>
  <c r="H198" i="1" s="1"/>
  <c r="G198" i="1"/>
  <c r="E198" i="1"/>
  <c r="J197" i="1"/>
  <c r="L197" i="1" s="1"/>
  <c r="M197" i="1" s="1" a="1"/>
  <c r="M197" i="1" s="1"/>
  <c r="I197" i="1"/>
  <c r="H197" i="1" s="1"/>
  <c r="G197" i="1"/>
  <c r="E197" i="1"/>
  <c r="M191" i="1" a="1"/>
  <c r="M191" i="1" s="1"/>
  <c r="J191" i="1"/>
  <c r="L191" i="1" s="1"/>
  <c r="I191" i="1"/>
  <c r="H191" i="1" s="1"/>
  <c r="G191" i="1"/>
  <c r="E191" i="1"/>
  <c r="J196" i="1"/>
  <c r="L196" i="1" s="1"/>
  <c r="M196" i="1" s="1" a="1"/>
  <c r="M196" i="1" s="1"/>
  <c r="I196" i="1"/>
  <c r="H196" i="1" s="1"/>
  <c r="G196" i="1"/>
  <c r="E196" i="1"/>
  <c r="J195" i="1"/>
  <c r="L195" i="1" s="1"/>
  <c r="M195" i="1" s="1" a="1"/>
  <c r="M195" i="1" s="1"/>
  <c r="I195" i="1"/>
  <c r="H195" i="1" s="1"/>
  <c r="G195" i="1"/>
  <c r="F195" i="1" s="1"/>
  <c r="K195" i="1" s="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F188" i="1" s="1"/>
  <c r="K188" i="1" s="1"/>
  <c r="E188" i="1"/>
  <c r="J187" i="1"/>
  <c r="L187" i="1" s="1"/>
  <c r="M187" i="1" s="1" a="1"/>
  <c r="M187" i="1" s="1"/>
  <c r="I187" i="1"/>
  <c r="H187" i="1" s="1"/>
  <c r="G187" i="1"/>
  <c r="F187" i="1" s="1"/>
  <c r="K187" i="1" s="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M182" i="1" a="1"/>
  <c r="M182" i="1" s="1"/>
  <c r="J182" i="1"/>
  <c r="L182" i="1" s="1"/>
  <c r="I182" i="1"/>
  <c r="H182" i="1" s="1"/>
  <c r="G182" i="1"/>
  <c r="E182" i="1"/>
  <c r="T181" i="1"/>
  <c r="J181" i="1"/>
  <c r="L181" i="1" s="1"/>
  <c r="M181" i="1" s="1" a="1"/>
  <c r="M181" i="1" s="1"/>
  <c r="I181" i="1"/>
  <c r="H181" i="1"/>
  <c r="G181" i="1"/>
  <c r="E181" i="1"/>
  <c r="J180" i="1"/>
  <c r="L180" i="1" s="1"/>
  <c r="M180" i="1" s="1" a="1"/>
  <c r="M180" i="1" s="1"/>
  <c r="I180" i="1"/>
  <c r="H180" i="1"/>
  <c r="F180" i="1" s="1"/>
  <c r="K180" i="1" s="1"/>
  <c r="G180" i="1"/>
  <c r="E180" i="1"/>
  <c r="J179" i="1"/>
  <c r="L179" i="1" s="1"/>
  <c r="M179" i="1" s="1" a="1"/>
  <c r="M179" i="1" s="1"/>
  <c r="I179" i="1"/>
  <c r="H179" i="1"/>
  <c r="G179" i="1"/>
  <c r="F179" i="1" s="1"/>
  <c r="K179" i="1" s="1"/>
  <c r="E179" i="1"/>
  <c r="J178" i="1"/>
  <c r="L178" i="1" s="1"/>
  <c r="M178" i="1" s="1" a="1"/>
  <c r="M178" i="1" s="1"/>
  <c r="I178" i="1"/>
  <c r="H178" i="1"/>
  <c r="G178" i="1"/>
  <c r="F178" i="1" s="1"/>
  <c r="K178" i="1" s="1"/>
  <c r="E178" i="1"/>
  <c r="L177" i="1"/>
  <c r="M177" i="1" s="1" a="1"/>
  <c r="M177" i="1" s="1"/>
  <c r="J177" i="1"/>
  <c r="I177" i="1"/>
  <c r="H177" i="1"/>
  <c r="F177" i="1" s="1"/>
  <c r="K177" i="1" s="1"/>
  <c r="G177" i="1"/>
  <c r="E177" i="1"/>
  <c r="J176" i="1"/>
  <c r="L176" i="1" s="1"/>
  <c r="M176" i="1" s="1" a="1"/>
  <c r="M176" i="1" s="1"/>
  <c r="I176" i="1"/>
  <c r="H176" i="1"/>
  <c r="G176" i="1"/>
  <c r="E176" i="1"/>
  <c r="J175" i="1"/>
  <c r="L175" i="1" s="1"/>
  <c r="M175" i="1" s="1" a="1"/>
  <c r="M175" i="1" s="1"/>
  <c r="I175" i="1"/>
  <c r="H175" i="1" s="1"/>
  <c r="F175" i="1" s="1"/>
  <c r="K175" i="1" s="1"/>
  <c r="G175" i="1"/>
  <c r="E175" i="1"/>
  <c r="J174" i="1"/>
  <c r="L174" i="1" s="1"/>
  <c r="M174" i="1" s="1" a="1"/>
  <c r="M174" i="1" s="1"/>
  <c r="I174" i="1"/>
  <c r="H174" i="1" s="1"/>
  <c r="F174" i="1" s="1"/>
  <c r="K174" i="1" s="1"/>
  <c r="G174" i="1"/>
  <c r="E174" i="1"/>
  <c r="J173" i="1"/>
  <c r="L173" i="1" s="1"/>
  <c r="M173" i="1" s="1" a="1"/>
  <c r="M173" i="1" s="1"/>
  <c r="I173" i="1"/>
  <c r="H173" i="1"/>
  <c r="G173" i="1"/>
  <c r="E173" i="1"/>
  <c r="L172" i="1"/>
  <c r="M172" i="1" s="1" a="1"/>
  <c r="M172" i="1" s="1"/>
  <c r="J172" i="1"/>
  <c r="I172" i="1"/>
  <c r="H172" i="1" s="1"/>
  <c r="G172" i="1"/>
  <c r="F172" i="1" s="1"/>
  <c r="K172" i="1" s="1"/>
  <c r="E172" i="1"/>
  <c r="K171" i="1"/>
  <c r="J171" i="1"/>
  <c r="L171" i="1" s="1"/>
  <c r="M171" i="1" s="1" a="1"/>
  <c r="M171" i="1" s="1"/>
  <c r="I171" i="1"/>
  <c r="H171" i="1"/>
  <c r="F171" i="1" s="1"/>
  <c r="G171" i="1"/>
  <c r="E171" i="1"/>
  <c r="J170" i="1"/>
  <c r="L170" i="1" s="1"/>
  <c r="M170" i="1" s="1" a="1"/>
  <c r="M170" i="1" s="1"/>
  <c r="I170" i="1"/>
  <c r="H170" i="1" s="1"/>
  <c r="F170" i="1" s="1"/>
  <c r="K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c r="G167" i="1"/>
  <c r="F167" i="1" s="1"/>
  <c r="K167" i="1" s="1"/>
  <c r="E167" i="1"/>
  <c r="J166" i="1"/>
  <c r="L166" i="1" s="1"/>
  <c r="M166" i="1" s="1" a="1"/>
  <c r="M166" i="1" s="1"/>
  <c r="I166" i="1"/>
  <c r="H166" i="1"/>
  <c r="G166" i="1"/>
  <c r="F166" i="1" s="1"/>
  <c r="K166" i="1" s="1"/>
  <c r="E166" i="1"/>
  <c r="L165" i="1"/>
  <c r="M165" i="1" s="1" a="1"/>
  <c r="M165" i="1" s="1"/>
  <c r="J165" i="1"/>
  <c r="I165" i="1"/>
  <c r="H165" i="1"/>
  <c r="F165" i="1" s="1"/>
  <c r="K165" i="1" s="1"/>
  <c r="G165" i="1"/>
  <c r="E165" i="1"/>
  <c r="J164" i="1"/>
  <c r="L164" i="1" s="1"/>
  <c r="M164" i="1" s="1" a="1"/>
  <c r="M164" i="1" s="1"/>
  <c r="I164" i="1"/>
  <c r="H164" i="1" s="1"/>
  <c r="G164" i="1"/>
  <c r="E164" i="1"/>
  <c r="J163" i="1"/>
  <c r="L163" i="1" s="1"/>
  <c r="M163" i="1" s="1" a="1"/>
  <c r="M163" i="1" s="1"/>
  <c r="I163" i="1"/>
  <c r="H163" i="1" s="1"/>
  <c r="F163" i="1" s="1"/>
  <c r="K163" i="1" s="1"/>
  <c r="G163" i="1"/>
  <c r="E163" i="1"/>
  <c r="J162" i="1"/>
  <c r="L162" i="1" s="1"/>
  <c r="M162" i="1" s="1" a="1"/>
  <c r="M162" i="1" s="1"/>
  <c r="I162" i="1"/>
  <c r="H162" i="1" s="1"/>
  <c r="F162" i="1" s="1"/>
  <c r="K162" i="1" s="1"/>
  <c r="G162" i="1"/>
  <c r="E162" i="1"/>
  <c r="J161" i="1"/>
  <c r="L161" i="1" s="1"/>
  <c r="M161" i="1" s="1" a="1"/>
  <c r="M161" i="1" s="1"/>
  <c r="I161" i="1"/>
  <c r="H161" i="1"/>
  <c r="G161" i="1"/>
  <c r="F161" i="1" s="1"/>
  <c r="K161" i="1" s="1"/>
  <c r="E161" i="1"/>
  <c r="J160" i="1"/>
  <c r="L160" i="1" s="1"/>
  <c r="M160" i="1" s="1" a="1"/>
  <c r="M160" i="1" s="1"/>
  <c r="I160" i="1"/>
  <c r="H160" i="1"/>
  <c r="G160" i="1"/>
  <c r="F160" i="1" s="1"/>
  <c r="K160" i="1" s="1"/>
  <c r="E160" i="1"/>
  <c r="J159" i="1"/>
  <c r="L159" i="1" s="1"/>
  <c r="M159" i="1" s="1" a="1"/>
  <c r="M159" i="1" s="1"/>
  <c r="I159" i="1"/>
  <c r="H159" i="1" s="1"/>
  <c r="F159" i="1" s="1"/>
  <c r="K159" i="1" s="1"/>
  <c r="G159" i="1"/>
  <c r="E159" i="1"/>
  <c r="J158" i="1"/>
  <c r="L158" i="1" s="1"/>
  <c r="M158" i="1" s="1" a="1"/>
  <c r="M158" i="1" s="1"/>
  <c r="I158" i="1"/>
  <c r="H158" i="1" s="1"/>
  <c r="F158" i="1" s="1"/>
  <c r="K158" i="1" s="1"/>
  <c r="G158" i="1"/>
  <c r="E158" i="1"/>
  <c r="L157" i="1"/>
  <c r="M157" i="1" s="1" a="1"/>
  <c r="M157" i="1" s="1"/>
  <c r="J157" i="1"/>
  <c r="I157" i="1"/>
  <c r="H157" i="1" s="1"/>
  <c r="G157" i="1"/>
  <c r="F157" i="1" s="1"/>
  <c r="K157" i="1" s="1"/>
  <c r="E157" i="1"/>
  <c r="L156" i="1"/>
  <c r="M156" i="1" s="1" a="1"/>
  <c r="M156" i="1" s="1"/>
  <c r="J156" i="1"/>
  <c r="I156" i="1"/>
  <c r="H156" i="1"/>
  <c r="F156" i="1" s="1"/>
  <c r="K156" i="1" s="1"/>
  <c r="G156" i="1"/>
  <c r="E156" i="1"/>
  <c r="J155" i="1"/>
  <c r="L155" i="1" s="1"/>
  <c r="M155" i="1" s="1" a="1"/>
  <c r="M155" i="1" s="1"/>
  <c r="I155" i="1"/>
  <c r="H155" i="1" s="1"/>
  <c r="F155" i="1" s="1"/>
  <c r="K155" i="1" s="1"/>
  <c r="G155" i="1"/>
  <c r="E155" i="1"/>
  <c r="J154" i="1"/>
  <c r="L154" i="1" s="1"/>
  <c r="M154" i="1" s="1" a="1"/>
  <c r="M154" i="1" s="1"/>
  <c r="I154" i="1"/>
  <c r="H154" i="1" s="1"/>
  <c r="F154" i="1" s="1"/>
  <c r="K154" i="1" s="1"/>
  <c r="G154" i="1"/>
  <c r="E154" i="1"/>
  <c r="L153" i="1"/>
  <c r="M153" i="1" s="1" a="1"/>
  <c r="M153" i="1" s="1"/>
  <c r="J153" i="1"/>
  <c r="I153" i="1"/>
  <c r="H153" i="1" s="1"/>
  <c r="G153" i="1"/>
  <c r="E153" i="1"/>
  <c r="J152" i="1"/>
  <c r="L152" i="1" s="1"/>
  <c r="M152" i="1" s="1" a="1"/>
  <c r="M152" i="1" s="1"/>
  <c r="I152" i="1"/>
  <c r="H152" i="1" s="1"/>
  <c r="G152" i="1"/>
  <c r="E152" i="1"/>
  <c r="J151" i="1"/>
  <c r="L151" i="1" s="1"/>
  <c r="M151" i="1" s="1" a="1"/>
  <c r="M151" i="1" s="1"/>
  <c r="I151" i="1"/>
  <c r="H151" i="1"/>
  <c r="G151" i="1"/>
  <c r="F151" i="1" s="1"/>
  <c r="K151" i="1" s="1"/>
  <c r="E151" i="1"/>
  <c r="J150" i="1"/>
  <c r="L150" i="1" s="1"/>
  <c r="M150" i="1" s="1" a="1"/>
  <c r="M150" i="1" s="1"/>
  <c r="I150" i="1"/>
  <c r="H150" i="1" s="1"/>
  <c r="F150" i="1" s="1"/>
  <c r="K150" i="1" s="1"/>
  <c r="G150" i="1"/>
  <c r="E150" i="1"/>
  <c r="J149" i="1"/>
  <c r="L149" i="1" s="1"/>
  <c r="M149" i="1" s="1" a="1"/>
  <c r="M149" i="1" s="1"/>
  <c r="I149" i="1"/>
  <c r="H149" i="1" s="1"/>
  <c r="F149" i="1" s="1"/>
  <c r="K149" i="1" s="1"/>
  <c r="G149" i="1"/>
  <c r="E149" i="1"/>
  <c r="L148" i="1"/>
  <c r="M148" i="1" s="1" a="1"/>
  <c r="M148" i="1" s="1"/>
  <c r="J148" i="1"/>
  <c r="I148" i="1"/>
  <c r="H148" i="1"/>
  <c r="F148" i="1" s="1"/>
  <c r="K148" i="1" s="1"/>
  <c r="G148" i="1"/>
  <c r="E148" i="1"/>
  <c r="L147" i="1"/>
  <c r="M147" i="1" s="1" a="1"/>
  <c r="M147" i="1" s="1"/>
  <c r="J147" i="1"/>
  <c r="I147" i="1"/>
  <c r="H147" i="1" s="1"/>
  <c r="F147" i="1" s="1"/>
  <c r="K147" i="1" s="1"/>
  <c r="G147" i="1"/>
  <c r="E147" i="1"/>
  <c r="J146" i="1"/>
  <c r="L146" i="1" s="1"/>
  <c r="M146" i="1" s="1" a="1"/>
  <c r="M146" i="1" s="1"/>
  <c r="I146" i="1"/>
  <c r="H146" i="1" s="1"/>
  <c r="F146" i="1" s="1"/>
  <c r="K146" i="1" s="1"/>
  <c r="G146" i="1"/>
  <c r="E146" i="1"/>
  <c r="J145" i="1"/>
  <c r="L145" i="1" s="1"/>
  <c r="M145" i="1" s="1" a="1"/>
  <c r="M145" i="1" s="1"/>
  <c r="I145" i="1"/>
  <c r="H145" i="1" s="1"/>
  <c r="G145" i="1"/>
  <c r="E145" i="1"/>
  <c r="J144" i="1"/>
  <c r="L144" i="1" s="1"/>
  <c r="M144" i="1" s="1" a="1"/>
  <c r="M144" i="1" s="1"/>
  <c r="I144" i="1"/>
  <c r="H144" i="1" s="1"/>
  <c r="G144" i="1"/>
  <c r="F144" i="1" s="1"/>
  <c r="K144" i="1" s="1"/>
  <c r="E144" i="1"/>
  <c r="J143" i="1"/>
  <c r="L143" i="1" s="1"/>
  <c r="M143" i="1" s="1" a="1"/>
  <c r="M143" i="1" s="1"/>
  <c r="I143" i="1"/>
  <c r="H143" i="1" s="1"/>
  <c r="G143" i="1"/>
  <c r="E143" i="1"/>
  <c r="J142" i="1"/>
  <c r="L142" i="1" s="1"/>
  <c r="M142" i="1" s="1" a="1"/>
  <c r="M142" i="1" s="1"/>
  <c r="I142" i="1"/>
  <c r="H142" i="1" s="1"/>
  <c r="F142" i="1" s="1"/>
  <c r="K142" i="1" s="1"/>
  <c r="G142" i="1"/>
  <c r="E142" i="1"/>
  <c r="J141" i="1"/>
  <c r="L141" i="1" s="1"/>
  <c r="M141" i="1" s="1" a="1"/>
  <c r="M141" i="1" s="1"/>
  <c r="I141" i="1"/>
  <c r="H141" i="1" s="1"/>
  <c r="F141" i="1" s="1"/>
  <c r="K141" i="1" s="1"/>
  <c r="G141" i="1"/>
  <c r="E141" i="1"/>
  <c r="J140" i="1"/>
  <c r="L140" i="1" s="1"/>
  <c r="M140" i="1" s="1" a="1"/>
  <c r="M140" i="1" s="1"/>
  <c r="I140" i="1"/>
  <c r="H140" i="1" s="1"/>
  <c r="F140" i="1" s="1"/>
  <c r="K140" i="1" s="1"/>
  <c r="G140" i="1"/>
  <c r="E140" i="1"/>
  <c r="J139" i="1"/>
  <c r="L139" i="1" s="1"/>
  <c r="M139" i="1" s="1" a="1"/>
  <c r="M139" i="1" s="1"/>
  <c r="I139" i="1"/>
  <c r="H139" i="1"/>
  <c r="G139" i="1"/>
  <c r="E139" i="1"/>
  <c r="J138" i="1"/>
  <c r="L138" i="1" s="1"/>
  <c r="M138" i="1" s="1" a="1"/>
  <c r="M138" i="1" s="1"/>
  <c r="I138" i="1"/>
  <c r="H138" i="1" s="1"/>
  <c r="G138" i="1"/>
  <c r="F138" i="1" s="1"/>
  <c r="K138" i="1" s="1"/>
  <c r="E138" i="1"/>
  <c r="J137" i="1"/>
  <c r="L137" i="1" s="1"/>
  <c r="M137" i="1" s="1" a="1"/>
  <c r="M137" i="1" s="1"/>
  <c r="I137" i="1"/>
  <c r="H137" i="1" s="1"/>
  <c r="G137" i="1"/>
  <c r="F137" i="1"/>
  <c r="K137" i="1" s="1"/>
  <c r="E137" i="1"/>
  <c r="J136" i="1"/>
  <c r="L136" i="1" s="1"/>
  <c r="M136" i="1" s="1" a="1"/>
  <c r="M136" i="1" s="1"/>
  <c r="I136" i="1"/>
  <c r="H136" i="1"/>
  <c r="F136" i="1" s="1"/>
  <c r="K136" i="1" s="1"/>
  <c r="G136" i="1"/>
  <c r="E136" i="1"/>
  <c r="J135" i="1"/>
  <c r="L135" i="1" s="1"/>
  <c r="M135" i="1" s="1" a="1"/>
  <c r="M135" i="1" s="1"/>
  <c r="I135" i="1"/>
  <c r="H135" i="1" s="1"/>
  <c r="G135" i="1"/>
  <c r="F135" i="1" s="1"/>
  <c r="K135" i="1" s="1"/>
  <c r="E135" i="1"/>
  <c r="J134" i="1"/>
  <c r="L134" i="1" s="1"/>
  <c r="M134" i="1" s="1" a="1"/>
  <c r="M134" i="1" s="1"/>
  <c r="I134" i="1"/>
  <c r="H134" i="1"/>
  <c r="G134" i="1"/>
  <c r="E134" i="1"/>
  <c r="J133" i="1"/>
  <c r="L133" i="1" s="1"/>
  <c r="M133" i="1" s="1" a="1"/>
  <c r="M133" i="1" s="1"/>
  <c r="I133" i="1"/>
  <c r="H133" i="1" s="1"/>
  <c r="F133" i="1" s="1"/>
  <c r="K133" i="1" s="1"/>
  <c r="G133" i="1"/>
  <c r="E133" i="1"/>
  <c r="J132" i="1"/>
  <c r="L132" i="1" s="1"/>
  <c r="M132" i="1" s="1" a="1"/>
  <c r="M132" i="1" s="1"/>
  <c r="I132" i="1"/>
  <c r="H132" i="1"/>
  <c r="F132" i="1" s="1"/>
  <c r="K132" i="1" s="1"/>
  <c r="G132" i="1"/>
  <c r="E132" i="1"/>
  <c r="L131" i="1"/>
  <c r="M131" i="1" s="1" a="1"/>
  <c r="M131" i="1" s="1"/>
  <c r="J131" i="1"/>
  <c r="I131" i="1"/>
  <c r="H131" i="1" s="1"/>
  <c r="G131" i="1"/>
  <c r="E131" i="1"/>
  <c r="J130" i="1"/>
  <c r="L130" i="1" s="1"/>
  <c r="M130" i="1" s="1" a="1"/>
  <c r="M130" i="1" s="1"/>
  <c r="I130" i="1"/>
  <c r="H130" i="1" s="1"/>
  <c r="G130" i="1"/>
  <c r="F130" i="1" s="1"/>
  <c r="K130" i="1" s="1"/>
  <c r="E130" i="1"/>
  <c r="J129" i="1"/>
  <c r="L129" i="1" s="1"/>
  <c r="M129" i="1" s="1" a="1"/>
  <c r="M129" i="1" s="1"/>
  <c r="I129" i="1"/>
  <c r="H129" i="1" s="1"/>
  <c r="G129" i="1"/>
  <c r="E129" i="1"/>
  <c r="J128" i="1"/>
  <c r="L128" i="1" s="1"/>
  <c r="M128" i="1" s="1" a="1"/>
  <c r="M128" i="1" s="1"/>
  <c r="I128" i="1"/>
  <c r="H128" i="1" s="1"/>
  <c r="F128" i="1" s="1"/>
  <c r="K128" i="1" s="1"/>
  <c r="G128" i="1"/>
  <c r="E128" i="1"/>
  <c r="J127" i="1"/>
  <c r="L127" i="1" s="1"/>
  <c r="M127" i="1" s="1" a="1"/>
  <c r="M127" i="1" s="1"/>
  <c r="I127" i="1"/>
  <c r="H127" i="1"/>
  <c r="G127" i="1"/>
  <c r="E127" i="1"/>
  <c r="J126" i="1"/>
  <c r="L126" i="1" s="1"/>
  <c r="M126" i="1" s="1" a="1"/>
  <c r="M126" i="1" s="1"/>
  <c r="I126" i="1"/>
  <c r="H126" i="1" s="1"/>
  <c r="F126" i="1" s="1"/>
  <c r="K126" i="1" s="1"/>
  <c r="G126" i="1"/>
  <c r="E126" i="1"/>
  <c r="J125" i="1"/>
  <c r="L125" i="1" s="1"/>
  <c r="M125" i="1" s="1" a="1"/>
  <c r="M125" i="1" s="1"/>
  <c r="I125" i="1"/>
  <c r="H125" i="1" s="1"/>
  <c r="G125" i="1"/>
  <c r="E125" i="1"/>
  <c r="J124" i="1"/>
  <c r="L124" i="1" s="1"/>
  <c r="M124" i="1" s="1" a="1"/>
  <c r="M124" i="1" s="1"/>
  <c r="I124" i="1"/>
  <c r="H124" i="1"/>
  <c r="F124" i="1" s="1"/>
  <c r="K124" i="1" s="1"/>
  <c r="G124" i="1"/>
  <c r="E124" i="1"/>
  <c r="J123" i="1"/>
  <c r="L123" i="1" s="1"/>
  <c r="M123" i="1" s="1" a="1"/>
  <c r="M123" i="1" s="1"/>
  <c r="I123" i="1"/>
  <c r="H123" i="1" s="1"/>
  <c r="F123" i="1" s="1"/>
  <c r="K123" i="1" s="1"/>
  <c r="G123" i="1"/>
  <c r="E123" i="1"/>
  <c r="J122" i="1"/>
  <c r="L122" i="1" s="1"/>
  <c r="M122" i="1" s="1" a="1"/>
  <c r="M122" i="1" s="1"/>
  <c r="I122" i="1"/>
  <c r="H122" i="1"/>
  <c r="G122" i="1"/>
  <c r="F122" i="1" s="1"/>
  <c r="K122" i="1" s="1"/>
  <c r="E122" i="1"/>
  <c r="J121" i="1"/>
  <c r="L121" i="1" s="1"/>
  <c r="M121" i="1" s="1" a="1"/>
  <c r="M121" i="1" s="1"/>
  <c r="I121" i="1"/>
  <c r="H121" i="1"/>
  <c r="G121" i="1"/>
  <c r="F121" i="1" s="1"/>
  <c r="K121" i="1" s="1"/>
  <c r="E121" i="1"/>
  <c r="M120" i="1" a="1"/>
  <c r="M120" i="1" s="1"/>
  <c r="L120" i="1"/>
  <c r="J120" i="1"/>
  <c r="I120" i="1"/>
  <c r="H120" i="1"/>
  <c r="F120" i="1" s="1"/>
  <c r="K120" i="1" s="1"/>
  <c r="G120" i="1"/>
  <c r="E120" i="1"/>
  <c r="J119" i="1"/>
  <c r="L119" i="1" s="1"/>
  <c r="M119" i="1" s="1" a="1"/>
  <c r="M119" i="1" s="1"/>
  <c r="I119" i="1"/>
  <c r="H119" i="1" s="1"/>
  <c r="G119" i="1"/>
  <c r="E119" i="1"/>
  <c r="L118" i="1"/>
  <c r="M118" i="1" s="1" a="1"/>
  <c r="M118" i="1" s="1"/>
  <c r="J118" i="1"/>
  <c r="I118" i="1"/>
  <c r="H118" i="1" s="1"/>
  <c r="F118" i="1" s="1"/>
  <c r="K118" i="1" s="1"/>
  <c r="G118" i="1"/>
  <c r="E118" i="1"/>
  <c r="J117" i="1"/>
  <c r="L117" i="1" s="1"/>
  <c r="M117" i="1" s="1" a="1"/>
  <c r="M117" i="1" s="1"/>
  <c r="I117" i="1"/>
  <c r="H117" i="1"/>
  <c r="G117" i="1"/>
  <c r="E117" i="1"/>
  <c r="J116" i="1"/>
  <c r="L116" i="1" s="1"/>
  <c r="M116" i="1" s="1" a="1"/>
  <c r="M116" i="1" s="1"/>
  <c r="I116" i="1"/>
  <c r="H116" i="1" s="1"/>
  <c r="G116" i="1"/>
  <c r="E116" i="1"/>
  <c r="J115" i="1"/>
  <c r="L115" i="1" s="1"/>
  <c r="M115" i="1" s="1" a="1"/>
  <c r="M115" i="1" s="1"/>
  <c r="I115" i="1"/>
  <c r="H115" i="1" s="1"/>
  <c r="F115" i="1" s="1"/>
  <c r="K115" i="1" s="1"/>
  <c r="G115" i="1"/>
  <c r="E115" i="1"/>
  <c r="J114" i="1"/>
  <c r="L114" i="1" s="1"/>
  <c r="M114" i="1" s="1" a="1"/>
  <c r="M114" i="1" s="1"/>
  <c r="I114" i="1"/>
  <c r="H114" i="1"/>
  <c r="F114" i="1" s="1"/>
  <c r="K114" i="1" s="1"/>
  <c r="G114" i="1"/>
  <c r="E114" i="1"/>
  <c r="J112" i="1"/>
  <c r="L112" i="1" s="1"/>
  <c r="M112" i="1" s="1" a="1"/>
  <c r="M112" i="1" s="1"/>
  <c r="I112" i="1"/>
  <c r="H112" i="1" s="1"/>
  <c r="G112" i="1"/>
  <c r="E112" i="1"/>
  <c r="J111" i="1"/>
  <c r="L111" i="1" s="1"/>
  <c r="M111" i="1" s="1" a="1"/>
  <c r="M111" i="1" s="1"/>
  <c r="I111" i="1"/>
  <c r="H111" i="1" s="1"/>
  <c r="G111" i="1"/>
  <c r="F111" i="1" s="1"/>
  <c r="K111" i="1" s="1"/>
  <c r="E111" i="1"/>
  <c r="J110" i="1"/>
  <c r="L110" i="1" s="1"/>
  <c r="M110" i="1" s="1" a="1"/>
  <c r="M110" i="1" s="1"/>
  <c r="I110" i="1"/>
  <c r="H110" i="1" s="1"/>
  <c r="F110" i="1" s="1"/>
  <c r="K110" i="1" s="1"/>
  <c r="G110" i="1"/>
  <c r="E110" i="1"/>
  <c r="T109" i="1"/>
  <c r="J109" i="1"/>
  <c r="L109" i="1" s="1"/>
  <c r="M109" i="1" s="1" a="1"/>
  <c r="M109" i="1" s="1"/>
  <c r="I109" i="1"/>
  <c r="H109" i="1" s="1"/>
  <c r="G109" i="1"/>
  <c r="E109" i="1"/>
  <c r="T108" i="1"/>
  <c r="J108" i="1"/>
  <c r="L108" i="1" s="1"/>
  <c r="M108" i="1" s="1" a="1"/>
  <c r="M108" i="1" s="1"/>
  <c r="I108" i="1"/>
  <c r="H108" i="1"/>
  <c r="G108" i="1"/>
  <c r="F108" i="1"/>
  <c r="K108" i="1" s="1"/>
  <c r="E108" i="1"/>
  <c r="T107" i="1"/>
  <c r="J107" i="1"/>
  <c r="L107" i="1" s="1"/>
  <c r="M107" i="1" s="1" a="1"/>
  <c r="M107" i="1" s="1"/>
  <c r="I107" i="1"/>
  <c r="H107" i="1" s="1"/>
  <c r="G107" i="1"/>
  <c r="F107" i="1"/>
  <c r="K107" i="1" s="1"/>
  <c r="E107" i="1"/>
  <c r="T106" i="1"/>
  <c r="J106" i="1"/>
  <c r="L106" i="1" s="1"/>
  <c r="M106" i="1" s="1" a="1"/>
  <c r="M106" i="1" s="1"/>
  <c r="I106" i="1"/>
  <c r="H106" i="1"/>
  <c r="G106" i="1"/>
  <c r="F106" i="1" s="1"/>
  <c r="K106" i="1" s="1"/>
  <c r="E106" i="1"/>
  <c r="L105" i="1"/>
  <c r="M105" i="1" s="1" a="1"/>
  <c r="M105" i="1" s="1"/>
  <c r="J105" i="1"/>
  <c r="I105" i="1"/>
  <c r="H105" i="1"/>
  <c r="F105" i="1" s="1"/>
  <c r="K105" i="1" s="1"/>
  <c r="G105" i="1"/>
  <c r="E105" i="1"/>
  <c r="J104" i="1"/>
  <c r="L104" i="1" s="1"/>
  <c r="M104" i="1" s="1" a="1"/>
  <c r="M104" i="1" s="1"/>
  <c r="I104" i="1"/>
  <c r="H104" i="1" s="1"/>
  <c r="G104" i="1"/>
  <c r="E104" i="1"/>
  <c r="J103" i="1"/>
  <c r="L103" i="1" s="1"/>
  <c r="M103" i="1" s="1" a="1"/>
  <c r="M103" i="1" s="1"/>
  <c r="I103" i="1"/>
  <c r="H103" i="1"/>
  <c r="G103" i="1"/>
  <c r="F103" i="1" s="1"/>
  <c r="K103" i="1" s="1"/>
  <c r="E103" i="1"/>
  <c r="J102" i="1"/>
  <c r="L102" i="1" s="1"/>
  <c r="M102" i="1" s="1" a="1"/>
  <c r="M102" i="1" s="1"/>
  <c r="I102" i="1"/>
  <c r="H102" i="1" s="1"/>
  <c r="F102" i="1" s="1"/>
  <c r="K102" i="1" s="1"/>
  <c r="G102" i="1"/>
  <c r="E102" i="1"/>
  <c r="J101" i="1"/>
  <c r="L101" i="1" s="1"/>
  <c r="M101" i="1" s="1" a="1"/>
  <c r="M101" i="1" s="1"/>
  <c r="I101" i="1"/>
  <c r="H101" i="1"/>
  <c r="G101" i="1"/>
  <c r="E101" i="1"/>
  <c r="J100" i="1"/>
  <c r="L100" i="1" s="1"/>
  <c r="M100" i="1" s="1" a="1"/>
  <c r="M100" i="1" s="1"/>
  <c r="I100" i="1"/>
  <c r="H100" i="1"/>
  <c r="G100" i="1"/>
  <c r="F100" i="1"/>
  <c r="K100" i="1" s="1"/>
  <c r="E100" i="1"/>
  <c r="J98" i="1"/>
  <c r="L98" i="1" s="1"/>
  <c r="M98" i="1" s="1" a="1"/>
  <c r="M98" i="1" s="1"/>
  <c r="I98" i="1"/>
  <c r="H98" i="1" s="1"/>
  <c r="F98" i="1" s="1"/>
  <c r="K98" i="1" s="1"/>
  <c r="G98" i="1"/>
  <c r="E98" i="1"/>
  <c r="L97" i="1"/>
  <c r="M97" i="1" s="1" a="1"/>
  <c r="M97" i="1" s="1"/>
  <c r="J97" i="1"/>
  <c r="I97" i="1"/>
  <c r="H97" i="1" s="1"/>
  <c r="G97" i="1"/>
  <c r="E97" i="1"/>
  <c r="J96" i="1"/>
  <c r="L96" i="1" s="1"/>
  <c r="M96" i="1" s="1" a="1"/>
  <c r="M96" i="1" s="1"/>
  <c r="I96" i="1"/>
  <c r="H96" i="1"/>
  <c r="G96" i="1"/>
  <c r="E96" i="1"/>
  <c r="L95" i="1"/>
  <c r="M95" i="1" s="1" a="1"/>
  <c r="M95" i="1" s="1"/>
  <c r="J95" i="1"/>
  <c r="I95" i="1"/>
  <c r="H95" i="1"/>
  <c r="G95" i="1"/>
  <c r="F95" i="1"/>
  <c r="K95" i="1" s="1"/>
  <c r="E95" i="1"/>
  <c r="L94" i="1"/>
  <c r="M94" i="1" s="1" a="1"/>
  <c r="M94" i="1" s="1"/>
  <c r="J94" i="1"/>
  <c r="I94" i="1"/>
  <c r="H94" i="1" s="1"/>
  <c r="F94" i="1" s="1"/>
  <c r="K94" i="1" s="1"/>
  <c r="G94" i="1"/>
  <c r="E94" i="1"/>
  <c r="L93" i="1"/>
  <c r="M93" i="1" s="1" a="1"/>
  <c r="M93" i="1" s="1"/>
  <c r="J93" i="1"/>
  <c r="I93" i="1"/>
  <c r="H93" i="1"/>
  <c r="F93" i="1" s="1"/>
  <c r="K93" i="1" s="1"/>
  <c r="G93" i="1"/>
  <c r="E93" i="1"/>
  <c r="L92" i="1"/>
  <c r="M92" i="1" s="1" a="1"/>
  <c r="M92" i="1" s="1"/>
  <c r="J92" i="1"/>
  <c r="I92" i="1"/>
  <c r="H92" i="1" s="1"/>
  <c r="G92" i="1"/>
  <c r="E92" i="1"/>
  <c r="K91" i="1"/>
  <c r="J91" i="1"/>
  <c r="L91" i="1" s="1"/>
  <c r="M91" i="1" s="1" a="1"/>
  <c r="M91" i="1" s="1"/>
  <c r="I91" i="1"/>
  <c r="H91" i="1"/>
  <c r="G91" i="1"/>
  <c r="F91" i="1"/>
  <c r="E91" i="1"/>
  <c r="J90" i="1"/>
  <c r="L90" i="1" s="1"/>
  <c r="M90" i="1" s="1" a="1"/>
  <c r="M90" i="1" s="1"/>
  <c r="I90" i="1"/>
  <c r="H90" i="1" s="1"/>
  <c r="G90" i="1"/>
  <c r="F90" i="1" s="1"/>
  <c r="K90" i="1" s="1"/>
  <c r="E90" i="1"/>
  <c r="L89" i="1"/>
  <c r="M89" i="1" s="1" a="1"/>
  <c r="M89" i="1" s="1"/>
  <c r="J89" i="1"/>
  <c r="I89" i="1"/>
  <c r="H89" i="1"/>
  <c r="F89" i="1" s="1"/>
  <c r="K89" i="1" s="1"/>
  <c r="G89" i="1"/>
  <c r="E89" i="1"/>
  <c r="J88" i="1"/>
  <c r="L88" i="1" s="1"/>
  <c r="M88" i="1" s="1" a="1"/>
  <c r="M88" i="1" s="1"/>
  <c r="I88" i="1"/>
  <c r="H88" i="1"/>
  <c r="G88" i="1"/>
  <c r="F88" i="1" s="1"/>
  <c r="K88" i="1" s="1"/>
  <c r="E88" i="1"/>
  <c r="L87" i="1"/>
  <c r="M87" i="1" s="1" a="1"/>
  <c r="M87" i="1" s="1"/>
  <c r="J87" i="1"/>
  <c r="I87" i="1"/>
  <c r="H87" i="1" s="1"/>
  <c r="F87" i="1" s="1"/>
  <c r="K87" i="1" s="1"/>
  <c r="G87" i="1"/>
  <c r="E87" i="1"/>
  <c r="M86" i="1" a="1"/>
  <c r="M86" i="1" s="1"/>
  <c r="L86" i="1"/>
  <c r="J86" i="1"/>
  <c r="I86" i="1"/>
  <c r="H86" i="1"/>
  <c r="G86" i="1"/>
  <c r="F86" i="1"/>
  <c r="K86" i="1" s="1"/>
  <c r="E86" i="1"/>
  <c r="T85" i="1"/>
  <c r="L85" i="1"/>
  <c r="M85" i="1" s="1" a="1"/>
  <c r="M85" i="1" s="1"/>
  <c r="J85" i="1"/>
  <c r="I85" i="1"/>
  <c r="H85" i="1" s="1"/>
  <c r="F85" i="1" s="1"/>
  <c r="K85" i="1" s="1"/>
  <c r="G85" i="1"/>
  <c r="E85" i="1"/>
  <c r="J84" i="1"/>
  <c r="L84" i="1" s="1"/>
  <c r="M84" i="1" s="1" a="1"/>
  <c r="M84" i="1" s="1"/>
  <c r="I84" i="1"/>
  <c r="H84" i="1" s="1"/>
  <c r="F84" i="1" s="1"/>
  <c r="K84" i="1" s="1"/>
  <c r="G84" i="1"/>
  <c r="E84" i="1"/>
  <c r="J83" i="1"/>
  <c r="L83" i="1" s="1"/>
  <c r="M83" i="1" s="1" a="1"/>
  <c r="M83" i="1" s="1"/>
  <c r="I83" i="1"/>
  <c r="H83" i="1" s="1"/>
  <c r="G83" i="1"/>
  <c r="F83" i="1"/>
  <c r="K83" i="1" s="1"/>
  <c r="E83" i="1"/>
  <c r="T82" i="1"/>
  <c r="J82" i="1"/>
  <c r="L82" i="1" s="1"/>
  <c r="M82" i="1" s="1" a="1"/>
  <c r="M82" i="1" s="1"/>
  <c r="I82" i="1"/>
  <c r="H82" i="1" s="1"/>
  <c r="G82" i="1"/>
  <c r="F82" i="1" s="1"/>
  <c r="K82" i="1" s="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c r="F78" i="1" s="1"/>
  <c r="K78" i="1" s="1"/>
  <c r="G78" i="1"/>
  <c r="E78" i="1"/>
  <c r="J77" i="1"/>
  <c r="L77" i="1" s="1"/>
  <c r="M77" i="1" s="1" a="1"/>
  <c r="M77" i="1" s="1"/>
  <c r="I77" i="1"/>
  <c r="H77" i="1"/>
  <c r="G77" i="1"/>
  <c r="E77" i="1"/>
  <c r="J76" i="1"/>
  <c r="L76" i="1" s="1"/>
  <c r="M76" i="1" s="1" a="1"/>
  <c r="M76" i="1" s="1"/>
  <c r="I76" i="1"/>
  <c r="H76" i="1"/>
  <c r="G76" i="1"/>
  <c r="E76" i="1"/>
  <c r="J75" i="1"/>
  <c r="L75" i="1" s="1"/>
  <c r="M75" i="1" s="1" a="1"/>
  <c r="M75" i="1" s="1"/>
  <c r="I75" i="1"/>
  <c r="H75" i="1"/>
  <c r="G75" i="1"/>
  <c r="F75" i="1"/>
  <c r="K75" i="1" s="1"/>
  <c r="E75" i="1"/>
  <c r="J74" i="1"/>
  <c r="L74" i="1" s="1"/>
  <c r="M74" i="1" s="1" a="1"/>
  <c r="M74" i="1" s="1"/>
  <c r="I74" i="1"/>
  <c r="H74" i="1"/>
  <c r="F74" i="1" s="1"/>
  <c r="K74" i="1" s="1"/>
  <c r="G74" i="1"/>
  <c r="E74" i="1"/>
  <c r="J73" i="1"/>
  <c r="L73" i="1" s="1"/>
  <c r="M73" i="1" s="1" a="1"/>
  <c r="M73" i="1" s="1"/>
  <c r="I73" i="1"/>
  <c r="H73" i="1" s="1"/>
  <c r="G73" i="1"/>
  <c r="E73" i="1"/>
  <c r="J72" i="1"/>
  <c r="L72" i="1" s="1"/>
  <c r="M72" i="1" s="1" a="1"/>
  <c r="M72" i="1" s="1"/>
  <c r="I72" i="1"/>
  <c r="H72" i="1" s="1"/>
  <c r="G72" i="1"/>
  <c r="F72" i="1"/>
  <c r="K72" i="1" s="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c r="F68" i="1" s="1"/>
  <c r="K68" i="1" s="1"/>
  <c r="G68" i="1"/>
  <c r="E68" i="1"/>
  <c r="J67" i="1"/>
  <c r="L67" i="1" s="1"/>
  <c r="M67" i="1" s="1" a="1"/>
  <c r="M67" i="1" s="1"/>
  <c r="I67" i="1"/>
  <c r="H67" i="1" s="1"/>
  <c r="G67" i="1"/>
  <c r="E67" i="1"/>
  <c r="J66" i="1"/>
  <c r="L66" i="1" s="1"/>
  <c r="M66" i="1" s="1" a="1"/>
  <c r="M66" i="1" s="1"/>
  <c r="I66" i="1"/>
  <c r="H66" i="1"/>
  <c r="G66" i="1"/>
  <c r="F66" i="1" s="1"/>
  <c r="K66" i="1" s="1"/>
  <c r="E66" i="1"/>
  <c r="J65" i="1"/>
  <c r="L65" i="1" s="1"/>
  <c r="M65" i="1" s="1" a="1"/>
  <c r="M65" i="1" s="1"/>
  <c r="I65" i="1"/>
  <c r="H65" i="1"/>
  <c r="G65" i="1"/>
  <c r="F65" i="1"/>
  <c r="K65" i="1" s="1"/>
  <c r="E65" i="1"/>
  <c r="J64" i="1"/>
  <c r="L64" i="1" s="1"/>
  <c r="M64" i="1" s="1" a="1"/>
  <c r="M64" i="1" s="1"/>
  <c r="I64" i="1"/>
  <c r="H64" i="1"/>
  <c r="G64" i="1"/>
  <c r="F64" i="1" s="1"/>
  <c r="K64" i="1" s="1"/>
  <c r="E64" i="1"/>
  <c r="J63" i="1"/>
  <c r="L63" i="1" s="1"/>
  <c r="M63" i="1" s="1" a="1"/>
  <c r="M63" i="1" s="1"/>
  <c r="I63" i="1"/>
  <c r="H63" i="1"/>
  <c r="G63" i="1"/>
  <c r="F63" i="1" s="1"/>
  <c r="K63" i="1" s="1"/>
  <c r="E63" i="1"/>
  <c r="J62" i="1"/>
  <c r="L62" i="1" s="1"/>
  <c r="M62" i="1" s="1" a="1"/>
  <c r="M62" i="1" s="1"/>
  <c r="I62" i="1"/>
  <c r="H62" i="1" s="1"/>
  <c r="G62" i="1"/>
  <c r="F62" i="1" s="1"/>
  <c r="K62" i="1" s="1"/>
  <c r="E62" i="1"/>
  <c r="J61" i="1"/>
  <c r="L61" i="1" s="1"/>
  <c r="M61" i="1" s="1" a="1"/>
  <c r="M61" i="1" s="1"/>
  <c r="I61" i="1"/>
  <c r="H61" i="1" s="1"/>
  <c r="F61" i="1" s="1"/>
  <c r="K61" i="1" s="1"/>
  <c r="G61" i="1"/>
  <c r="E61" i="1"/>
  <c r="J60" i="1"/>
  <c r="L60" i="1" s="1"/>
  <c r="M60" i="1" s="1" a="1"/>
  <c r="M60" i="1" s="1"/>
  <c r="I60" i="1"/>
  <c r="H60" i="1"/>
  <c r="G60" i="1"/>
  <c r="E60" i="1"/>
  <c r="J59" i="1"/>
  <c r="L59" i="1" s="1"/>
  <c r="M59" i="1" s="1" a="1"/>
  <c r="M59" i="1" s="1"/>
  <c r="I59" i="1"/>
  <c r="H59" i="1" s="1"/>
  <c r="G59" i="1"/>
  <c r="F59" i="1" s="1"/>
  <c r="K59" i="1" s="1"/>
  <c r="E59" i="1"/>
  <c r="J58" i="1"/>
  <c r="L58" i="1" s="1"/>
  <c r="M58" i="1" s="1" a="1"/>
  <c r="M58" i="1" s="1"/>
  <c r="I58" i="1"/>
  <c r="H58" i="1" s="1"/>
  <c r="F58" i="1" s="1"/>
  <c r="K58" i="1" s="1"/>
  <c r="G58" i="1"/>
  <c r="E58" i="1"/>
  <c r="L57" i="1"/>
  <c r="M57" i="1" s="1" a="1"/>
  <c r="M57" i="1" s="1"/>
  <c r="J57" i="1"/>
  <c r="I57" i="1"/>
  <c r="H57" i="1"/>
  <c r="G57" i="1"/>
  <c r="E57" i="1"/>
  <c r="J56" i="1"/>
  <c r="L56" i="1" s="1"/>
  <c r="M56" i="1" s="1" a="1"/>
  <c r="M56" i="1" s="1"/>
  <c r="I56" i="1"/>
  <c r="H56" i="1"/>
  <c r="G56" i="1"/>
  <c r="F56" i="1"/>
  <c r="K56" i="1" s="1"/>
  <c r="E56" i="1"/>
  <c r="J55" i="1"/>
  <c r="L55" i="1" s="1"/>
  <c r="M55" i="1" s="1" a="1"/>
  <c r="M55" i="1" s="1"/>
  <c r="I55" i="1"/>
  <c r="H55" i="1" s="1"/>
  <c r="F55" i="1" s="1"/>
  <c r="K55" i="1" s="1"/>
  <c r="G55" i="1"/>
  <c r="E55" i="1"/>
  <c r="L54" i="1"/>
  <c r="M54" i="1" s="1" a="1"/>
  <c r="M54" i="1" s="1"/>
  <c r="J54" i="1"/>
  <c r="I54" i="1"/>
  <c r="H54" i="1" s="1"/>
  <c r="G54" i="1"/>
  <c r="E54" i="1"/>
  <c r="L53" i="1"/>
  <c r="M53" i="1" s="1" a="1"/>
  <c r="M53" i="1" s="1"/>
  <c r="J53" i="1"/>
  <c r="I53" i="1"/>
  <c r="H53" i="1"/>
  <c r="F53" i="1" s="1"/>
  <c r="K53" i="1" s="1"/>
  <c r="G53" i="1"/>
  <c r="E53" i="1"/>
  <c r="M52" i="1" a="1"/>
  <c r="M52" i="1" s="1"/>
  <c r="J52" i="1"/>
  <c r="L52" i="1" s="1"/>
  <c r="I52" i="1"/>
  <c r="H52" i="1" s="1"/>
  <c r="G52" i="1"/>
  <c r="F52" i="1" s="1"/>
  <c r="K52" i="1" s="1"/>
  <c r="E52" i="1"/>
  <c r="L51" i="1"/>
  <c r="M51" i="1" s="1" a="1"/>
  <c r="M51" i="1" s="1"/>
  <c r="J51" i="1"/>
  <c r="I51" i="1"/>
  <c r="H51" i="1" s="1"/>
  <c r="F51" i="1" s="1"/>
  <c r="K51" i="1" s="1"/>
  <c r="G51" i="1"/>
  <c r="E51" i="1"/>
  <c r="T50" i="1"/>
  <c r="M50" i="1" a="1"/>
  <c r="M50" i="1"/>
  <c r="J50" i="1"/>
  <c r="L50" i="1" s="1"/>
  <c r="I50" i="1"/>
  <c r="H50" i="1" s="1"/>
  <c r="G50" i="1"/>
  <c r="E50" i="1"/>
  <c r="J49" i="1"/>
  <c r="L49" i="1" s="1"/>
  <c r="M49" i="1" s="1" a="1"/>
  <c r="M49" i="1" s="1"/>
  <c r="I49" i="1"/>
  <c r="H49" i="1"/>
  <c r="G49" i="1"/>
  <c r="E49" i="1"/>
  <c r="M48" i="1" a="1"/>
  <c r="M48" i="1" s="1"/>
  <c r="J48" i="1"/>
  <c r="L48" i="1" s="1"/>
  <c r="I48" i="1"/>
  <c r="H48" i="1" s="1"/>
  <c r="G48" i="1"/>
  <c r="F48" i="1" s="1"/>
  <c r="K48" i="1" s="1"/>
  <c r="E48" i="1"/>
  <c r="J47" i="1"/>
  <c r="L47" i="1" s="1"/>
  <c r="M47" i="1" s="1" a="1"/>
  <c r="M47" i="1" s="1"/>
  <c r="I47" i="1"/>
  <c r="H47" i="1" s="1"/>
  <c r="G47" i="1"/>
  <c r="F47" i="1" s="1"/>
  <c r="K47" i="1" s="1"/>
  <c r="E47" i="1"/>
  <c r="J46" i="1"/>
  <c r="L46" i="1" s="1"/>
  <c r="M46" i="1" s="1" a="1"/>
  <c r="M46" i="1" s="1"/>
  <c r="I46" i="1"/>
  <c r="H46" i="1" s="1"/>
  <c r="G46" i="1"/>
  <c r="E46" i="1"/>
  <c r="J45" i="1"/>
  <c r="L45" i="1" s="1"/>
  <c r="M45" i="1" s="1" a="1"/>
  <c r="M45" i="1" s="1"/>
  <c r="I45" i="1"/>
  <c r="H45" i="1" s="1"/>
  <c r="G45" i="1"/>
  <c r="F45" i="1" s="1"/>
  <c r="K45" i="1" s="1"/>
  <c r="E45" i="1"/>
  <c r="L44" i="1"/>
  <c r="M44" i="1" s="1" a="1"/>
  <c r="M44" i="1" s="1"/>
  <c r="J44" i="1"/>
  <c r="I44" i="1"/>
  <c r="H44" i="1" s="1"/>
  <c r="G44" i="1"/>
  <c r="F44" i="1" s="1"/>
  <c r="K44" i="1" s="1"/>
  <c r="E44" i="1"/>
  <c r="J43" i="1"/>
  <c r="L43" i="1" s="1"/>
  <c r="M43" i="1" s="1" a="1"/>
  <c r="M43" i="1" s="1"/>
  <c r="I43" i="1"/>
  <c r="H43" i="1" s="1"/>
  <c r="G43" i="1"/>
  <c r="F43" i="1" s="1"/>
  <c r="K43" i="1" s="1"/>
  <c r="E43" i="1"/>
  <c r="J42" i="1"/>
  <c r="L42" i="1" s="1"/>
  <c r="M42" i="1" s="1" a="1"/>
  <c r="M42" i="1" s="1"/>
  <c r="I42" i="1"/>
  <c r="H42" i="1" s="1"/>
  <c r="G42" i="1"/>
  <c r="E42" i="1"/>
  <c r="T41" i="1"/>
  <c r="J41" i="1"/>
  <c r="L41" i="1" s="1"/>
  <c r="M41" i="1" s="1" a="1"/>
  <c r="M41" i="1" s="1"/>
  <c r="I41" i="1"/>
  <c r="H41" i="1" s="1"/>
  <c r="G41" i="1"/>
  <c r="E41" i="1"/>
  <c r="J40" i="1"/>
  <c r="L40" i="1" s="1"/>
  <c r="M40" i="1" s="1" a="1"/>
  <c r="M40" i="1" s="1"/>
  <c r="I40" i="1"/>
  <c r="H40" i="1"/>
  <c r="G40" i="1"/>
  <c r="F40" i="1" s="1"/>
  <c r="K40" i="1" s="1"/>
  <c r="E40" i="1"/>
  <c r="L39" i="1"/>
  <c r="M39" i="1" s="1" a="1"/>
  <c r="M39" i="1" s="1"/>
  <c r="J39" i="1"/>
  <c r="I39" i="1"/>
  <c r="H39" i="1" s="1"/>
  <c r="G39" i="1"/>
  <c r="E39" i="1"/>
  <c r="J38" i="1"/>
  <c r="L38" i="1" s="1"/>
  <c r="M38" i="1" s="1" a="1"/>
  <c r="M38" i="1" s="1"/>
  <c r="I38" i="1"/>
  <c r="H38" i="1"/>
  <c r="G38" i="1"/>
  <c r="E38" i="1"/>
  <c r="J37" i="1"/>
  <c r="L37" i="1" s="1"/>
  <c r="M37" i="1" s="1" a="1"/>
  <c r="M37" i="1" s="1"/>
  <c r="I37" i="1"/>
  <c r="H37" i="1" s="1"/>
  <c r="G37" i="1"/>
  <c r="E37" i="1"/>
  <c r="L36" i="1"/>
  <c r="M36" i="1" s="1" a="1"/>
  <c r="M36" i="1" s="1"/>
  <c r="J36" i="1"/>
  <c r="I36" i="1"/>
  <c r="H36" i="1" s="1"/>
  <c r="G36" i="1"/>
  <c r="E36" i="1"/>
  <c r="J35" i="1"/>
  <c r="L35" i="1" s="1"/>
  <c r="M35" i="1" s="1" a="1"/>
  <c r="M35" i="1" s="1"/>
  <c r="I35" i="1"/>
  <c r="H35" i="1" s="1"/>
  <c r="G35" i="1"/>
  <c r="E35" i="1"/>
  <c r="J34" i="1"/>
  <c r="L34" i="1" s="1"/>
  <c r="M34" i="1" s="1" a="1"/>
  <c r="M34" i="1" s="1"/>
  <c r="I34" i="1"/>
  <c r="H34" i="1"/>
  <c r="G34" i="1"/>
  <c r="F34" i="1" s="1"/>
  <c r="K34" i="1" s="1"/>
  <c r="E34" i="1"/>
  <c r="J33" i="1"/>
  <c r="L33" i="1" s="1"/>
  <c r="M33" i="1" s="1" a="1"/>
  <c r="M33" i="1" s="1"/>
  <c r="I33" i="1"/>
  <c r="H33" i="1" s="1"/>
  <c r="G33" i="1"/>
  <c r="E33" i="1"/>
  <c r="T32" i="1"/>
  <c r="J32" i="1"/>
  <c r="L32" i="1" s="1"/>
  <c r="M32" i="1" s="1" a="1"/>
  <c r="M32" i="1" s="1"/>
  <c r="I32" i="1"/>
  <c r="H32" i="1" s="1"/>
  <c r="F32" i="1" s="1"/>
  <c r="K32" i="1" s="1"/>
  <c r="G32" i="1"/>
  <c r="E32" i="1"/>
  <c r="J31" i="1"/>
  <c r="L31" i="1" s="1"/>
  <c r="M31" i="1" s="1" a="1"/>
  <c r="M31" i="1" s="1"/>
  <c r="I31" i="1"/>
  <c r="H31" i="1" s="1"/>
  <c r="G31" i="1"/>
  <c r="E31" i="1"/>
  <c r="J30" i="1"/>
  <c r="L30" i="1" s="1"/>
  <c r="M30" i="1" s="1" a="1"/>
  <c r="M30" i="1" s="1"/>
  <c r="I30" i="1"/>
  <c r="H30" i="1" s="1"/>
  <c r="G30" i="1"/>
  <c r="E30" i="1"/>
  <c r="L29" i="1"/>
  <c r="M29" i="1" s="1" a="1"/>
  <c r="M29" i="1" s="1"/>
  <c r="J29" i="1"/>
  <c r="I29" i="1"/>
  <c r="H29" i="1" s="1"/>
  <c r="F29" i="1" s="1"/>
  <c r="K29" i="1" s="1"/>
  <c r="G29" i="1"/>
  <c r="E29" i="1"/>
  <c r="J28" i="1"/>
  <c r="L28" i="1" s="1"/>
  <c r="M28" i="1" s="1" a="1"/>
  <c r="M28" i="1" s="1"/>
  <c r="I28" i="1"/>
  <c r="H28" i="1" s="1"/>
  <c r="F28" i="1" s="1"/>
  <c r="K28" i="1" s="1"/>
  <c r="G28" i="1"/>
  <c r="E28" i="1"/>
  <c r="J27" i="1"/>
  <c r="L27" i="1" s="1"/>
  <c r="M27" i="1" s="1" a="1"/>
  <c r="M27" i="1" s="1"/>
  <c r="I27" i="1"/>
  <c r="H27" i="1" s="1"/>
  <c r="G27" i="1"/>
  <c r="E27" i="1"/>
  <c r="J26" i="1"/>
  <c r="L26" i="1" s="1"/>
  <c r="M26" i="1" s="1" a="1"/>
  <c r="M26" i="1" s="1"/>
  <c r="I26" i="1"/>
  <c r="H26" i="1" s="1"/>
  <c r="G26" i="1"/>
  <c r="E26" i="1"/>
  <c r="L25" i="1"/>
  <c r="M25" i="1" s="1" a="1"/>
  <c r="M25" i="1" s="1"/>
  <c r="J25" i="1"/>
  <c r="I25" i="1"/>
  <c r="H25" i="1" s="1"/>
  <c r="G25" i="1"/>
  <c r="E25" i="1"/>
  <c r="K24" i="1"/>
  <c r="J24" i="1"/>
  <c r="L24" i="1" s="1"/>
  <c r="M24" i="1" s="1" a="1"/>
  <c r="M24" i="1" s="1"/>
  <c r="I24" i="1"/>
  <c r="H24" i="1" s="1"/>
  <c r="F24" i="1" s="1"/>
  <c r="G24" i="1"/>
  <c r="E24" i="1"/>
  <c r="J23" i="1"/>
  <c r="L23" i="1" s="1"/>
  <c r="M23" i="1" s="1" a="1"/>
  <c r="M23" i="1" s="1"/>
  <c r="I23" i="1"/>
  <c r="H23" i="1" s="1"/>
  <c r="G23" i="1"/>
  <c r="E23" i="1"/>
  <c r="J22" i="1"/>
  <c r="L22" i="1" s="1"/>
  <c r="M22" i="1" s="1" a="1"/>
  <c r="M22" i="1" s="1"/>
  <c r="I22" i="1"/>
  <c r="H22" i="1" s="1"/>
  <c r="G22" i="1"/>
  <c r="E22" i="1"/>
  <c r="L21" i="1"/>
  <c r="M21" i="1" s="1" a="1"/>
  <c r="M21" i="1" s="1"/>
  <c r="J21" i="1"/>
  <c r="I21" i="1"/>
  <c r="H21" i="1" s="1"/>
  <c r="G21" i="1"/>
  <c r="E21" i="1"/>
  <c r="L20" i="1"/>
  <c r="M20" i="1" s="1" a="1"/>
  <c r="M20" i="1" s="1"/>
  <c r="J20" i="1"/>
  <c r="I20" i="1"/>
  <c r="H20" i="1" s="1"/>
  <c r="G20" i="1"/>
  <c r="E20" i="1"/>
  <c r="K19" i="1"/>
  <c r="J19" i="1"/>
  <c r="L19" i="1" s="1"/>
  <c r="M19" i="1" s="1" a="1"/>
  <c r="M19" i="1" s="1"/>
  <c r="I19" i="1"/>
  <c r="H19" i="1" s="1"/>
  <c r="F19" i="1" s="1"/>
  <c r="G19" i="1"/>
  <c r="E19" i="1"/>
  <c r="J18" i="1"/>
  <c r="L18" i="1" s="1"/>
  <c r="M18" i="1" s="1" a="1"/>
  <c r="M18" i="1" s="1"/>
  <c r="I18" i="1"/>
  <c r="H18" i="1" s="1"/>
  <c r="F18" i="1" s="1"/>
  <c r="K18" i="1" s="1"/>
  <c r="G18" i="1"/>
  <c r="E18" i="1"/>
  <c r="L17" i="1"/>
  <c r="M17" i="1" s="1" a="1"/>
  <c r="M17" i="1" s="1"/>
  <c r="J17" i="1"/>
  <c r="I17" i="1"/>
  <c r="H17" i="1" s="1"/>
  <c r="F17" i="1" s="1"/>
  <c r="K17" i="1" s="1"/>
  <c r="G17" i="1"/>
  <c r="E17" i="1"/>
  <c r="J16" i="1"/>
  <c r="L16" i="1" s="1"/>
  <c r="M16" i="1" s="1" a="1"/>
  <c r="M16" i="1" s="1"/>
  <c r="I16" i="1"/>
  <c r="H16" i="1" s="1"/>
  <c r="G16" i="1"/>
  <c r="E16" i="1"/>
  <c r="J15" i="1"/>
  <c r="L15" i="1" s="1"/>
  <c r="M15" i="1" s="1" a="1"/>
  <c r="M15" i="1" s="1"/>
  <c r="I15" i="1"/>
  <c r="H15" i="1" s="1"/>
  <c r="G15" i="1"/>
  <c r="E15" i="1"/>
  <c r="L14" i="1"/>
  <c r="M14" i="1" s="1" a="1"/>
  <c r="M14" i="1" s="1"/>
  <c r="J14" i="1"/>
  <c r="I14" i="1"/>
  <c r="H14" i="1" s="1"/>
  <c r="G14" i="1"/>
  <c r="E14" i="1"/>
  <c r="L13" i="1"/>
  <c r="M13" i="1" s="1" a="1"/>
  <c r="M13" i="1" s="1"/>
  <c r="J13" i="1"/>
  <c r="I13" i="1"/>
  <c r="H13" i="1" s="1"/>
  <c r="F13" i="1" s="1"/>
  <c r="K13" i="1" s="1"/>
  <c r="G13" i="1"/>
  <c r="E13" i="1"/>
  <c r="L12" i="1"/>
  <c r="M12" i="1" s="1" a="1"/>
  <c r="M12" i="1" s="1"/>
  <c r="J12" i="1"/>
  <c r="I12" i="1"/>
  <c r="H12" i="1" s="1"/>
  <c r="G12" i="1"/>
  <c r="E12" i="1"/>
  <c r="J11" i="1"/>
  <c r="L11" i="1" s="1"/>
  <c r="M11" i="1" s="1" a="1"/>
  <c r="M11" i="1" s="1"/>
  <c r="I11" i="1"/>
  <c r="H11" i="1" s="1"/>
  <c r="G11" i="1"/>
  <c r="E11" i="1"/>
  <c r="J10" i="1"/>
  <c r="L10" i="1" s="1"/>
  <c r="M10" i="1" s="1" a="1"/>
  <c r="M10" i="1" s="1"/>
  <c r="I10" i="1"/>
  <c r="H10" i="1" s="1"/>
  <c r="F10" i="1" s="1"/>
  <c r="K10" i="1" s="1"/>
  <c r="G10" i="1"/>
  <c r="E10" i="1"/>
  <c r="J9" i="1"/>
  <c r="L9" i="1" s="1"/>
  <c r="M9" i="1" s="1" a="1"/>
  <c r="M9" i="1" s="1"/>
  <c r="I9" i="1"/>
  <c r="H9" i="1" s="1"/>
  <c r="G9" i="1"/>
  <c r="E9" i="1"/>
  <c r="J8" i="1"/>
  <c r="L8" i="1" s="1"/>
  <c r="M8" i="1" s="1" a="1"/>
  <c r="M8" i="1" s="1"/>
  <c r="I8" i="1"/>
  <c r="H8" i="1" s="1"/>
  <c r="G8" i="1"/>
  <c r="E8" i="1"/>
  <c r="L7" i="1"/>
  <c r="M7" i="1" s="1" a="1"/>
  <c r="M7" i="1" s="1"/>
  <c r="J7" i="1"/>
  <c r="I7" i="1"/>
  <c r="H7" i="1" s="1"/>
  <c r="G7" i="1"/>
  <c r="E7" i="1"/>
  <c r="L6" i="1"/>
  <c r="M6" i="1" s="1" a="1"/>
  <c r="M6" i="1" s="1"/>
  <c r="J6" i="1"/>
  <c r="I6" i="1"/>
  <c r="H6" i="1" s="1"/>
  <c r="F6" i="1" s="1"/>
  <c r="K6" i="1" s="1"/>
  <c r="G6" i="1"/>
  <c r="E6" i="1"/>
  <c r="J5" i="1"/>
  <c r="L5" i="1" s="1"/>
  <c r="M5" i="1" s="1" a="1"/>
  <c r="M5" i="1" s="1"/>
  <c r="I5" i="1"/>
  <c r="H5" i="1" s="1"/>
  <c r="G5" i="1"/>
  <c r="E5" i="1"/>
  <c r="J4" i="1"/>
  <c r="L4" i="1" s="1"/>
  <c r="M4" i="1" s="1" a="1"/>
  <c r="M4" i="1" s="1"/>
  <c r="I4" i="1"/>
  <c r="H4" i="1" s="1"/>
  <c r="G4" i="1"/>
  <c r="E4" i="1"/>
  <c r="J3" i="1"/>
  <c r="L3" i="1" s="1"/>
  <c r="M3" i="1" s="1" a="1"/>
  <c r="M3" i="1" s="1"/>
  <c r="I3" i="1"/>
  <c r="H3" i="1" s="1"/>
  <c r="G3" i="1"/>
  <c r="E3" i="1"/>
  <c r="L2" i="1"/>
  <c r="M2" i="1" s="1" a="1"/>
  <c r="M2" i="1" s="1"/>
  <c r="J2" i="1"/>
  <c r="I2" i="1"/>
  <c r="H2" i="1" s="1"/>
  <c r="G2" i="1"/>
  <c r="E2" i="1"/>
  <c r="F169" i="1" l="1"/>
  <c r="K169" i="1" s="1"/>
  <c r="F152" i="1"/>
  <c r="K152" i="1" s="1"/>
  <c r="F164" i="1"/>
  <c r="K164" i="1" s="1"/>
  <c r="F168" i="1"/>
  <c r="K168" i="1" s="1"/>
  <c r="F206" i="1"/>
  <c r="K206" i="1" s="1"/>
  <c r="F92" i="1"/>
  <c r="K92" i="1" s="1"/>
  <c r="F131" i="1"/>
  <c r="K131" i="1" s="1"/>
  <c r="F70" i="1"/>
  <c r="K70" i="1" s="1"/>
  <c r="F20" i="1"/>
  <c r="K20" i="1" s="1"/>
  <c r="F25" i="1"/>
  <c r="K25" i="1" s="1"/>
  <c r="F36" i="1"/>
  <c r="K36" i="1" s="1"/>
  <c r="F11" i="1"/>
  <c r="K11" i="1" s="1"/>
  <c r="F27" i="1"/>
  <c r="K27" i="1" s="1"/>
  <c r="F49" i="1"/>
  <c r="K49" i="1" s="1"/>
  <c r="F125" i="1"/>
  <c r="K125" i="1" s="1"/>
  <c r="F145" i="1"/>
  <c r="K145" i="1" s="1"/>
  <c r="F219" i="1"/>
  <c r="K219" i="1" s="1"/>
  <c r="F231" i="1"/>
  <c r="K231" i="1" s="1"/>
  <c r="F238" i="1"/>
  <c r="K238" i="1" s="1"/>
  <c r="F249" i="1"/>
  <c r="K249" i="1" s="1"/>
  <c r="F259" i="1"/>
  <c r="K259" i="1" s="1"/>
  <c r="F54" i="1"/>
  <c r="K54" i="1" s="1"/>
  <c r="F228" i="1"/>
  <c r="K228" i="1" s="1"/>
  <c r="F252" i="1"/>
  <c r="K252" i="1" s="1"/>
  <c r="F80" i="1"/>
  <c r="K80" i="1" s="1"/>
  <c r="F15" i="1"/>
  <c r="K15" i="1" s="1"/>
  <c r="F22" i="1"/>
  <c r="K22" i="1" s="1"/>
  <c r="F31" i="1"/>
  <c r="K31" i="1" s="1"/>
  <c r="F38" i="1"/>
  <c r="K38" i="1" s="1"/>
  <c r="F60" i="1"/>
  <c r="K60" i="1" s="1"/>
  <c r="F71" i="1"/>
  <c r="K71" i="1" s="1"/>
  <c r="F76" i="1"/>
  <c r="K76" i="1" s="1"/>
  <c r="F116" i="1"/>
  <c r="K116" i="1" s="1"/>
  <c r="F184" i="1"/>
  <c r="K184" i="1" s="1"/>
  <c r="F221" i="1"/>
  <c r="K221" i="1" s="1"/>
  <c r="F41" i="1"/>
  <c r="K41" i="1" s="1"/>
  <c r="F35" i="1"/>
  <c r="K35" i="1" s="1"/>
  <c r="F73" i="1"/>
  <c r="K73" i="1" s="1"/>
  <c r="F104" i="1"/>
  <c r="K104" i="1" s="1"/>
  <c r="F194" i="1"/>
  <c r="K194" i="1" s="1"/>
  <c r="F197" i="1"/>
  <c r="K197" i="1" s="1"/>
  <c r="F216" i="1"/>
  <c r="K216" i="1" s="1"/>
  <c r="F264" i="1"/>
  <c r="K264" i="1" s="1"/>
  <c r="F33" i="1"/>
  <c r="K33" i="1" s="1"/>
  <c r="F3" i="1"/>
  <c r="K3" i="1" s="1"/>
  <c r="F8" i="1"/>
  <c r="K8" i="1" s="1"/>
  <c r="F26" i="1"/>
  <c r="K26" i="1" s="1"/>
  <c r="F96" i="1"/>
  <c r="K96" i="1" s="1"/>
  <c r="F192" i="1"/>
  <c r="K192" i="1" s="1"/>
  <c r="F201" i="1"/>
  <c r="K201" i="1" s="1"/>
  <c r="F203" i="1"/>
  <c r="K203" i="1" s="1"/>
  <c r="F239" i="1"/>
  <c r="K239" i="1" s="1"/>
  <c r="F37" i="1"/>
  <c r="K37" i="1" s="1"/>
  <c r="F117" i="1"/>
  <c r="K117" i="1" s="1"/>
  <c r="F119" i="1"/>
  <c r="K119" i="1" s="1"/>
  <c r="F176" i="1"/>
  <c r="K176" i="1" s="1"/>
  <c r="F181" i="1"/>
  <c r="K181" i="1" s="1"/>
  <c r="F212" i="1"/>
  <c r="K212" i="1" s="1"/>
  <c r="F220" i="1"/>
  <c r="K220" i="1" s="1"/>
  <c r="F5" i="1"/>
  <c r="K5" i="1" s="1"/>
  <c r="F16" i="1"/>
  <c r="K16" i="1" s="1"/>
  <c r="F23" i="1"/>
  <c r="K23" i="1" s="1"/>
  <c r="F30" i="1"/>
  <c r="K30" i="1" s="1"/>
  <c r="F42" i="1"/>
  <c r="K42" i="1" s="1"/>
  <c r="F77" i="1"/>
  <c r="K77" i="1" s="1"/>
  <c r="F81" i="1"/>
  <c r="K81" i="1" s="1"/>
  <c r="F101" i="1"/>
  <c r="K101" i="1" s="1"/>
  <c r="F183" i="1"/>
  <c r="K183" i="1" s="1"/>
  <c r="F247" i="1"/>
  <c r="K247" i="1" s="1"/>
  <c r="F253" i="1"/>
  <c r="K253" i="1" s="1"/>
  <c r="F12" i="1"/>
  <c r="K12" i="1" s="1"/>
  <c r="F14" i="1"/>
  <c r="K14" i="1" s="1"/>
  <c r="F21" i="1"/>
  <c r="K21" i="1" s="1"/>
  <c r="F50" i="1"/>
  <c r="K50" i="1" s="1"/>
  <c r="F2" i="1"/>
  <c r="K2" i="1" s="1"/>
  <c r="F4" i="1"/>
  <c r="K4" i="1" s="1"/>
  <c r="F7" i="1"/>
  <c r="K7" i="1" s="1"/>
  <c r="F9" i="1"/>
  <c r="K9" i="1" s="1"/>
  <c r="F39" i="1"/>
  <c r="K39" i="1" s="1"/>
  <c r="F97" i="1"/>
  <c r="K97" i="1" s="1"/>
  <c r="F127" i="1"/>
  <c r="K127" i="1" s="1"/>
  <c r="F129" i="1"/>
  <c r="K129" i="1" s="1"/>
  <c r="F134" i="1"/>
  <c r="K134" i="1" s="1"/>
  <c r="F139" i="1"/>
  <c r="K139" i="1" s="1"/>
  <c r="F143" i="1"/>
  <c r="K143" i="1" s="1"/>
  <c r="F153" i="1"/>
  <c r="K153" i="1" s="1"/>
  <c r="F173" i="1"/>
  <c r="K173" i="1" s="1"/>
  <c r="F207" i="1"/>
  <c r="K207" i="1" s="1"/>
  <c r="F256" i="1"/>
  <c r="K256" i="1" s="1"/>
  <c r="F112" i="1"/>
  <c r="K112" i="1" s="1"/>
  <c r="F69" i="1"/>
  <c r="K69" i="1" s="1"/>
  <c r="F79" i="1"/>
  <c r="K79" i="1" s="1"/>
  <c r="F109" i="1"/>
  <c r="K109" i="1" s="1"/>
  <c r="F46" i="1"/>
  <c r="K46" i="1" s="1"/>
  <c r="F67" i="1"/>
  <c r="K67" i="1" s="1"/>
  <c r="F57" i="1"/>
  <c r="K57" i="1" s="1"/>
  <c r="F185" i="1"/>
  <c r="K185" i="1" s="1"/>
  <c r="F182" i="1"/>
  <c r="K182" i="1" s="1"/>
  <c r="F232" i="1"/>
  <c r="K232" i="1" s="1"/>
  <c r="F190" i="1"/>
  <c r="K190" i="1" s="1"/>
  <c r="F189" i="1"/>
  <c r="K189" i="1" s="1"/>
  <c r="F193" i="1"/>
  <c r="K193" i="1" s="1"/>
  <c r="F196" i="1"/>
  <c r="K196" i="1" s="1"/>
  <c r="F198" i="1"/>
  <c r="K198" i="1" s="1"/>
  <c r="F263" i="1"/>
  <c r="K263" i="1" s="1"/>
  <c r="F186" i="1"/>
  <c r="K186" i="1" s="1"/>
  <c r="F191" i="1"/>
  <c r="K191" i="1" s="1"/>
  <c r="F265" i="1"/>
  <c r="K265" i="1" s="1"/>
</calcChain>
</file>

<file path=xl/sharedStrings.xml><?xml version="1.0" encoding="utf-8"?>
<sst xmlns="http://schemas.openxmlformats.org/spreadsheetml/2006/main" count="3069" uniqueCount="1245">
  <si>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</si>
  <si>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</si>
  <si>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</si>
  <si>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</si>
  <si>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</si>
  <si>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</si>
  <si>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</si>
  <si>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</si>
  <si>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</si>
  <si>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</si>
  <si>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</si>
  <si>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</si>
  <si>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</si>
  <si>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</si>
  <si>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</si>
  <si>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</si>
  <si>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</si>
  <si>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</si>
  <si>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</si>
  <si>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</si>
  <si>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</si>
  <si>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</si>
  <si>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</si>
  <si>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</si>
  <si>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</si>
  <si>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</si>
  <si>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</si>
  <si>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</si>
  <si>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</si>
  <si>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</si>
  <si>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</si>
  <si>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</si>
  <si>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</si>
  <si>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</si>
  <si>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</si>
  <si>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</si>
  <si>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</si>
  <si>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</si>
  <si>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</si>
  <si>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</si>
  <si>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</si>
  <si>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</si>
  <si>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</si>
  <si>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</si>
  <si>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</si>
  <si>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</si>
  <si>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</si>
  <si>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</si>
  <si>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</si>
  <si>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</si>
  <si>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</si>
  <si>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</si>
  <si>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</si>
  <si>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</si>
  <si>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</si>
  <si>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</si>
  <si>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</si>
  <si>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</si>
  <si>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</si>
  <si>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</si>
  <si>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</si>
  <si>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</si>
  <si>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</si>
  <si>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</si>
  <si>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</si>
  <si>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</si>
  <si>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</si>
  <si>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</si>
  <si>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</si>
  <si>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</si>
  <si>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</si>
  <si>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</si>
  <si>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</si>
  <si>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</si>
  <si>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</si>
  <si>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</si>
  <si>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</si>
  <si>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</si>
  <si>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</si>
  <si>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</si>
  <si>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</si>
  <si>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</si>
  <si>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</si>
  <si>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</si>
  <si>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</si>
  <si>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</si>
  <si>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</si>
  <si>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</si>
  <si>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</si>
  <si>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</si>
  <si>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</si>
  <si>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</si>
  <si>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</si>
  <si>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</si>
  <si>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</si>
  <si>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</si>
  <si>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</si>
  <si>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</si>
  <si>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</si>
  <si>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</si>
  <si>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</si>
  <si>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</si>
  <si>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</si>
  <si>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</si>
  <si>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</si>
  <si>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</si>
  <si>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</si>
  <si>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</si>
  <si>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</si>
  <si>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</si>
  <si>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</si>
  <si>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</si>
  <si>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</si>
  <si>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</si>
  <si>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</si>
  <si>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</si>
  <si>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</si>
  <si>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</si>
  <si>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</si>
  <si>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</si>
  <si>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</si>
  <si>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</si>
  <si>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</si>
  <si>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</si>
  <si>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</si>
  <si>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</si>
  <si>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</si>
  <si>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</si>
  <si>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</si>
  <si>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</si>
  <si>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</si>
  <si>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</si>
  <si>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</si>
  <si>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</si>
  <si>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</si>
  <si>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</si>
  <si>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</si>
  <si>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</si>
  <si>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</si>
  <si>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</si>
  <si>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</si>
  <si>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</si>
  <si>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</si>
  <si>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</si>
  <si>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</si>
  <si>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</si>
  <si>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</si>
  <si>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</si>
  <si>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</si>
  <si>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</si>
  <si>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</si>
  <si>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</si>
  <si>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</si>
  <si>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</si>
  <si>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</si>
  <si>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</si>
  <si>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</si>
  <si>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</si>
  <si>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</si>
  <si>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</si>
  <si>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</si>
  <si>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</si>
  <si>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</si>
  <si>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</si>
  <si>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</si>
  <si>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</si>
  <si>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</si>
  <si>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</si>
  <si>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</si>
  <si>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</si>
  <si>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</si>
  <si>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</si>
  <si>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</si>
  <si>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</si>
  <si>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</si>
  <si>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</si>
  <si>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</si>
  <si>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</si>
  <si>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</si>
  <si>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</si>
  <si>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</si>
  <si>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</si>
  <si>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</si>
  <si>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</si>
  <si>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</si>
  <si>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</si>
  <si>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</si>
  <si>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</si>
  <si>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</si>
  <si>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</si>
  <si>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</si>
  <si>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</si>
  <si>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</si>
  <si>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</si>
  <si>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</si>
  <si>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</si>
  <si>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</si>
  <si>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</si>
  <si>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</si>
  <si>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</si>
  <si>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</si>
  <si>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</si>
  <si>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</si>
  <si>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</si>
  <si>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</si>
  <si>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</si>
  <si>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</si>
  <si>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</si>
  <si>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</si>
  <si>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</si>
  <si>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</si>
  <si>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</si>
  <si>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</si>
  <si>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</si>
  <si>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</si>
  <si>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</si>
  <si>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</si>
  <si>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</si>
  <si>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</si>
  <si>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</si>
  <si>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</si>
  <si>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</si>
  <si>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</si>
  <si>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</si>
  <si>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</si>
  <si>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</si>
  <si>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</si>
  <si>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</si>
  <si>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</si>
  <si>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</si>
  <si>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</si>
  <si>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</si>
  <si>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</si>
  <si>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</si>
  <si>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</si>
  <si>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</si>
  <si>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</si>
  <si>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</si>
  <si>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</si>
  <si>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</si>
  <si>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</si>
  <si>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</si>
  <si>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</si>
  <si>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</si>
  <si>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</si>
  <si>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</si>
  <si>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</si>
  <si>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</si>
  <si>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</si>
  <si>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</si>
  <si>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</si>
  <si>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</si>
  <si>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</si>
  <si>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</si>
  <si>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</si>
  <si>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</si>
  <si>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</si>
  <si>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</si>
  <si>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</si>
  <si>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</si>
  <si>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</si>
  <si>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</si>
  <si>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</si>
  <si>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</si>
  <si>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</si>
  <si>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</si>
  <si>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</si>
  <si>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</si>
  <si>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</si>
  <si>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</si>
  <si>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</si>
  <si>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</si>
  <si>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</si>
  <si>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</si>
  <si>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</si>
  <si>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</si>
  <si>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</si>
  <si>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</si>
  <si>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</si>
  <si>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</si>
  <si>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</si>
  <si>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</si>
  <si>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</si>
  <si>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</si>
  <si>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</si>
  <si>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</si>
  <si>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</si>
  <si>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</si>
  <si>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</si>
  <si>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</si>
  <si>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</si>
  <si>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</si>
  <si>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</si>
  <si>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</si>
  <si>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</si>
  <si>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</si>
  <si>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</si>
  <si>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</si>
  <si>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</si>
  <si>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</si>
  <si>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</si>
  <si>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</si>
  <si>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</si>
  <si>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</si>
  <si>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</si>
  <si>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</si>
  <si>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</si>
  <si>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</si>
  <si>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</si>
  <si>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</si>
  <si>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</si>
  <si>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</si>
  <si>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</si>
  <si>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</si>
  <si>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</si>
  <si>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</si>
  <si>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</si>
  <si>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</si>
  <si>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</si>
  <si>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</si>
  <si>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</si>
  <si>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</si>
  <si>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</si>
  <si>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</si>
  <si>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</si>
  <si>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</si>
  <si>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</si>
  <si>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</si>
  <si>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</si>
  <si>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</si>
  <si>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</si>
  <si>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</si>
  <si>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</si>
  <si>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</si>
  <si>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</si>
  <si>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</si>
  <si>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</si>
  <si>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</si>
  <si>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</si>
  <si>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</si>
  <si>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</si>
  <si>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</si>
  <si>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</si>
  <si>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</si>
  <si>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</si>
  <si>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</si>
  <si>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</si>
  <si>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</si>
  <si>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</si>
  <si>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</si>
  <si>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</si>
  <si>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</si>
  <si>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</si>
  <si>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</si>
  <si>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</si>
  <si>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</si>
  <si>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</si>
  <si>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</si>
  <si>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</si>
  <si>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</si>
  <si>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</si>
  <si>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</si>
  <si>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</si>
  <si>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</si>
  <si>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</si>
  <si>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</si>
  <si>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</si>
  <si>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</si>
  <si>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</si>
  <si>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</si>
  <si>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</si>
  <si>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</si>
  <si>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</si>
  <si>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</si>
  <si>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</si>
  <si>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</si>
  <si>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</si>
  <si>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</si>
  <si>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</si>
  <si>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</si>
  <si>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</si>
  <si>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</si>
  <si>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</si>
  <si>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</si>
  <si>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</si>
  <si>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</si>
  <si>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</si>
  <si>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</si>
  <si>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</si>
  <si>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</si>
  <si>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</si>
  <si>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</si>
  <si>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</si>
  <si>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</si>
  <si>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</si>
  <si>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</si>
  <si>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</si>
  <si>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</si>
  <si>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</si>
  <si>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</si>
  <si>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</si>
  <si>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</si>
  <si>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</si>
  <si>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</si>
  <si>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</si>
  <si>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</si>
  <si>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</si>
  <si>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</si>
  <si>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</si>
  <si>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</si>
  <si>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</si>
  <si>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</si>
  <si>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</si>
  <si>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</si>
  <si>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</si>
  <si>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</si>
  <si>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</si>
  <si>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</si>
  <si>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</si>
  <si>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</si>
  <si>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</si>
  <si>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</si>
  <si>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</si>
  <si>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</si>
  <si>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</si>
  <si>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</si>
  <si>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</si>
  <si>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</si>
  <si>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</si>
  <si>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</si>
  <si>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</si>
  <si>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</si>
  <si>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</si>
  <si>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</si>
  <si>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</si>
  <si>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</si>
  <si>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</si>
  <si>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</si>
  <si>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</si>
  <si>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</si>
  <si>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</si>
  <si>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</si>
  <si>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</si>
  <si>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</si>
  <si>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</si>
  <si>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</si>
  <si>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</si>
  <si>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</si>
  <si>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</si>
  <si>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</si>
  <si>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</si>
  <si>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</si>
  <si>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</si>
  <si>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</si>
  <si>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</si>
  <si>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</si>
  <si>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</si>
  <si>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</si>
  <si>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</si>
  <si>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</si>
  <si>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</si>
  <si>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</si>
  <si>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</si>
  <si>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</si>
  <si>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</si>
  <si>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</si>
  <si>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</si>
  <si>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</si>
  <si>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</si>
  <si>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</si>
  <si>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</si>
  <si>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</si>
  <si>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</si>
  <si>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</si>
  <si>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</si>
  <si>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</si>
  <si>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</si>
  <si>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</si>
  <si>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</si>
  <si>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</si>
  <si>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</si>
  <si>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</si>
  <si>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</si>
  <si>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</si>
  <si>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</si>
  <si>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</si>
  <si>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</si>
  <si>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</si>
  <si>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</si>
  <si>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</si>
  <si>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</si>
  <si>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</si>
  <si>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</si>
  <si>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</si>
  <si>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</si>
  <si>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</si>
  <si>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</si>
  <si>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</si>
  <si>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</si>
  <si>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</si>
  <si>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</si>
  <si>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</si>
  <si>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</si>
  <si>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</si>
  <si>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</si>
  <si>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</si>
  <si>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</si>
  <si>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</si>
  <si>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</si>
  <si>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</si>
  <si>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</si>
  <si>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</si>
  <si>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</si>
  <si>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</si>
  <si>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</si>
  <si>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</si>
  <si>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</si>
  <si>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</si>
  <si>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</si>
  <si>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</si>
  <si>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</si>
  <si>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</si>
  <si>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</si>
  <si>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</si>
  <si>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</si>
  <si>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</si>
  <si>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</si>
  <si>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</si>
  <si>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</si>
  <si>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</si>
  <si>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</si>
  <si>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</si>
  <si>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</si>
  <si>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</si>
  <si>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</si>
  <si>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</si>
  <si>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</si>
  <si>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</si>
  <si>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</si>
  <si>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</si>
  <si>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</si>
  <si>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</si>
  <si>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</si>
  <si>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</si>
  <si>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</si>
  <si>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</si>
  <si>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</si>
  <si>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</si>
  <si>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</si>
  <si>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</si>
  <si>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</si>
  <si>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</si>
  <si>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</si>
  <si>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</si>
  <si>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</si>
  <si>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</si>
  <si>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</si>
  <si>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</si>
  <si>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</si>
  <si>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</si>
  <si>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</si>
  <si>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</si>
  <si>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</si>
  <si>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</si>
  <si>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</si>
  <si>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</si>
  <si>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</si>
  <si>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</si>
  <si>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</si>
  <si>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</si>
  <si>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</si>
  <si>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</si>
  <si>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</si>
  <si>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</si>
  <si>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</si>
  <si>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</si>
  <si>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</si>
  <si>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</si>
  <si>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</si>
  <si>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</si>
  <si>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</si>
  <si>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</si>
  <si>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</si>
  <si>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</si>
  <si>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</si>
  <si>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</si>
  <si>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</si>
  <si>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</si>
  <si>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</si>
  <si>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</si>
  <si>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</si>
  <si>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</si>
  <si>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</si>
  <si>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</si>
  <si>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</si>
  <si>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</si>
  <si>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</si>
  <si>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</si>
  <si>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</si>
  <si>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</si>
  <si>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</si>
  <si>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</si>
  <si>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</si>
  <si>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</si>
  <si>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</si>
  <si>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</si>
  <si>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</si>
  <si>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</si>
  <si>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</si>
  <si>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</si>
  <si>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</si>
  <si>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</si>
  <si>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</si>
  <si>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</si>
  <si>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</si>
  <si>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</si>
  <si>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</si>
  <si>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</si>
  <si>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</si>
  <si>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</si>
  <si>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</si>
  <si>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</si>
  <si>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</si>
  <si>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</si>
  <si>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</si>
  <si>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</si>
  <si>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</si>
  <si>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</si>
  <si>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</si>
  <si>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</si>
  <si>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</si>
  <si>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</si>
  <si>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</si>
  <si>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</si>
  <si>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</si>
  <si>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</si>
  <si>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</si>
  <si>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</si>
  <si>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</si>
  <si>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</si>
  <si>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</si>
  <si>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</si>
  <si>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</si>
  <si>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</si>
  <si>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</si>
  <si>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</si>
  <si>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</si>
  <si>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</si>
  <si>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</si>
  <si>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</si>
  <si>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</si>
  <si>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</si>
  <si>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</si>
  <si>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</si>
  <si>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</si>
  <si>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</si>
  <si>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</si>
  <si>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</si>
  <si>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</si>
  <si>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</si>
  <si>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</si>
  <si>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</si>
  <si>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</si>
  <si>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</si>
  <si>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</si>
  <si>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</si>
  <si>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</si>
  <si>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</si>
  <si>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</si>
  <si>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</si>
  <si>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</si>
  <si>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</si>
  <si>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</si>
  <si>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</si>
  <si>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</si>
  <si>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</si>
  <si>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</si>
  <si>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</si>
  <si>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</si>
  <si>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</si>
  <si>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</si>
  <si>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</si>
  <si>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</si>
  <si>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</si>
  <si>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</si>
  <si>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</si>
  <si>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</si>
  <si>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</si>
  <si>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</si>
  <si>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</si>
  <si>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</si>
  <si>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</si>
  <si>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</si>
  <si>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</si>
  <si>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</si>
  <si>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</si>
  <si>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</si>
  <si>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</si>
  <si>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</si>
  <si>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</si>
  <si>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</si>
  <si>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</si>
  <si>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</si>
  <si>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</si>
  <si>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</si>
  <si>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</si>
  <si>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</si>
  <si>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</si>
  <si>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</si>
  <si>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</si>
  <si>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</si>
  <si>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</si>
  <si>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</si>
  <si>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</si>
  <si>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</si>
  <si>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</si>
  <si>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</si>
  <si>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</si>
  <si>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</si>
  <si>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</si>
  <si>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</si>
  <si>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</si>
  <si>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</si>
  <si>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</si>
  <si>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</si>
  <si>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</si>
  <si>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</si>
  <si>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</si>
  <si>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</si>
  <si>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</si>
  <si>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</si>
  <si>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</si>
  <si>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</si>
  <si>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</si>
  <si>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</si>
  <si>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</si>
  <si>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</si>
  <si>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</si>
  <si>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</si>
  <si>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</si>
  <si>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</si>
  <si>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</si>
  <si>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</si>
  <si>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</si>
  <si>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</si>
  <si>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</si>
  <si>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</si>
  <si>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</si>
  <si>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</si>
  <si>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</si>
  <si>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</si>
  <si>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</si>
  <si>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</si>
  <si>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</si>
  <si>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</si>
  <si>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</si>
  <si>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</si>
  <si>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</si>
  <si>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</si>
  <si>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</si>
  <si>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</si>
  <si>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</si>
  <si>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</si>
  <si>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</si>
  <si>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</si>
  <si>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</si>
  <si>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</si>
  <si>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</si>
  <si>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</si>
  <si>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</si>
  <si>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</si>
  <si>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</si>
  <si>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</si>
  <si>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</si>
  <si>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</si>
  <si>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</si>
  <si>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</si>
  <si>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</si>
  <si>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</si>
  <si>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</si>
  <si>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</si>
  <si>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</si>
  <si>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</si>
  <si>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</si>
  <si>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</si>
  <si>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</si>
  <si>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</si>
  <si>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</si>
  <si>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</si>
  <si>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</si>
  <si>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</si>
  <si>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</si>
  <si>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</si>
  <si>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</si>
  <si>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</si>
  <si>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</si>
  <si>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</si>
  <si>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</si>
  <si>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</si>
  <si>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</si>
  <si>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</si>
  <si>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</si>
  <si>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</si>
  <si>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</si>
  <si>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</si>
  <si>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</si>
  <si>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</si>
  <si>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</si>
  <si>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</si>
  <si>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</si>
  <si>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</si>
  <si>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</si>
  <si>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</si>
  <si>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</si>
  <si>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</si>
  <si>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</si>
  <si>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</si>
  <si>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</si>
  <si>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</si>
  <si>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</si>
  <si>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</si>
  <si>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</si>
  <si>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</si>
  <si>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</si>
  <si>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</si>
  <si>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</si>
  <si>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</si>
  <si>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</si>
  <si>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</si>
  <si>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</si>
  <si>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</si>
  <si>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</si>
  <si>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</si>
  <si>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</si>
  <si>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</si>
  <si>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</si>
  <si>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</si>
  <si>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</si>
  <si>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</si>
  <si>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</si>
  <si>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</si>
  <si>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</si>
  <si>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</si>
  <si>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</si>
  <si>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</si>
  <si>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</si>
  <si>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</si>
  <si>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</si>
  <si>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</si>
  <si>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</si>
  <si>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</si>
  <si>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</si>
  <si>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</si>
  <si>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</si>
  <si>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</si>
  <si>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</si>
  <si>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</si>
  <si>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</si>
  <si>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</si>
  <si>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</si>
  <si>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</si>
  <si>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</si>
  <si>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</si>
  <si>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</si>
  <si>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</si>
  <si>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</si>
  <si>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</si>
  <si>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</si>
  <si>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</si>
  <si>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</si>
  <si>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</si>
  <si>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</si>
  <si>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</si>
  <si>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</si>
  <si>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</si>
  <si>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</si>
  <si>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Changizi, M. A., &amp; Shimojo, S. (2005). Parcellation and area-area connectivity as a function of neocortex size. Brain Behavior and Evolution, 66(2), 88-98. https://doi.org/10.1159/000085942</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</si>
  <si>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</si>
  <si>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</si>
  <si>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</si>
  <si>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</si>
  <si>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</si>
  <si>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</si>
  <si>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</si>
  <si>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</si>
  <si>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</si>
  <si>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</si>
  <si>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</si>
  <si>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</si>
  <si>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</si>
  <si>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10.1002%2Fcne.24349_Table3.tsv</t>
  </si>
  <si>
    <t>10.1002%2Fcne.24349_Table5.tsv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</si>
  <si>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</si>
  <si>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</si>
  <si>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</si>
  <si>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</si>
  <si>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</si>
  <si>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</si>
  <si>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</si>
  <si>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</si>
  <si>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</si>
  <si>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</si>
  <si>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</si>
  <si>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</si>
  <si>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</si>
  <si>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</si>
  <si>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</si>
  <si>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</si>
  <si>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</si>
  <si>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</si>
  <si>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</si>
  <si>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</si>
  <si>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</si>
  <si>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</si>
  <si>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</si>
  <si>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</si>
  <si>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</si>
  <si>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</si>
  <si>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</si>
  <si>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</si>
  <si>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</si>
  <si>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</si>
  <si>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</si>
  <si>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</si>
  <si>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</si>
  <si>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</si>
  <si>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</si>
  <si>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</si>
  <si>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</si>
  <si>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</si>
  <si>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</si>
  <si>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</si>
  <si>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</si>
  <si>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</si>
  <si>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</si>
  <si>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</si>
  <si>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</si>
  <si>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</si>
  <si>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</si>
  <si>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</si>
  <si>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</si>
  <si>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</si>
  <si>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</si>
  <si>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</si>
  <si>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</si>
  <si>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</si>
  <si>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</si>
  <si>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</si>
  <si>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</si>
  <si>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</si>
  <si>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</si>
  <si>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</si>
  <si>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</si>
  <si>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</si>
  <si>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</si>
  <si>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</si>
  <si>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</si>
  <si>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</si>
  <si>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</si>
  <si>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</si>
  <si>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</si>
  <si>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</si>
  <si>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</si>
  <si>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</si>
  <si>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</si>
  <si>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</si>
  <si>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</si>
  <si>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</si>
  <si>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10.1111%2Fbrv.12137_Table1.tsv</t>
  </si>
  <si>
    <t>10.1111%2Fbrv.12350_TableS2.tsv</t>
  </si>
  <si>
    <t>10.1111%2Fj.1558-5646.2008.00392.x_sleep-dataFemale.tsv</t>
  </si>
  <si>
    <t>10.1111%2Fj.1558-5646.2008.00392.x_sleep-dataMale.tsv</t>
  </si>
  <si>
    <t>10.1111%2Fj.1558-5646.2008.00392.x_sleep-dataMixed.tsv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</si>
  <si>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</si>
  <si>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</si>
  <si>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</si>
  <si>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</si>
  <si>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</si>
  <si>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</si>
  <si>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</si>
  <si>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</si>
  <si>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</si>
  <si>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</si>
  <si>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</si>
  <si>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</si>
  <si>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</si>
  <si>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</si>
  <si>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</si>
  <si>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</si>
  <si>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</si>
  <si>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</si>
  <si>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</si>
  <si>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</si>
  <si>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</si>
  <si>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</si>
  <si>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</si>
  <si>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</si>
  <si>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</si>
  <si>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</si>
  <si>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</si>
  <si>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</si>
  <si>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</si>
  <si>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</si>
  <si>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</si>
  <si>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</si>
  <si>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</si>
  <si>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</si>
  <si>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</si>
  <si>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</si>
  <si>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</si>
  <si>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</si>
  <si>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</si>
  <si>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</si>
  <si>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</si>
  <si>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</si>
  <si>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</si>
  <si>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</si>
  <si>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</si>
  <si>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</si>
  <si>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</si>
  <si>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</si>
  <si>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</si>
  <si>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</si>
  <si>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</si>
  <si>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</si>
  <si>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</si>
  <si>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</si>
  <si>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</si>
  <si>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</si>
  <si>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</si>
  <si>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</si>
  <si>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</si>
  <si>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</si>
  <si>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</si>
  <si>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</si>
  <si>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</si>
  <si>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</si>
  <si>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</si>
  <si>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</si>
  <si>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</si>
  <si>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</si>
  <si>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</si>
  <si>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</si>
  <si>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</si>
  <si>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</si>
  <si>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</si>
  <si>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</si>
  <si>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</si>
  <si>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</si>
  <si>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</si>
  <si>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</si>
  <si>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</si>
  <si>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</si>
  <si>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</si>
  <si>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</si>
  <si>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</si>
  <si>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</si>
  <si>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</si>
  <si>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</si>
  <si>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</si>
  <si>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</si>
  <si>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</si>
  <si>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</si>
  <si>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</si>
  <si>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</si>
  <si>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</si>
  <si>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</si>
  <si>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</si>
  <si>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</si>
  <si>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</si>
  <si>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</si>
  <si>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</si>
  <si>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</si>
  <si>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</si>
  <si>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</si>
  <si>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</si>
  <si>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</si>
  <si>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</si>
  <si>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</si>
  <si>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</si>
  <si>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</si>
  <si>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</si>
  <si>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</si>
  <si>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</si>
  <si>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</si>
  <si>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</si>
  <si>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</si>
  <si>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</si>
  <si>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</si>
  <si>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</si>
  <si>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</si>
  <si>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</si>
  <si>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</si>
  <si>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</si>
  <si>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</si>
  <si>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xml:space="preserve"&gt;FINISHED</t>
  </si>
  <si>
    <t>xml:space="preserve"&gt;none - digital-native (sleep-data_Female.csv IS the frozen source)</t>
  </si>
  <si>
    <t>xml:space="preserve"&gt;Capellini_etal_2008_sleep-dataFemale.csv</t>
  </si>
  <si>
    <t>xml:space="preserve"&gt;csv</t>
  </si>
  <si>
    <t>xml:space="preserve"&gt;table</t>
  </si>
  <si>
    <t>xml:space="preserve"&gt;Capellini</t>
  </si>
  <si>
    <t>xml:space="preserve"&gt;one row per primary study x species x sex class, not per species - aggregate at the merge. Citation-dependent with HerculanoHouzel__2015_Table1 for daily sleep (both descend from Zepelin / Campbell &amp; Tobler) - resolve, never average.</t>
  </si>
  <si>
    <t>xml:space="preserve"&gt;sleep (total sleep time, REM, NREM)</t>
  </si>
  <si>
    <t>xml:space="preserve"&gt;Mammals</t>
  </si>
  <si>
    <t>xml:space="preserve"&gt;secondary compilation</t>
  </si>
  <si>
    <t>xml:space="preserve"&gt;secondary</t>
  </si>
  <si>
    <t>xml:space="preserve"&gt;sleep (h/day, REM %)</t>
  </si>
  <si>
    <t>xml:space="preserve"&gt;none - digital-native (sleep-data_Male.csv IS the frozen source)</t>
  </si>
  <si>
    <t>xml:space="preserve"&gt;Capellini_etal_2008_sleep-dataMale.csv</t>
  </si>
  <si>
    <t>xml:space="preserve"&gt;none - digital-native (sleep-data_Mixed.csv IS the frozen source)</t>
  </si>
  <si>
    <t>xml:space="preserve"&gt;Capellini_etal_2008_sleep-dataMixed.csv</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</si>
  <si>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</si>
  <si>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</si>
  <si>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</si>
  <si>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</si>
  <si>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</si>
  <si>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</si>
  <si>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</si>
  <si>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</si>
  <si>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</si>
  <si>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</si>
  <si>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</si>
  <si>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</si>
  <si>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</si>
  <si>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</si>
  <si>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</si>
  <si>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</si>
  <si>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</si>
  <si>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</si>
  <si>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</si>
  <si>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</si>
  <si>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</si>
  <si>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</si>
  <si>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</si>
  <si>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</si>
  <si>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</si>
  <si>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</si>
  <si>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</si>
  <si>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NOT STARTED - source not in repo</t>
  </si>
  <si>
    <t>CORRECTED 2026-08-06: the article has Figures 1-6 and NO main-text table - 'Table 1' does not exist. Both data tables are in the SI Appendix, which is not in this folder: Table S1 (per-species A-P distributions) and Table S2 (regression coefficients). Item number changed from 'Table 1' to 'Table S1'. Before promising cell counts, check S1: every in-text citation of it is to CUMULATIVE PERCENTAGES, and percentages are not transcribed (HOWTO sec 7). Also: Gabi's human hemisphere is the SAME SPECIMEN as Ribeiro et al. 2013 (Methods) - a _keys/specimen_crosswalk case before both are allowed to contribute a human value.</t>
  </si>
  <si>
    <t>xml:space="preserve"&gt;Table 1</t>
  </si>
  <si>
    <t>xml:space="preserve"&gt;Heuer_etal_2019_Table1_snapshot.xlsx</t>
  </si>
  <si>
    <t>xml:space="preserve"&gt;Heuer_etal_2019_Table1.csv</t>
  </si>
  <si>
    <t>xml:space="preserve"&gt;pdf</t>
  </si>
  <si>
    <t>xml:space="preserve"&gt;Heuer/Toro</t>
  </si>
  <si>
    <t>xml:space="preserve"&gt;Table 1 is the species list, NOT the folding data. The absolute gyrification index / folding length / wavelength / depth / surface areas are only in the Zenodo archive doi:10.5281/zenodo.2538751 and are not yet in this repo. 3-D MRI method - never pool with the Zilles 2-D GI merge.</t>
  </si>
  <si>
    <t>xml:space="preserve"&gt;MRI sample roster (34 primate species, 65 individuals) - no folding value</t>
  </si>
  <si>
    <t>xml:space="preserve"&gt;Primates</t>
  </si>
  <si>
    <t>xml:space="preserve"&gt;metadata (sample composition)</t>
  </si>
  <si>
    <t>xml:space="preserve"&gt;Table 3</t>
  </si>
  <si>
    <t>xml:space="preserve"&gt;Jacobs_etal_2018_Table3_snapshot.xlsx</t>
  </si>
  <si>
    <t>xml:space="preserve"&gt;Jacobs_etal_2018_Table3.csv</t>
  </si>
  <si>
    <t>xml:space="preserve"&gt;Jacobs/Manger</t>
  </si>
  <si>
    <t>xml:space="preserve"&gt;regional M1 sub-trait - never pool with whole-cortex neuron counts. neuron_class (pyramidal vs gigantopyramidal) must stay explicit. Not interchangeable with the Golgi measures in Table 5.</t>
  </si>
  <si>
    <t>xml:space="preserve"&gt;gigantopyramidal (Betz) and layer V pyramidal soma size in M1</t>
  </si>
  <si>
    <t>xml:space="preserve"&gt;Carnivores &amp; Primates</t>
  </si>
  <si>
    <t>xml:space="preserve"&gt;primary</t>
  </si>
  <si>
    <t>xml:space="preserve"&gt;cell morphology (soma size, unbiased stereology, M1 regional)</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</si>
  <si>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</si>
  <si>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</si>
  <si>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</si>
  <si>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cellular composition of artiodactyl brains, by sub-structure</t>
  </si>
  <si>
    <t>Artiodactyla</t>
  </si>
  <si>
    <t>xml:space="preserve"&gt;Table S1</t>
  </si>
  <si>
    <t>xml:space="preserve"&gt;Liu_etal_2016_TableS1_snapshot.xlsx</t>
  </si>
  <si>
    <t>xml:space="preserve"&gt;Liu_etal_2016_TableS1.csv</t>
  </si>
  <si>
    <t>xml:space="preserve"&gt;pdf (SI)</t>
  </si>
  <si>
    <t>xml:space="preserve"&gt;Liu</t>
  </si>
  <si>
    <t>xml:space="preserve"&gt;137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</si>
  <si>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xml:space="preserve"&gt;hand manipulability (workspace, global manipulation index)</t>
  </si>
  <si>
    <t>xml:space="preserve"&gt;derived from primary (Feix et al. 2015)</t>
  </si>
  <si>
    <t>xml:space="preserve"&gt;hand morphology / manipulability index</t>
  </si>
  <si>
    <t>Tables1to4</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</si>
  <si>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</si>
  <si>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</si>
  <si>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</si>
  <si>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</si>
  <si>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</si>
  <si>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</si>
  <si>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</si>
  <si>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</si>
  <si>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</si>
  <si>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</si>
  <si>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</si>
  <si>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</si>
  <si>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</si>
  <si>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</si>
  <si>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</si>
  <si>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</si>
  <si>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</si>
  <si>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</si>
  <si>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</si>
  <si>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</si>
  <si>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</si>
  <si>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</si>
  <si>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</si>
  <si>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</si>
  <si>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</si>
  <si>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</si>
  <si>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</si>
  <si>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</si>
  <si>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xml:space="preserve"&gt;Data</t>
  </si>
  <si>
    <t>xml:space="preserve"&gt;none - digital-native (Dryad Data_ReaderHagerLalandPhilTrans2011.csv)</t>
  </si>
  <si>
    <t>xml:space="preserve"&gt;Reader_etal_2011_Data.csv</t>
  </si>
  <si>
    <t>xml:space="preserve"&gt;csv (Dryad doi:10.5061/dryad.t0q94)</t>
  </si>
  <si>
    <t>xml:space="preserve"&gt;Reader</t>
  </si>
  <si>
    <t>xml:space="preserve"&gt;238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</si>
  <si>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xml:space="preserve"&gt;behavioural innovation / technical intelligence</t>
  </si>
  <si>
    <t>xml:space="preserve"&gt;primary (authors' own systematic literature survey)</t>
  </si>
  <si>
    <t>xml:space="preserve"&gt;behavioural (report counts: innovation, tool use, extractive foraging, social learning)</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</si>
  <si>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</si>
  <si>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</si>
  <si>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</si>
  <si>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</si>
  <si>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</si>
  <si>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</si>
  <si>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S1</t>
  </si>
  <si>
    <t>Heuer_etal_2019</t>
  </si>
  <si>
    <t>Heuer</t>
  </si>
  <si>
    <t>etal</t>
  </si>
  <si>
    <t>2019</t>
  </si>
  <si>
    <t>10.1016%2Fj.cortex.2019.04.011</t>
  </si>
  <si>
    <t>Heuer_etal_2019_S1</t>
  </si>
  <si>
    <t>10.1016%2Fj.cortex.2019.04.011_S1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</si>
  <si>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</si>
  <si>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</si>
  <si>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</si>
  <si>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</si>
  <si>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</si>
  <si>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</si>
  <si>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</si>
  <si>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Jacobs_etal_2018</t>
  </si>
  <si>
    <t>Jacobs</t>
  </si>
  <si>
    <t>2018</t>
  </si>
  <si>
    <t>10.1002%2Fcne.24349</t>
  </si>
  <si>
    <t>Jacobs_etal_2018_Table5</t>
  </si>
  <si>
    <t>10.1002%2Fcne.24349_Table5</t>
  </si>
  <si>
    <t>Jacobs_etal_2018_Table5_snapshot.xlsx</t>
  </si>
  <si>
    <t>Jacobs_etal_2018_Table5.csv</t>
  </si>
  <si>
    <t>Jacobs/Manger</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</si>
  <si>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</si>
  <si>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</si>
  <si>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</si>
  <si>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</si>
  <si>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TABLE1 | Cellular composition of Artiodactyla brains.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</si>
</sst>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
    </font>
    <font>
      <sz val="12"/>
      <color theme="1"/>
      <name val="Calibri"/>
      <family val="2"/>
    </font>
    <font>
      <b/>
      <sz val="12"/>
      <color theme="1"/>
      <name val="Calibri"/>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5">
    <xf numFmtId="0" fontId="0" fillId="0" borderId="0" xfId="0"/>
    <xf numFmtId="0" fontId="1" fillId="0" borderId="0" xfId="0" applyFont="1" applyProtection="1">
      <protection locked="0"/>
    </xf>
    <xf numFmtId="0" fontId="2" fillId="0" borderId="0" xfId="0" applyFont="1" applyProtection="1">
      <protection locked="0"/>
    </xf>
    <xf numFmtId="0" fontId="3" fillId="2" borderId="1" xfId="1" applyProtection="1">
      <protection locked="0"/>
    </xf>
    <xf numFmtId="0" fontId="3" fillId="2" borderId="1" xfId="1"/>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6"/>
  <sheetViews>
    <sheetView tabSelected="1" zoomScale="111" zoomScaleNormal="111" workbookViewId="0">
      <pane xSplit="2" ySplit="1" topLeftCell="L239" activePane="bottomRight" state="frozen"/>
      <selection pane="topRight" activeCell="C1" sqref="C1"/>
      <selection pane="bottomLeft" activeCell="A2" sqref="A2"/>
      <selection pane="bottomRight" activeCell="W7" sqref="W7"/>
    </sheetView>
  </sheetViews>
  <sheetFormatPr baseColWidth="10" defaultRowHeight="16" x14ac:dyDescent="0.2"/>
  <cols>
    <col min="1" max="1" width="67.1640625" style="4" customWidth="1"/>
    <col min="2" max="2" width="1.6640625" style="4" customWidth="1"/>
    <col min="3" max="3" width="42.6640625" style="4" customWidth="1"/>
    <col min="4" max="4" width="8.5" style="4" customWidth="1"/>
    <col min="5" max="5" width="1.5" customWidth="1"/>
    <col min="6" max="6" width="22.6640625" customWidth="1"/>
    <col min="7" max="8" width="10.33203125" customWidth="1"/>
    <col min="9" max="9" width="6.1640625" customWidth="1"/>
    <col min="10" max="10" width="37.1640625" customWidth="1"/>
    <col min="11" max="11" width="29.33203125" customWidth="1"/>
    <col min="12" max="12" width="41.33203125" customWidth="1"/>
    <col min="13" max="13" width="48" customWidth="1"/>
    <col min="14" max="17" width="7.33203125" style="4" customWidth="1"/>
    <col min="18" max="18" width="16.6640625" style="4" customWidth="1"/>
    <col min="19" max="26" width="7.33203125" style="4" customWidth="1"/>
    <col min="27" max="27" width="10.83203125" style="4"/>
    <col min="28" max="39" width="7.33203125" style="4" customWidth="1"/>
    <col min="40" max="40" width="10.83203125" customWidth="1"/>
  </cols>
  <sheetData>
    <row r="1" spans="1:39" ht="15.75" customHeight="1" x14ac:dyDescent="0.2">
      <c r="A1" s="3" t="s">
        <v>0</v>
      </c>
      <c r="B1" s="3" t="s">
        <v>1</v>
      </c>
      <c r="C1" s="3" t="s">
        <v>857</v>
      </c>
      <c r="D1" s="3"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1" t="str">
        <f>RIGHT(A2,1)</f>
        <v>5</v>
      </c>
      <c r="F2" s="1" t="str">
        <f>G2 &amp; IF(H2&lt;&gt;"", "_" &amp; H2, "_") &amp; IF(I2&lt;&gt;"", "_" &amp; I2, "_") &amp; IF(B2&lt;&gt;"", "_" &amp; B2, "")</f>
        <v>Andelin_etal_2019</v>
      </c>
      <c r="G2" s="1" t="str">
        <f>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_xlfn.TEXTBEFORE(_xlfn.TEXTAFTER(A2, "("), ")")</f>
        <v>2019</v>
      </c>
      <c r="J2" s="1" t="str">
        <f>_xlfn.LET(
_xlpm.doi,IF(C2&lt;&gt;"",C2,_xlfn.TEXTAFTER(A2,"https://doi.org/")),
SUBSTITUTE(
SUBSTITUTE(
SUBSTITUTE(
SUBSTITUTE(
_xlpm.doi,
"/","%2F"),
":","%3A"),
"&lt;","%3C"),
"&gt;","%3E")
)</f>
        <v>10.1093%2Fcercor%2Fbhy315</v>
      </c>
      <c r="K2" s="1" t="str">
        <f>TRIM(_xlfn.TEXTJOIN("_",FALSE(),F2,(SUBSTITUTE(SUBSTITUTE(D2," ",""), "_", ""))))</f>
        <v>Andelin_etal_2019_Table4</v>
      </c>
      <c r="L2" s="1" t="str">
        <f>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x14ac:dyDescent="0.2">
      <c r="A3" s="3" t="s">
        <v>43</v>
      </c>
      <c r="D3" s="3" t="s">
        <v>44</v>
      </c>
      <c r="E3" s="1" t="str">
        <f>RIGHT(A3,1)</f>
        <v>3</v>
      </c>
      <c r="F3" s="1" t="str">
        <f>G3 &amp; IF(H3&lt;&gt;"", "_" &amp; H3, "_") &amp; IF(I3&lt;&gt;"", "_" &amp; I3, "_") &amp; IF(B3&lt;&gt;"", "_" &amp; B3, "")</f>
        <v>Ashwell__2020</v>
      </c>
      <c r="G3" s="1" t="str">
        <f>SUBSTITUTE(SUBSTITUTE(_xlfn.TEXTBEFORE(A3,","), "-", ""), " ", "")</f>
        <v>Ashwell</v>
      </c>
      <c r="H3" s="1"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_xlfn.TEXTBEFORE(_xlfn.TEXTAFTER(A3, "("), ")")</f>
        <v>2020</v>
      </c>
      <c r="J3" s="1" t="str">
        <f>_xlfn.LET(
_xlpm.doi,IF(C3&lt;&gt;"",C3,_xlfn.TEXTAFTER(A3,"https://doi.org/")),
SUBSTITUTE(
SUBSTITUTE(
SUBSTITUTE(
SUBSTITUTE(
_xlpm.doi,
"/","%2F"),
":","%3A"),
"&lt;","%3C"),
"&gt;","%3E")
)</f>
        <v>10.1016%2Fj.zool.2020.125753</v>
      </c>
      <c r="K3" s="1" t="str">
        <f>TRIM(_xlfn.TEXTJOIN("_",FALSE(),F3,(SUBSTITUTE(SUBSTITUTE(D3," ",""), "_", ""))))</f>
        <v>Ashwell__2020_SupplementaryTable</v>
      </c>
      <c r="L3" s="1" t="str">
        <f>J3 &amp; "_" &amp; SUBSTITUTE(SUBSTITUTE(SUBSTITUTE(D3,CHAR(160),"")," ",""),"_","")</f>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x14ac:dyDescent="0.2">
      <c r="A4" s="3" t="s">
        <v>47</v>
      </c>
      <c r="D4" s="3" t="s">
        <v>48</v>
      </c>
      <c r="E4" s="1" t="str">
        <f>RIGHT(A4,1)</f>
        <v>9</v>
      </c>
      <c r="F4" s="1" t="str">
        <f>G4 &amp; IF(H4&lt;&gt;"", "_" &amp; H4, "_") &amp; IF(I4&lt;&gt;"", "_" &amp; I4, "_") &amp; IF(B4&lt;&gt;"", "_" &amp; B4, "")</f>
        <v>AvelinodeSouza_etal_2025</v>
      </c>
      <c r="G4" s="1" t="str">
        <f>SUBSTITUTE(SUBSTITUTE(_xlfn.TEXTBEFORE(A4,","), "-", ""), " ", "")</f>
        <v>AvelinodeSouza</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1" t="str">
        <f>_xlfn.TEXTBEFORE(_xlfn.TEXTAFTER(A4, "("), ")")</f>
        <v>2025</v>
      </c>
      <c r="J4" s="1" t="str">
        <f>_xlfn.LET(
_xlpm.doi,IF(C4&lt;&gt;"",C4,_xlfn.TEXTAFTER(A4,"https://doi.org/")),
SUBSTITUTE(
SUBSTITUTE(
SUBSTITUTE(
SUBSTITUTE(
_xlpm.doi,
"/","%2F"),
":","%3A"),
"&lt;","%3C"),
"&gt;","%3E")
)</f>
        <v>10.1002%2Fcne.70089</v>
      </c>
      <c r="K4" s="1" t="str">
        <f>TRIM(_xlfn.TEXTJOIN("_",FALSE(),F4,(SUBSTITUTE(SUBSTITUTE(D4," ",""), "_", ""))))</f>
        <v>AvelinodeSouza_etal_2025_TABLE1</v>
      </c>
      <c r="L4" s="1" t="str">
        <f>J4 &amp; "_" &amp; SUBSTITUTE(SUBSTITUTE(SUBSTITUTE(D4,CHAR(160),"")," ",""),"_","")</f>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1" t="str">
        <f>RIGHT(A5,1)</f>
        <v>5</v>
      </c>
      <c r="F5" s="1" t="str">
        <f>G5 &amp; IF(H5&lt;&gt;"", "_" &amp; H5, "_") &amp; IF(I5&lt;&gt;"", "_" &amp; I5, "_") &amp; IF(B5&lt;&gt;"", "_" &amp; B5, "")</f>
        <v>Baker_etal_2025</v>
      </c>
      <c r="G5" s="1" t="str">
        <f>SUBSTITUTE(SUBSTITUTE(_xlfn.TEXTBEFORE(A5,","), "-", ""), " ", "")</f>
        <v>Baker</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_xlfn.TEXTBEFORE(_xlfn.TEXTAFTER(A5, "("), ")")</f>
        <v>2025</v>
      </c>
      <c r="J5" s="1" t="str">
        <f>_xlfn.LET(
_xlpm.doi,IF(C5&lt;&gt;"",C5,_xlfn.TEXTAFTER(A5,"https://doi.org/")),
SUBSTITUTE(
SUBSTITUTE(
SUBSTITUTE(
SUBSTITUTE(
_xlpm.doi,
"/","%2F"),
":","%3A"),
"&lt;","%3C"),
"&gt;","%3E")
)</f>
        <v>10.1038%2Fs42003-025-08686-5</v>
      </c>
      <c r="K5" s="1" t="str">
        <f>TRIM(_xlfn.TEXTJOIN("_",FALSE(),F5,(SUBSTITUTE(SUBSTITUTE(D5," ",""), "_", ""))))</f>
        <v>Baker_etal_2025_SupplementaryData1</v>
      </c>
      <c r="L5" s="1" t="str">
        <f>J5 &amp; "_" &amp; SUBSTITUTE(SUBSTITUTE(SUBSTITUTE(D5,CHAR(160),"")," ",""),"_","")</f>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67</v>
      </c>
      <c r="E6" s="1" t="str">
        <f>RIGHT(A6,1)</f>
        <v>7</v>
      </c>
      <c r="F6" s="1" t="str">
        <f>G6 &amp; IF(H6&lt;&gt;"", "_" &amp; H6, "_") &amp; IF(I6&lt;&gt;"", "_" &amp; I6, "_") &amp; IF(B6&lt;&gt;"", "_" &amp; B6, "")</f>
        <v>Balzeau_etal_2012</v>
      </c>
      <c r="G6" s="1" t="str">
        <f>SUBSTITUTE(SUBSTITUTE(_xlfn.TEXTBEFORE(A6,","), "-", ""), " ", "")</f>
        <v>Balzeau</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_xlfn.TEXTBEFORE(_xlfn.TEXTAFTER(A6, "("), ")")</f>
        <v>2012</v>
      </c>
      <c r="J6" s="1" t="str">
        <f>_xlfn.LET(
_xlpm.doi,IF(C6&lt;&gt;"",C6,_xlfn.TEXTAFTER(A6,"https://doi.org/")),
SUBSTITUTE(
SUBSTITUTE(
SUBSTITUTE(
SUBSTITUTE(
_xlpm.doi,
"/","%2F"),
":","%3A"),
"&lt;","%3C"),
"&gt;","%3E")
)</f>
        <v>10.1016%2Fj.jhevol.2012.03.007</v>
      </c>
      <c r="K6" s="1" t="str">
        <f>TRIM(_xlfn.TEXTJOIN("_",FALSE(),F6,(SUBSTITUTE(SUBSTITUTE(D6," ",""), "_", ""))))</f>
        <v>Balzeau_etal_2012_Table3</v>
      </c>
      <c r="L6" s="1" t="str">
        <f>J6 &amp; "_" &amp; SUBSTITUTE(SUBSTITUTE(SUBSTITUTE(D6,CHAR(160),"")," ",""),"_","")</f>
        <v>10.1016%2Fj.jhevol.2012.03.007_Table3</v>
      </c>
      <c r="M6" s="1" t="str">
        <f t="array" ref="M6">IFERROR(INDEX(FileList!$A$1:$A$1000,MATCH(TRUE(),EXACT(L6,IFERROR(_xlfn.TEXTBEFORE(FileList!$A$1:$A$1000,".tsv"),"")),0)),"notfound")</f>
        <v>10.1016%2Fj.jhevol.2012.03.007_Table3.tsv</v>
      </c>
      <c r="N6" s="3" t="s">
        <v>68</v>
      </c>
    </row>
    <row r="7" spans="1:39" ht="15.75" customHeight="1" x14ac:dyDescent="0.2">
      <c r="A7" s="3" t="s">
        <v>66</v>
      </c>
      <c r="D7" s="3" t="s">
        <v>69</v>
      </c>
      <c r="E7" s="1" t="str">
        <f>RIGHT(A7,1)</f>
        <v>7</v>
      </c>
      <c r="F7" s="1" t="str">
        <f>G7 &amp; IF(H7&lt;&gt;"", "_" &amp; H7, "_") &amp; IF(I7&lt;&gt;"", "_" &amp; I7, "_") &amp; IF(B7&lt;&gt;"", "_" &amp; B7, "")</f>
        <v>Balzeau_etal_2012</v>
      </c>
      <c r="G7" s="1" t="str">
        <f>SUBSTITUTE(SUBSTITUTE(_xlfn.TEXTBEFORE(A7,","), "-", ""), " ", "")</f>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_xlfn.TEXTBEFORE(_xlfn.TEXTAFTER(A7, "("), ")")</f>
        <v>2012</v>
      </c>
      <c r="J7" s="1" t="str">
        <f>_xlfn.LET(
_xlpm.doi,IF(C7&lt;&gt;"",C7,_xlfn.TEXTAFTER(A7,"https://doi.org/")),
SUBSTITUTE(
SUBSTITUTE(
SUBSTITUTE(
SUBSTITUTE(
_xlpm.doi,
"/","%2F"),
":","%3A"),
"&lt;","%3C"),
"&gt;","%3E")
)</f>
        <v>10.1016%2Fj.jhevol.2012.03.007</v>
      </c>
      <c r="K7" s="1" t="str">
        <f>TRIM(_xlfn.TEXTJOIN("_",FALSE(),F7,(SUBSTITUTE(SUBSTITUTE(D7," ",""), "_", ""))))</f>
        <v>Balzeau_etal_2012_Table5</v>
      </c>
      <c r="L7" s="1" t="str">
        <f>J7 &amp; "_" &amp; SUBSTITUTE(SUBSTITUTE(SUBSTITUTE(D7,CHAR(160),"")," ",""),"_","")</f>
        <v>10.1016%2Fj.jhevol.2012.03.007_Table5</v>
      </c>
      <c r="M7" s="1" t="str">
        <f t="array" ref="M7">IFERROR(INDEX(FileList!$A$1:$A$1000,MATCH(TRUE(),EXACT(L7,IFERROR(_xlfn.TEXTBEFORE(FileList!$A$1:$A$1000,".tsv"),"")),0)),"notfound")</f>
        <v>10.1016%2Fj.jhevol.2012.03.007_Table5.tsv</v>
      </c>
      <c r="N7" s="3" t="s">
        <v>70</v>
      </c>
    </row>
    <row r="8" spans="1:39" ht="15.75" customHeight="1" x14ac:dyDescent="0.2">
      <c r="A8" s="3" t="s">
        <v>66</v>
      </c>
      <c r="D8" s="3" t="s">
        <v>118</v>
      </c>
      <c r="E8" s="1" t="str">
        <f>RIGHT(A8,1)</f>
        <v>7</v>
      </c>
      <c r="F8" s="1" t="str">
        <f>G8 &amp; IF(H8&lt;&gt;"", "_" &amp; H8, "_") &amp; IF(I8&lt;&gt;"", "_" &amp; I8, "_") &amp; IF(B8&lt;&gt;"", "_" &amp; B8, "")</f>
        <v>Balzeau_etal_2012</v>
      </c>
      <c r="G8" s="1" t="str">
        <f>SUBSTITUTE(SUBSTITUTE(_xlfn.TEXTBEFORE(A8,","), "-", ""), " ", "")</f>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_xlfn.TEXTBEFORE(_xlfn.TEXTAFTER(A8, "("), ")")</f>
        <v>2012</v>
      </c>
      <c r="J8" s="1" t="str">
        <f>_xlfn.LET(
_xlpm.doi,IF(C8&lt;&gt;"",C8,_xlfn.TEXTAFTER(A8,"https://doi.org/")),
SUBSTITUTE(
SUBSTITUTE(
SUBSTITUTE(
SUBSTITUTE(
_xlpm.doi,
"/","%2F"),
":","%3A"),
"&lt;","%3C"),
"&gt;","%3E")
)</f>
        <v>10.1016%2Fj.jhevol.2012.03.007</v>
      </c>
      <c r="K8" s="1" t="str">
        <f>TRIM(_xlfn.TEXTJOIN("_",FALSE(),F8,(SUBSTITUTE(SUBSTITUTE(D8," ",""), "_", ""))))</f>
        <v>Balzeau_etal_2012_Table2</v>
      </c>
      <c r="L8" s="1" t="str">
        <f>J8 &amp; "_" &amp; SUBSTITUTE(SUBSTITUTE(SUBSTITUTE(D8,CHAR(160),"")," ",""),"_","")</f>
        <v>10.1016%2Fj.jhevol.2012.03.007_Table2</v>
      </c>
      <c r="M8" s="1" t="str">
        <f t="array" ref="M8">IFERROR(INDEX(FileList!$A$1:$A$1000,MATCH(TRUE(),EXACT(L8,IFERROR(_xlfn.TEXTBEFORE(FileList!$A$1:$A$1000,".tsv"),"")),0)),"notfound")</f>
        <v>10.1016%2Fj.jhevol.2012.03.007_Table2.tsv</v>
      </c>
      <c r="N8" s="3" t="s">
        <v>823</v>
      </c>
    </row>
    <row r="9" spans="1:39" ht="15.75" customHeight="1" x14ac:dyDescent="0.2">
      <c r="A9" s="3" t="s">
        <v>71</v>
      </c>
      <c r="D9" s="3" t="s">
        <v>72</v>
      </c>
      <c r="E9" s="1" t="str">
        <f>RIGHT(A9,1)</f>
        <v>1</v>
      </c>
      <c r="F9" s="1" t="str">
        <f>G9 &amp; IF(H9&lt;&gt;"", "_" &amp; H9, "_") &amp; IF(I9&lt;&gt;"", "_" &amp; I9, "_") &amp; IF(B9&lt;&gt;"", "_" &amp; B9, "")</f>
        <v>BarbeitoAndres_etal_2019</v>
      </c>
      <c r="G9" s="1" t="str">
        <f>SUBSTITUTE(SUBSTITUTE(_xlfn.TEXTBEFORE(A9,","), "-", ""), " ", "")</f>
        <v>BarbeitoAndres</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_xlfn.TEXTBEFORE(_xlfn.TEXTAFTER(A9, "("), ")")</f>
        <v>2019</v>
      </c>
      <c r="J9" s="1" t="str">
        <f>_xlfn.LET(
_xlpm.doi,IF(C9&lt;&gt;"",C9,_xlfn.TEXTAFTER(A9,"https://doi.org/")),
SUBSTITUTE(
SUBSTITUTE(
SUBSTITUTE(
SUBSTITUTE(
_xlpm.doi,
"/","%2F"),
":","%3A"),
"&lt;","%3C"),
"&gt;","%3E")
)</f>
        <v>10.1242%2Fjeb.204651</v>
      </c>
      <c r="K9" s="1" t="str">
        <f>TRIM(_xlfn.TEXTJOIN("_",FALSE(),F9,(SUBSTITUTE(SUBSTITUTE(D9," ",""), "_", ""))))</f>
        <v>BarbeitoAndres_etal_2019_celldensity</v>
      </c>
      <c r="L9" s="1" t="str">
        <f>J9 &amp; "_" &amp; SUBSTITUTE(SUBSTITUTE(SUBSTITUTE(D9,CHAR(160),"")," ",""),"_","")</f>
        <v>10.1242%2Fjeb.204651_celldensity</v>
      </c>
      <c r="M9" s="1" t="str">
        <f t="array" ref="M9">IFERROR(INDEX(FileList!$A$1:$A$1000,MATCH(TRUE(),EXACT(L9,IFERROR(_xlfn.TEXTBEFORE(FileList!$A$1:$A$1000,".tsv"),"")),0)),"notfound")</f>
        <v>notfound</v>
      </c>
      <c r="AG9" s="3" t="s">
        <v>58</v>
      </c>
      <c r="AJ9" s="3" t="s">
        <v>42</v>
      </c>
      <c r="AL9" s="3" t="s">
        <v>42</v>
      </c>
      <c r="AM9" s="3" t="s">
        <v>42</v>
      </c>
    </row>
    <row r="10" spans="1:39" ht="15.75" customHeight="1" x14ac:dyDescent="0.2">
      <c r="A10" s="3" t="s">
        <v>71</v>
      </c>
      <c r="D10" s="3" t="s">
        <v>73</v>
      </c>
      <c r="E10" s="1" t="str">
        <f>RIGHT(A10,1)</f>
        <v>1</v>
      </c>
      <c r="F10" s="1" t="str">
        <f>G10 &amp; IF(H10&lt;&gt;"", "_" &amp; H10, "_") &amp; IF(I10&lt;&gt;"", "_" &amp; I10, "_") &amp; IF(B10&lt;&gt;"", "_" &amp; B10, "")</f>
        <v>BarbeitoAndres_etal_2019</v>
      </c>
      <c r="G10" s="1" t="str">
        <f>SUBSTITUTE(SUBSTITUTE(_xlfn.TEXTBEFORE(A10,","), "-", ""), " ", "")</f>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_xlfn.TEXTBEFORE(_xlfn.TEXTAFTER(A10, "("), ")")</f>
        <v>2019</v>
      </c>
      <c r="J10" s="1" t="str">
        <f>_xlfn.LET(
_xlpm.doi,IF(C10&lt;&gt;"",C10,_xlfn.TEXTAFTER(A10,"https://doi.org/")),
SUBSTITUTE(
SUBSTITUTE(
SUBSTITUTE(
SUBSTITUTE(
_xlpm.doi,
"/","%2F"),
":","%3A"),
"&lt;","%3C"),
"&gt;","%3E")
)</f>
        <v>10.1242%2Fjeb.204651</v>
      </c>
      <c r="K10" s="1" t="str">
        <f>TRIM(_xlfn.TEXTJOIN("_",FALSE(),F10,(SUBSTITUTE(SUBSTITUTE(D10," ",""), "_", ""))))</f>
        <v>BarbeitoAndres_etal_2019_cellnumber</v>
      </c>
      <c r="L10" s="1" t="str">
        <f>J10 &amp; "_" &amp; SUBSTITUTE(SUBSTITUTE(SUBSTITUTE(D10,CHAR(160),"")," ",""),"_","")</f>
        <v>10.1242%2Fjeb.204651_cellnumber</v>
      </c>
      <c r="M10" s="1" t="str">
        <f t="array" ref="M10">IFERROR(INDEX(FileList!$A$1:$A$1000,MATCH(TRUE(),EXACT(L10,IFERROR(_xlfn.TEXTBEFORE(FileList!$A$1:$A$1000,".tsv"),"")),0)),"notfound")</f>
        <v>notfound</v>
      </c>
      <c r="AG10" s="3" t="s">
        <v>58</v>
      </c>
      <c r="AJ10" s="3" t="s">
        <v>42</v>
      </c>
      <c r="AL10" s="3" t="s">
        <v>42</v>
      </c>
      <c r="AM10" s="3" t="s">
        <v>42</v>
      </c>
    </row>
    <row r="11" spans="1:39" ht="15.75" customHeight="1" x14ac:dyDescent="0.2">
      <c r="A11" s="3" t="s">
        <v>71</v>
      </c>
      <c r="D11" s="3" t="s">
        <v>74</v>
      </c>
      <c r="E11" s="1" t="str">
        <f>RIGHT(A11,1)</f>
        <v>1</v>
      </c>
      <c r="F11" s="1" t="str">
        <f>G11 &amp; IF(H11&lt;&gt;"", "_" &amp; H11, "_") &amp; IF(I11&lt;&gt;"", "_" &amp; I11, "_") &amp; IF(B11&lt;&gt;"", "_" &amp; B11, "")</f>
        <v>BarbeitoAndres_etal_2019</v>
      </c>
      <c r="G11" s="1" t="str">
        <f>SUBSTITUTE(SUBSTITUTE(_xlfn.TEXTBEFORE(A11,","), "-", ""), " ", "")</f>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_xlfn.TEXTBEFORE(_xlfn.TEXTAFTER(A11, "("), ")")</f>
        <v>2019</v>
      </c>
      <c r="J11" s="1" t="str">
        <f>_xlfn.LET(
_xlpm.doi,IF(C11&lt;&gt;"",C11,_xlfn.TEXTAFTER(A11,"https://doi.org/")),
SUBSTITUTE(
SUBSTITUTE(
SUBSTITUTE(
SUBSTITUTE(
_xlpm.doi,
"/","%2F"),
":","%3A"),
"&lt;","%3C"),
"&gt;","%3E")
)</f>
        <v>10.1242%2Fjeb.204651</v>
      </c>
      <c r="K11" s="1" t="str">
        <f>TRIM(_xlfn.TEXTJOIN("_",FALSE(),F11,(SUBSTITUTE(SUBSTITUTE(D11," ",""), "_", ""))))</f>
        <v>BarbeitoAndres_etal_2019_volumes</v>
      </c>
      <c r="L11" s="1" t="str">
        <f>J11 &amp; "_" &amp; SUBSTITUTE(SUBSTITUTE(SUBSTITUTE(D11,CHAR(160),"")," ",""),"_","")</f>
        <v>10.1242%2Fjeb.204651_volumes</v>
      </c>
      <c r="M11" s="1" t="str">
        <f t="array" ref="M11">IFERROR(INDEX(FileList!$A$1:$A$1000,MATCH(TRUE(),EXACT(L11,IFERROR(_xlfn.TEXTBEFORE(FileList!$A$1:$A$1000,".tsv"),"")),0)),"notfound")</f>
        <v>notfound</v>
      </c>
      <c r="AG11" s="3" t="s">
        <v>58</v>
      </c>
      <c r="AJ11" s="3" t="s">
        <v>42</v>
      </c>
      <c r="AL11" s="3" t="s">
        <v>42</v>
      </c>
      <c r="AM11" s="3" t="s">
        <v>42</v>
      </c>
    </row>
    <row r="12" spans="1:39" ht="15.75" customHeight="1" x14ac:dyDescent="0.2">
      <c r="A12" s="3" t="s">
        <v>75</v>
      </c>
      <c r="D12" s="3" t="s">
        <v>76</v>
      </c>
      <c r="E12" s="1" t="str">
        <f>RIGHT(A12,1)</f>
        <v>7</v>
      </c>
      <c r="F12" s="1" t="str">
        <f>G12 &amp; IF(H12&lt;&gt;"", "_" &amp; H12, "_") &amp; IF(I12&lt;&gt;"", "_" &amp; I12, "_") &amp; IF(B12&lt;&gt;"", "_" &amp; B12, "")</f>
        <v>Barger_etal_2014</v>
      </c>
      <c r="G12" s="1" t="str">
        <f>SUBSTITUTE(SUBSTITUTE(_xlfn.TEXTBEFORE(A12,","), "-", ""), " ", "")</f>
        <v>Barger</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_xlfn.TEXTBEFORE(_xlfn.TEXTAFTER(A12, "("), ")")</f>
        <v>2014</v>
      </c>
      <c r="J12" s="1" t="str">
        <f>_xlfn.LET(
_xlpm.doi,IF(C12&lt;&gt;"",C12,_xlfn.TEXTAFTER(A12,"https://doi.org/")),
SUBSTITUTE(
SUBSTITUTE(
SUBSTITUTE(
SUBSTITUTE(
_xlpm.doi,
"/","%2F"),
":","%3A"),
"&lt;","%3C"),
"&gt;","%3E")
)</f>
        <v>10.3389%2Ffnhum.2014.00277</v>
      </c>
      <c r="K12" s="1" t="str">
        <f>TRIM(_xlfn.TEXTJOIN("_",FALSE(),F12,(SUBSTITUTE(SUBSTITUTE(D12," ",""), "_", ""))))</f>
        <v>Barger_etal_2014_Table1</v>
      </c>
      <c r="L12" s="1" t="str">
        <f>J12 &amp; "_" &amp; SUBSTITUTE(SUBSTITUTE(SUBSTITUTE(D12,CHAR(160),"")," ",""),"_","")</f>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x14ac:dyDescent="0.2">
      <c r="A13" s="3" t="s">
        <v>80</v>
      </c>
      <c r="D13" s="3" t="s">
        <v>48</v>
      </c>
      <c r="E13" s="1" t="str">
        <f>RIGHT(A13,1)</f>
        <v>4</v>
      </c>
      <c r="F13" s="1" t="str">
        <f>G13 &amp; IF(H13&lt;&gt;"", "_" &amp; H13, "_") &amp; IF(I13&lt;&gt;"", "_" &amp; I13, "_") &amp; IF(B13&lt;&gt;"", "_" &amp; B13, "")</f>
        <v>Barger_etal_2007</v>
      </c>
      <c r="G13" s="1" t="str">
        <f>SUBSTITUTE(SUBSTITUTE(_xlfn.TEXTBEFORE(A13,","), "-", ""), " ", "")</f>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_xlfn.TEXTBEFORE(_xlfn.TEXTAFTER(A13, "("), ")")</f>
        <v>2007</v>
      </c>
      <c r="J13" s="1" t="str">
        <f>_xlfn.LET(
_xlpm.doi,IF(C13&lt;&gt;"",C13,_xlfn.TEXTAFTER(A13,"https://doi.org/")),
SUBSTITUTE(
SUBSTITUTE(
SUBSTITUTE(
SUBSTITUTE(
_xlpm.doi,
"/","%2F"),
":","%3A"),
"&lt;","%3C"),
"&gt;","%3E")
)</f>
        <v>10.1002%2Fajpa.20684</v>
      </c>
      <c r="K13" s="1" t="str">
        <f>TRIM(_xlfn.TEXTJOIN("_",FALSE(),F13,(SUBSTITUTE(SUBSTITUTE(D13," ",""), "_", ""))))</f>
        <v>Barger_etal_2007_TABLE1</v>
      </c>
      <c r="L13" s="1" t="str">
        <f>J13 &amp; "_" &amp; SUBSTITUTE(SUBSTITUTE(SUBSTITUTE(D13,CHAR(160),"")," ",""),"_","")</f>
        <v>10.1002%2Fajpa.20684_TABLE1</v>
      </c>
      <c r="M13" s="1" t="str">
        <f t="array" ref="M13">IFERROR(INDEX(FileList!$A$1:$A$1000,MATCH(TRUE(),EXACT(L13,IFERROR(_xlfn.TEXTBEFORE(FileList!$A$1:$A$1000,".tsv"),"")),0)),"notfound")</f>
        <v>10.1002%2Fajpa.20684_TABLE1.tsv</v>
      </c>
      <c r="N13" s="3" t="s">
        <v>81</v>
      </c>
      <c r="P13" s="3" t="s">
        <v>40</v>
      </c>
      <c r="Z13" s="3" t="s">
        <v>78</v>
      </c>
      <c r="AF13" s="3" t="s">
        <v>858</v>
      </c>
      <c r="AG13" s="3" t="s">
        <v>78</v>
      </c>
      <c r="AI13" s="3" t="s">
        <v>82</v>
      </c>
      <c r="AJ13" s="3" t="s">
        <v>83</v>
      </c>
      <c r="AL13" s="3" t="s">
        <v>62</v>
      </c>
      <c r="AM13" s="3" t="s">
        <v>84</v>
      </c>
    </row>
    <row r="14" spans="1:39" ht="15.75" customHeight="1" x14ac:dyDescent="0.2">
      <c r="A14" s="3" t="s">
        <v>826</v>
      </c>
      <c r="D14" s="3" t="s">
        <v>67</v>
      </c>
      <c r="E14" s="1" t="str">
        <f>RIGHT(A14,1)</f>
        <v>8</v>
      </c>
      <c r="F14" s="1" t="str">
        <f>G14 &amp; IF(H14&lt;&gt;"", "_" &amp; H14, "_") &amp; IF(I14&lt;&gt;"", "_" &amp; I14, "_") &amp; IF(B14&lt;&gt;"", "_" &amp; B14, "")</f>
        <v>Barger_etal_2012</v>
      </c>
      <c r="G14" s="1" t="str">
        <f>SUBSTITUTE(SUBSTITUTE(_xlfn.TEXTBEFORE(A14,","), "-", ""), " ", "")</f>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_xlfn.TEXTBEFORE(_xlfn.TEXTAFTER(A14, "("), ")")</f>
        <v>2012</v>
      </c>
      <c r="J14" s="1" t="str">
        <f>_xlfn.LET(
_xlpm.doi,IF(C14&lt;&gt;"",C14,_xlfn.TEXTAFTER(A14,"https://doi.org/")),
SUBSTITUTE(
SUBSTITUTE(
SUBSTITUTE(
SUBSTITUTE(
_xlpm.doi,
"/","%2F"),
":","%3A"),
"&lt;","%3C"),
"&gt;","%3E")
)</f>
        <v>10.1002%2Fcne.23118</v>
      </c>
      <c r="K14" s="1" t="str">
        <f>TRIM(_xlfn.TEXTJOIN("_",FALSE(),F14,(SUBSTITUTE(SUBSTITUTE(D14," ",""), "_", ""))))</f>
        <v>Barger_etal_2012_Table3</v>
      </c>
      <c r="L14" s="1" t="str">
        <f>J14 &amp; "_" &amp; SUBSTITUTE(SUBSTITUTE(SUBSTITUTE(D14,CHAR(160),"")," ",""),"_","")</f>
        <v>10.1002%2Fcne.23118_Table3</v>
      </c>
      <c r="M14" s="1" t="str">
        <f t="array" ref="M14">IFERROR(INDEX(FileList!$A$1:$A$1000,MATCH(TRUE(),EXACT(L14,IFERROR(_xlfn.TEXTBEFORE(FileList!$A$1:$A$1000,".tsv"),"")),0)),"notfound")</f>
        <v>10.1002%2Fcne.23118_Table3.tsv</v>
      </c>
      <c r="N14" s="3" t="s">
        <v>827</v>
      </c>
      <c r="P14" s="3" t="s">
        <v>40</v>
      </c>
      <c r="AI14" s="3" t="s">
        <v>828</v>
      </c>
      <c r="AJ14" s="3" t="s">
        <v>117</v>
      </c>
      <c r="AK14" s="3" t="s">
        <v>62</v>
      </c>
      <c r="AL14" s="3" t="s">
        <v>62</v>
      </c>
      <c r="AM14" s="3" t="s">
        <v>829</v>
      </c>
    </row>
    <row r="15" spans="1:39" ht="15.75" customHeight="1" x14ac:dyDescent="0.2">
      <c r="A15" s="3" t="s">
        <v>85</v>
      </c>
      <c r="D15" s="3" t="s">
        <v>86</v>
      </c>
      <c r="E15" s="1" t="str">
        <f>RIGHT(A15,1)</f>
        <v>6</v>
      </c>
      <c r="F15" s="1" t="str">
        <f>G15 &amp; IF(H15&lt;&gt;"", "_" &amp; H15, "_") &amp; IF(I15&lt;&gt;"", "_" &amp; I15, "_") &amp; IF(B15&lt;&gt;"", "_" &amp; B15, "")</f>
        <v>Barks_etal_2014</v>
      </c>
      <c r="G15" s="1" t="str">
        <f>SUBSTITUTE(SUBSTITUTE(_xlfn.TEXTBEFORE(A15,","), "-", ""), " ", "")</f>
        <v>Barks</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_xlfn.TEXTBEFORE(_xlfn.TEXTAFTER(A15, "("), ")")</f>
        <v>2014</v>
      </c>
      <c r="J15" s="1" t="str">
        <f>_xlfn.LET(
_xlpm.doi,IF(C15&lt;&gt;"",C15,_xlfn.TEXTAFTER(A15,"https://doi.org/")),
SUBSTITUTE(
SUBSTITUTE(
SUBSTITUTE(
SUBSTITUTE(
_xlpm.doi,
"/","%2F"),
":","%3A"),
"&lt;","%3C"),
"&gt;","%3E")
)</f>
        <v>10.1002%2Fajpa.22646</v>
      </c>
      <c r="K15" s="1" t="str">
        <f>TRIM(_xlfn.TEXTJOIN("_",FALSE(),F15,(SUBSTITUTE(SUBSTITUTE(D15," ",""), "_", ""))))</f>
        <v>Barks_etal_2014_Fig4A</v>
      </c>
      <c r="L15" s="1" t="str">
        <f>J15 &amp; "_" &amp; SUBSTITUTE(SUBSTITUTE(SUBSTITUTE(D15,CHAR(160),"")," ",""),"_","")</f>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x14ac:dyDescent="0.2">
      <c r="A16" s="3" t="s">
        <v>85</v>
      </c>
      <c r="D16" s="3" t="s">
        <v>89</v>
      </c>
      <c r="E16" s="1" t="str">
        <f>RIGHT(A16,1)</f>
        <v>6</v>
      </c>
      <c r="F16" s="1" t="str">
        <f>G16 &amp; IF(H16&lt;&gt;"", "_" &amp; H16, "_") &amp; IF(I16&lt;&gt;"", "_" &amp; I16, "_") &amp; IF(B16&lt;&gt;"", "_" &amp; B16, "")</f>
        <v>Barks_etal_2014</v>
      </c>
      <c r="G16" s="1" t="str">
        <f>SUBSTITUTE(SUBSTITUTE(_xlfn.TEXTBEFORE(A16,","), "-", ""), " ", "")</f>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_xlfn.TEXTBEFORE(_xlfn.TEXTAFTER(A16, "("), ")")</f>
        <v>2014</v>
      </c>
      <c r="J16" s="1" t="str">
        <f>_xlfn.LET(
_xlpm.doi,IF(C16&lt;&gt;"",C16,_xlfn.TEXTAFTER(A16,"https://doi.org/")),
SUBSTITUTE(
SUBSTITUTE(
SUBSTITUTE(
SUBSTITUTE(
_xlpm.doi,
"/","%2F"),
":","%3A"),
"&lt;","%3C"),
"&gt;","%3E")
)</f>
        <v>10.1002%2Fajpa.22646</v>
      </c>
      <c r="K16" s="1" t="str">
        <f>TRIM(_xlfn.TEXTJOIN("_",FALSE(),F16,(SUBSTITUTE(SUBSTITUTE(D16," ",""), "_", ""))))</f>
        <v>Barks_etal_2014_Fig5A</v>
      </c>
      <c r="L16" s="1" t="str">
        <f>J16 &amp; "_" &amp; SUBSTITUTE(SUBSTITUTE(SUBSTITUTE(D16,CHAR(160),"")," ",""),"_","")</f>
        <v>10.1002%2Fajpa.22646_Fig5A</v>
      </c>
      <c r="M16" s="1" t="str">
        <f t="array" ref="M16">IFERROR(INDEX(FileList!$A$1:$A$1000,MATCH(TRUE(),EXACT(L16,IFERROR(_xlfn.TEXTBEFORE(FileList!$A$1:$A$1000,".tsv"),"")),0)),"notfound")</f>
        <v>10.1002%2Fajpa.22646_Fig5A.tsv</v>
      </c>
      <c r="O16" s="3" t="s">
        <v>90</v>
      </c>
      <c r="P16" s="3" t="s">
        <v>40</v>
      </c>
    </row>
    <row r="17" spans="1:39" ht="15.75" customHeight="1" x14ac:dyDescent="0.2">
      <c r="A17" s="3" t="s">
        <v>85</v>
      </c>
      <c r="D17" s="3" t="s">
        <v>48</v>
      </c>
      <c r="E17" s="1" t="str">
        <f>RIGHT(A17,1)</f>
        <v>6</v>
      </c>
      <c r="F17" s="1" t="str">
        <f>G17 &amp; IF(H17&lt;&gt;"", "_" &amp; H17, "_") &amp; IF(I17&lt;&gt;"", "_" &amp; I17, "_") &amp; IF(B17&lt;&gt;"", "_" &amp; B17, "")</f>
        <v>Barks_etal_2014</v>
      </c>
      <c r="G17" s="1" t="str">
        <f>SUBSTITUTE(SUBSTITUTE(_xlfn.TEXTBEFORE(A17,","), "-", ""), " ", "")</f>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_xlfn.TEXTBEFORE(_xlfn.TEXTAFTER(A17, "("), ")")</f>
        <v>2014</v>
      </c>
      <c r="J17" s="1" t="str">
        <f>_xlfn.LET(
_xlpm.doi,IF(C17&lt;&gt;"",C17,_xlfn.TEXTAFTER(A17,"https://doi.org/")),
SUBSTITUTE(
SUBSTITUTE(
SUBSTITUTE(
SUBSTITUTE(
_xlpm.doi,
"/","%2F"),
":","%3A"),
"&lt;","%3C"),
"&gt;","%3E")
)</f>
        <v>10.1002%2Fajpa.22646</v>
      </c>
      <c r="K17" s="1" t="str">
        <f>TRIM(_xlfn.TEXTJOIN("_",FALSE(),F17,(SUBSTITUTE(SUBSTITUTE(D17," ",""), "_", ""))))</f>
        <v>Barks_etal_2014_TABLE1</v>
      </c>
      <c r="L17" s="1" t="str">
        <f>J17 &amp; "_" &amp; SUBSTITUTE(SUBSTITUTE(SUBSTITUTE(D17,CHAR(160),"")," ",""),"_","")</f>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x14ac:dyDescent="0.2">
      <c r="A18" s="3" t="s">
        <v>85</v>
      </c>
      <c r="D18" s="3" t="s">
        <v>92</v>
      </c>
      <c r="E18" s="1" t="str">
        <f>RIGHT(A18,1)</f>
        <v>6</v>
      </c>
      <c r="F18" s="1" t="str">
        <f>G18 &amp; IF(H18&lt;&gt;"", "_" &amp; H18, "_") &amp; IF(I18&lt;&gt;"", "_" &amp; I18, "_") &amp; IF(B18&lt;&gt;"", "_" &amp; B18, "")</f>
        <v>Barks_etal_2014</v>
      </c>
      <c r="G18" s="1" t="str">
        <f>SUBSTITUTE(SUBSTITUTE(_xlfn.TEXTBEFORE(A18,","), "-", ""), " ", "")</f>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_xlfn.TEXTBEFORE(_xlfn.TEXTAFTER(A18, "("), ")")</f>
        <v>2014</v>
      </c>
      <c r="J18" s="1" t="str">
        <f>_xlfn.LET(
_xlpm.doi,IF(C18&lt;&gt;"",C18,_xlfn.TEXTAFTER(A18,"https://doi.org/")),
SUBSTITUTE(
SUBSTITUTE(
SUBSTITUTE(
SUBSTITUTE(
_xlpm.doi,
"/","%2F"),
":","%3A"),
"&lt;","%3C"),
"&gt;","%3E")
)</f>
        <v>10.1002%2Fajpa.22646</v>
      </c>
      <c r="K18" s="1" t="str">
        <f>TRIM(_xlfn.TEXTJOIN("_",FALSE(),F18,(SUBSTITUTE(SUBSTITUTE(D18," ",""), "_", ""))))</f>
        <v>Barks_etal_2014_TABLE2</v>
      </c>
      <c r="L18" s="1" t="str">
        <f>J18 &amp; "_" &amp; SUBSTITUTE(SUBSTITUTE(SUBSTITUTE(D18,CHAR(160),"")," ",""),"_","")</f>
        <v>10.1002%2Fajpa.22646_TABLE2</v>
      </c>
      <c r="M18" s="1" t="str">
        <f t="array" ref="M18">IFERROR(INDEX(FileList!$A$1:$A$1000,MATCH(TRUE(),EXACT(L18,IFERROR(_xlfn.TEXTBEFORE(FileList!$A$1:$A$1000,".tsv"),"")),0)),"notfound")</f>
        <v>10.1002%2Fajpa.22646_TABLE2.tsv</v>
      </c>
      <c r="N18" s="3" t="s">
        <v>93</v>
      </c>
      <c r="P18" s="3" t="s">
        <v>40</v>
      </c>
    </row>
    <row r="19" spans="1:39" ht="15.75" customHeight="1" x14ac:dyDescent="0.2">
      <c r="A19" s="3" t="s">
        <v>85</v>
      </c>
      <c r="D19" s="3" t="s">
        <v>94</v>
      </c>
      <c r="E19" s="1" t="str">
        <f>RIGHT(A19,1)</f>
        <v>6</v>
      </c>
      <c r="F19" s="1" t="str">
        <f>G19 &amp; IF(H19&lt;&gt;"", "_" &amp; H19, "_") &amp; IF(I19&lt;&gt;"", "_" &amp; I19, "_") &amp; IF(B19&lt;&gt;"", "_" &amp; B19, "")</f>
        <v>Barks_etal_2014</v>
      </c>
      <c r="G19" s="1" t="str">
        <f>SUBSTITUTE(SUBSTITUTE(_xlfn.TEXTBEFORE(A19,","), "-", ""), " ", "")</f>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_xlfn.TEXTBEFORE(_xlfn.TEXTAFTER(A19, "("), ")")</f>
        <v>2014</v>
      </c>
      <c r="J19" s="1" t="str">
        <f>_xlfn.LET(
_xlpm.doi,IF(C19&lt;&gt;"",C19,_xlfn.TEXTAFTER(A19,"https://doi.org/")),
SUBSTITUTE(
SUBSTITUTE(
SUBSTITUTE(
SUBSTITUTE(
_xlpm.doi,
"/","%2F"),
":","%3A"),
"&lt;","%3C"),
"&gt;","%3E")
)</f>
        <v>10.1002%2Fajpa.22646</v>
      </c>
      <c r="K19" s="1" t="str">
        <f>TRIM(_xlfn.TEXTJOIN("_",FALSE(),F19,(SUBSTITUTE(SUBSTITUTE(D19," ",""), "_", ""))))</f>
        <v>Barks_etal_2014_unpublishedviaDeCasien</v>
      </c>
      <c r="L19" s="1" t="str">
        <f>J19 &amp; "_" &amp; SUBSTITUTE(SUBSTITUTE(SUBSTITUTE(D19,CHAR(160),"")," ",""),"_","")</f>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x14ac:dyDescent="0.2">
      <c r="A20" s="3" t="s">
        <v>96</v>
      </c>
      <c r="C20" s="3" t="s">
        <v>97</v>
      </c>
      <c r="D20" s="3" t="s">
        <v>76</v>
      </c>
      <c r="E20" s="1" t="str">
        <f>RIGHT(A20,1)</f>
        <v>9</v>
      </c>
      <c r="F20" s="1" t="str">
        <f>G20 &amp; IF(H20&lt;&gt;"", "_" &amp; H20, "_") &amp; IF(I20&lt;&gt;"", "_" &amp; I20, "_") &amp; IF(B20&lt;&gt;"", "_" &amp; B20, "")</f>
        <v>Baron_etal_1988</v>
      </c>
      <c r="G20" s="1" t="str">
        <f>SUBSTITUTE(SUBSTITUTE(_xlfn.TEXTBEFORE(A20,","), "-", ""), " ", "")</f>
        <v>Baron</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_xlfn.TEXTBEFORE(_xlfn.TEXTAFTER(A20, "("), ")")</f>
        <v>1988</v>
      </c>
      <c r="J20" s="1" t="str">
        <f>_xlfn.LET(
_xlpm.doi,IF(C20&lt;&gt;"",C20,_xlfn.TEXTAFTER(A20,"https://doi.org/")),
SUBSTITUTE(
SUBSTITUTE(
SUBSTITUTE(
SUBSTITUTE(
_xlpm.doi,
"/","%2F"),
":","%3A"),
"&lt;","%3C"),
"&gt;","%3E")
)</f>
        <v>PMID%3A3216099</v>
      </c>
      <c r="K20" s="1" t="str">
        <f>TRIM(_xlfn.TEXTJOIN("_",FALSE(),F20,(SUBSTITUTE(SUBSTITUTE(D20," ",""), "_", ""))))</f>
        <v>Baron_etal_1988_Table1</v>
      </c>
      <c r="L20" s="1" t="str">
        <f>J20 &amp; "_" &amp; SUBSTITUTE(SUBSTITUTE(SUBSTITUTE(D20,CHAR(160),"")," ",""),"_","")</f>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x14ac:dyDescent="0.2">
      <c r="A21" s="3" t="s">
        <v>102</v>
      </c>
      <c r="C21" s="3" t="s">
        <v>103</v>
      </c>
      <c r="D21" s="3" t="s">
        <v>76</v>
      </c>
      <c r="E21" s="1" t="str">
        <f>RIGHT(A21,1)</f>
        <v>5</v>
      </c>
      <c r="F21" s="1" t="str">
        <f>G21 &amp; IF(H21&lt;&gt;"", "_" &amp; H21, "_") &amp; IF(I21&lt;&gt;"", "_" &amp; I21, "_") &amp; IF(B21&lt;&gt;"", "_" &amp; B21, "")</f>
        <v>Baron_etal_1983</v>
      </c>
      <c r="G21" s="1" t="str">
        <f>SUBSTITUTE(SUBSTITUTE(_xlfn.TEXTBEFORE(A21,","), "-", ""), " ", "")</f>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_xlfn.TEXTBEFORE(_xlfn.TEXTAFTER(A21, "("), ")")</f>
        <v>1983</v>
      </c>
      <c r="J21" s="1" t="str">
        <f>_xlfn.LET(
_xlpm.doi,IF(C21&lt;&gt;"",C21,_xlfn.TEXTAFTER(A21,"https://doi.org/")),
SUBSTITUTE(
SUBSTITUTE(
SUBSTITUTE(
SUBSTITUTE(
_xlpm.doi,
"/","%2F"),
":","%3A"),
"&lt;","%3C"),
"&gt;","%3E")
)</f>
        <v>PMID%3A6663055</v>
      </c>
      <c r="K21" s="1" t="str">
        <f>TRIM(_xlfn.TEXTJOIN("_",FALSE(),F21,(SUBSTITUTE(SUBSTITUTE(D21," ",""), "_", ""))))</f>
        <v>Baron_etal_1983_Table1</v>
      </c>
      <c r="L21" s="1" t="str">
        <f>J21 &amp; "_" &amp; SUBSTITUTE(SUBSTITUTE(SUBSTITUTE(D21,CHAR(160),"")," ",""),"_","")</f>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x14ac:dyDescent="0.2">
      <c r="A22" s="3" t="s">
        <v>106</v>
      </c>
      <c r="C22" s="3" t="s">
        <v>107</v>
      </c>
      <c r="D22" s="3" t="s">
        <v>76</v>
      </c>
      <c r="E22" s="1" t="str">
        <f>RIGHT(A22,1)</f>
        <v>6</v>
      </c>
      <c r="F22" s="1" t="str">
        <f>G22 &amp; IF(H22&lt;&gt;"", "_" &amp; H22, "_") &amp; IF(I22&lt;&gt;"", "_" &amp; I22, "_") &amp; IF(B22&lt;&gt;"", "_" &amp; B22, "")</f>
        <v>Baron_etal_1987</v>
      </c>
      <c r="G22" s="1" t="str">
        <f>SUBSTITUTE(SUBSTITUTE(_xlfn.TEXTBEFORE(A22,","), "-", ""), " ", "")</f>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_xlfn.TEXTBEFORE(_xlfn.TEXTAFTER(A22, "("), ")")</f>
        <v>1987</v>
      </c>
      <c r="J22" s="1" t="str">
        <f>_xlfn.LET(
_xlpm.doi,IF(C22&lt;&gt;"",C22,_xlfn.TEXTAFTER(A22,"https://doi.org/")),
SUBSTITUTE(
SUBSTITUTE(
SUBSTITUTE(
SUBSTITUTE(
_xlpm.doi,
"/","%2F"),
":","%3A"),
"&lt;","%3C"),
"&gt;","%3E")
)</f>
        <v>PMID%3A3116076</v>
      </c>
      <c r="K22" s="1" t="str">
        <f>TRIM(_xlfn.TEXTJOIN("_",FALSE(),F22,(SUBSTITUTE(SUBSTITUTE(D22," ",""), "_", ""))))</f>
        <v>Baron_etal_1987_Table1</v>
      </c>
      <c r="L22" s="1" t="str">
        <f>J22 &amp; "_" &amp; SUBSTITUTE(SUBSTITUTE(SUBSTITUTE(D22,CHAR(160),"")," ",""),"_","")</f>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x14ac:dyDescent="0.2">
      <c r="A23" s="3" t="s">
        <v>109</v>
      </c>
      <c r="C23" s="3" t="s">
        <v>110</v>
      </c>
      <c r="D23" s="3" t="s">
        <v>76</v>
      </c>
      <c r="E23" s="1" t="str">
        <f>RIGHT(A23,1)</f>
        <v>3</v>
      </c>
      <c r="F23" s="1" t="str">
        <f>G23 &amp; IF(H23&lt;&gt;"", "_" &amp; H23, "_") &amp; IF(I23&lt;&gt;"", "_" &amp; I23, "_") &amp; IF(B23&lt;&gt;"", "_" &amp; B23, "")</f>
        <v>Baron_etal_1990</v>
      </c>
      <c r="G23" s="1" t="str">
        <f>SUBSTITUTE(SUBSTITUTE(_xlfn.TEXTBEFORE(A23,","), "-", ""), " ", "")</f>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_xlfn.TEXTBEFORE(_xlfn.TEXTAFTER(A23, "("), ")")</f>
        <v>1990</v>
      </c>
      <c r="J23" s="1" t="str">
        <f>_xlfn.LET(
_xlpm.doi,IF(C23&lt;&gt;"",C23,_xlfn.TEXTAFTER(A23,"https://doi.org/")),
SUBSTITUTE(
SUBSTITUTE(
SUBSTITUTE(
SUBSTITUTE(
_xlpm.doi,
"/","%2F"),
":","%3A"),
"&lt;","%3C"),
"&gt;","%3E")
)</f>
        <v>PMID%3A2358663</v>
      </c>
      <c r="K23" s="1" t="str">
        <f>TRIM(_xlfn.TEXTJOIN("_",FALSE(),F23,(SUBSTITUTE(SUBSTITUTE(D23," ",""), "_", ""))))</f>
        <v>Baron_etal_1990_Table1</v>
      </c>
      <c r="L23" s="1" t="str">
        <f>J23 &amp; "_" &amp; SUBSTITUTE(SUBSTITUTE(SUBSTITUTE(D23,CHAR(160),"")," ",""),"_","")</f>
        <v>PMID%3A2358663_Table1</v>
      </c>
      <c r="M23" s="1" t="str">
        <f t="array" ref="M23">IFERROR(INDEX(FileList!$A$1:$A$1000,MATCH(TRUE(),EXACT(L23,IFERROR(_xlfn.TEXTBEFORE(FileList!$A$1:$A$1000,".tsv"),"")),0)),"notfound")</f>
        <v>PMID%3A2358663_Table1.tsv</v>
      </c>
      <c r="N23" s="3" t="s">
        <v>859</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x14ac:dyDescent="0.2">
      <c r="A24" s="3" t="s">
        <v>838</v>
      </c>
      <c r="C24" s="3"/>
      <c r="D24" s="3"/>
      <c r="E24" s="1" t="str">
        <f>RIGHT(A24,1)</f>
        <v>.</v>
      </c>
      <c r="F24" s="1" t="str">
        <f>G24 &amp; IF(H24&lt;&gt;"", "_" &amp; H24, "_") &amp; IF(I24&lt;&gt;"", "_" &amp; I24, "_") &amp; IF(B24&lt;&gt;"", "_" &amp; B24, "")</f>
        <v>Baron_etal_1996</v>
      </c>
      <c r="G24" s="1" t="str">
        <f>SUBSTITUTE(SUBSTITUTE(_xlfn.TEXTBEFORE(A24,","), "-", ""), " ", "")</f>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_xlfn.TEXTBEFORE(_xlfn.TEXTAFTER(A24, "("), ")")</f>
        <v>1996</v>
      </c>
      <c r="J24" s="1" t="e">
        <f>_xlfn.LET(
_xlpm.doi,IF(C24&lt;&gt;"",C24,_xlfn.TEXTAFTER(A24,"https://doi.org/")),
SUBSTITUTE(
SUBSTITUTE(
SUBSTITUTE(
SUBSTITUTE(
_xlpm.doi,
"/","%2F"),
":","%3A"),
"&lt;","%3C"),
"&gt;","%3E")
)</f>
        <v>#N/A</v>
      </c>
      <c r="K24" s="1" t="str">
        <f>TRIM(_xlfn.TEXTJOIN("_",FALSE(),F24,(SUBSTITUTE(SUBSTITUTE(D24," ",""), "_", ""))))</f>
        <v>Baron_etal_1996_</v>
      </c>
      <c r="L24" s="1" t="e">
        <f>J24 &amp; "_" &amp; SUBSTITUTE(SUBSTITUTE(SUBSTITUTE(D24,CHAR(160),"")," ",""),"_","")</f>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x14ac:dyDescent="0.2">
      <c r="A25" s="3" t="s">
        <v>113</v>
      </c>
      <c r="D25" s="3" t="s">
        <v>76</v>
      </c>
      <c r="E25" s="1" t="str">
        <f>RIGHT(A25,1)</f>
        <v>3</v>
      </c>
      <c r="F25" s="1" t="str">
        <f>G25 &amp; IF(H25&lt;&gt;"", "_" &amp; H25, "_") &amp; IF(I25&lt;&gt;"", "_" &amp; I25, "_") &amp; IF(B25&lt;&gt;"", "_" &amp; B25, "")</f>
        <v>Bauernfeind_etal_2013</v>
      </c>
      <c r="G25" s="1" t="str">
        <f>SUBSTITUTE(SUBSTITUTE(_xlfn.TEXTBEFORE(A25,","), "-", ""), " ", "")</f>
        <v>Bauernfeind</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_xlfn.TEXTBEFORE(_xlfn.TEXTAFTER(A25, "("), ")")</f>
        <v>2013</v>
      </c>
      <c r="J25" s="1" t="str">
        <f>_xlfn.LET(
_xlpm.doi,IF(C25&lt;&gt;"",C25,_xlfn.TEXTAFTER(A25,"https://doi.org/")),
SUBSTITUTE(
SUBSTITUTE(
SUBSTITUTE(
SUBSTITUTE(
_xlpm.doi,
"/","%2F"),
":","%3A"),
"&lt;","%3C"),
"&gt;","%3E")
)</f>
        <v>10.1016%2Fj.jhevol.2012.12.003</v>
      </c>
      <c r="K25" s="1" t="str">
        <f>TRIM(_xlfn.TEXTJOIN("_",FALSE(),F25,(SUBSTITUTE(SUBSTITUTE(D25," ",""), "_", ""))))</f>
        <v>Bauernfeind_etal_2013_Table1</v>
      </c>
      <c r="L25" s="1" t="str">
        <f>J25 &amp; "_" &amp; SUBSTITUTE(SUBSTITUTE(SUBSTITUTE(D25,CHAR(160),"")," ",""),"_","")</f>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x14ac:dyDescent="0.2">
      <c r="A26" s="3" t="s">
        <v>113</v>
      </c>
      <c r="D26" s="3" t="s">
        <v>118</v>
      </c>
      <c r="E26" s="1" t="str">
        <f>RIGHT(A26,1)</f>
        <v>3</v>
      </c>
      <c r="F26" s="1" t="str">
        <f>G26 &amp; IF(H26&lt;&gt;"", "_" &amp; H26, "_") &amp; IF(I26&lt;&gt;"", "_" &amp; I26, "_") &amp; IF(B26&lt;&gt;"", "_" &amp; B26, "")</f>
        <v>Bauernfeind_etal_2013</v>
      </c>
      <c r="G26" s="1" t="str">
        <f>SUBSTITUTE(SUBSTITUTE(_xlfn.TEXTBEFORE(A26,","), "-", ""), " ", "")</f>
        <v>Bauernfeind</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_xlfn.TEXTBEFORE(_xlfn.TEXTAFTER(A26, "("), ")")</f>
        <v>2013</v>
      </c>
      <c r="J26" s="1" t="str">
        <f>_xlfn.LET(
_xlpm.doi,IF(C26&lt;&gt;"",C26,_xlfn.TEXTAFTER(A26,"https://doi.org/")),
SUBSTITUTE(
SUBSTITUTE(
SUBSTITUTE(
SUBSTITUTE(
_xlpm.doi,
"/","%2F"),
":","%3A"),
"&lt;","%3C"),
"&gt;","%3E")
)</f>
        <v>10.1016%2Fj.jhevol.2012.12.003</v>
      </c>
      <c r="K26" s="1" t="str">
        <f>TRIM(_xlfn.TEXTJOIN("_",FALSE(),F26,(SUBSTITUTE(SUBSTITUTE(D26," ",""), "_", ""))))</f>
        <v>Bauernfeind_etal_2013_Table2</v>
      </c>
      <c r="L26" s="1" t="str">
        <f>J26 &amp; "_" &amp; SUBSTITUTE(SUBSTITUTE(SUBSTITUTE(D26,CHAR(160),"")," ",""),"_","")</f>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x14ac:dyDescent="0.2">
      <c r="A27" s="3" t="s">
        <v>113</v>
      </c>
      <c r="D27" s="3" t="s">
        <v>67</v>
      </c>
      <c r="E27" s="1" t="str">
        <f>RIGHT(A27,1)</f>
        <v>3</v>
      </c>
      <c r="F27" s="1" t="str">
        <f>G27 &amp; IF(H27&lt;&gt;"", "_" &amp; H27, "_") &amp; IF(I27&lt;&gt;"", "_" &amp; I27, "_") &amp; IF(B27&lt;&gt;"", "_" &amp; B27, "")</f>
        <v>Bauernfeind_etal_2013</v>
      </c>
      <c r="G27" s="1" t="str">
        <f>SUBSTITUTE(SUBSTITUTE(_xlfn.TEXTBEFORE(A27,","), "-", ""), " ", "")</f>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_xlfn.TEXTBEFORE(_xlfn.TEXTAFTER(A27, "("), ")")</f>
        <v>2013</v>
      </c>
      <c r="J27" s="1" t="str">
        <f>_xlfn.LET(
_xlpm.doi,IF(C27&lt;&gt;"",C27,_xlfn.TEXTAFTER(A27,"https://doi.org/")),
SUBSTITUTE(
SUBSTITUTE(
SUBSTITUTE(
SUBSTITUTE(
_xlpm.doi,
"/","%2F"),
":","%3A"),
"&lt;","%3C"),
"&gt;","%3E")
)</f>
        <v>10.1016%2Fj.jhevol.2012.12.003</v>
      </c>
      <c r="K27" s="1" t="str">
        <f>TRIM(_xlfn.TEXTJOIN("_",FALSE(),F27,(SUBSTITUTE(SUBSTITUTE(D27," ",""), "_", ""))))</f>
        <v>Bauernfeind_etal_2013_Table3</v>
      </c>
      <c r="L27" s="1" t="str">
        <f>J27 &amp; "_" &amp; SUBSTITUTE(SUBSTITUTE(SUBSTITUTE(D27,CHAR(160),"")," ",""),"_","")</f>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spans="1:39" ht="15.75" customHeight="1" x14ac:dyDescent="0.2">
      <c r="A28" s="3" t="s">
        <v>119</v>
      </c>
      <c r="D28" s="3" t="s">
        <v>76</v>
      </c>
      <c r="E28" s="1" t="str">
        <f>RIGHT(A28,1)</f>
        <v>3</v>
      </c>
      <c r="F28" s="1" t="str">
        <f>G28 &amp; IF(H28&lt;&gt;"", "_" &amp; H28, "_") &amp; IF(I28&lt;&gt;"", "_" &amp; I28, "_") &amp; IF(B28&lt;&gt;"", "_" &amp; B28, "")</f>
        <v>Boyer_Harrington_2018</v>
      </c>
      <c r="G28" s="1" t="str">
        <f>SUBSTITUTE(SUBSTITUTE(_xlfn.TEXTBEFORE(A28,","), "-", ""), " ", "")</f>
        <v>Boyer</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Harrington</v>
      </c>
      <c r="I28" s="1" t="str">
        <f>_xlfn.TEXTBEFORE(_xlfn.TEXTAFTER(A28, "("), ")")</f>
        <v>2018</v>
      </c>
      <c r="J28" s="1" t="str">
        <f>_xlfn.LET(
_xlpm.doi,IF(C28&lt;&gt;"",C28,_xlfn.TEXTAFTER(A28,"https://doi.org/")),
SUBSTITUTE(
SUBSTITUTE(
SUBSTITUTE(
SUBSTITUTE(
_xlpm.doi,
"/","%2F"),
":","%3A"),
"&lt;","%3C"),
"&gt;","%3E")
)</f>
        <v>10.1016%2Fj.jhevol.2017.09.003</v>
      </c>
      <c r="K28" s="1" t="str">
        <f>TRIM(_xlfn.TEXTJOIN("_",FALSE(),F28,(SUBSTITUTE(SUBSTITUTE(D28," ",""), "_", ""))))</f>
        <v>Boyer_Harrington_2018_Table1</v>
      </c>
      <c r="L28" s="1" t="str">
        <f>J28 &amp; "_" &amp; SUBSTITUTE(SUBSTITUTE(SUBSTITUTE(D28,CHAR(160),"")," ",""),"_","")</f>
        <v>10.1016%2Fj.jhevol.2017.09.003_Table1</v>
      </c>
      <c r="M28" s="1" t="str">
        <f t="array" ref="M28">IFERROR(INDEX(FileList!$A$1:$A$1000,MATCH(TRUE(),EXACT(L28,IFERROR(_xlfn.TEXTBEFORE(FileList!$A$1:$A$1000,".tsv"),"")),0)),"notfound")</f>
        <v>10.1016%2Fj.jhevol.2017.09.003_Table1.tsv</v>
      </c>
      <c r="N28" s="3" t="s">
        <v>120</v>
      </c>
    </row>
    <row r="29" spans="1:39" ht="15.75" customHeight="1" x14ac:dyDescent="0.2">
      <c r="A29" s="3" t="s">
        <v>121</v>
      </c>
      <c r="D29" s="3" t="s">
        <v>122</v>
      </c>
      <c r="E29" s="1" t="str">
        <f>RIGHT(A29,1)</f>
        <v>2</v>
      </c>
      <c r="F29" s="1" t="str">
        <f>G29 &amp; IF(H29&lt;&gt;"", "_" &amp; H29, "_") &amp; IF(I29&lt;&gt;"", "_" &amp; I29, "_") &amp; IF(B29&lt;&gt;"", "_" &amp; B29, "")</f>
        <v>Boyer_Harrington_2019</v>
      </c>
      <c r="G29" s="1" t="str">
        <f>SUBSTITUTE(SUBSTITUTE(_xlfn.TEXTBEFORE(A29,","), "-", ""), " ", "")</f>
        <v>Boyer</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Harrington</v>
      </c>
      <c r="I29" s="1" t="str">
        <f>_xlfn.TEXTBEFORE(_xlfn.TEXTAFTER(A29, "("), ")")</f>
        <v>2019</v>
      </c>
      <c r="J29" s="1" t="str">
        <f>_xlfn.LET(
_xlpm.doi,IF(C29&lt;&gt;"",C29,_xlfn.TEXTAFTER(A29,"https://doi.org/")),
SUBSTITUTE(
SUBSTITUTE(
SUBSTITUTE(
SUBSTITUTE(
_xlpm.doi,
"/","%2F"),
":","%3A"),
"&lt;","%3C"),
"&gt;","%3E")
)</f>
        <v>10.1016%2Fj.jhevol.2018.10.002</v>
      </c>
      <c r="K29" s="1" t="str">
        <f>TRIM(_xlfn.TEXTJOIN("_",FALSE(),F29,(SUBSTITUTE(SUBSTITUTE(D29," ",""), "_", ""))))</f>
        <v>Boyer_Harrington_2019_SOMTableS6</v>
      </c>
      <c r="L29" s="1" t="str">
        <f>J29 &amp; "_" &amp; SUBSTITUTE(SUBSTITUTE(SUBSTITUTE(D29,CHAR(160),"")," ",""),"_","")</f>
        <v>10.1016%2Fj.jhevol.2018.10.002_SOMTableS6</v>
      </c>
      <c r="M29" s="1" t="str">
        <f t="array" ref="M29">IFERROR(INDEX(FileList!$A$1:$A$1000,MATCH(TRUE(),EXACT(L29,IFERROR(_xlfn.TEXTBEFORE(FileList!$A$1:$A$1000,".tsv"),"")),0)),"notfound")</f>
        <v>10.1016%2Fj.jhevol.2018.10.002_SOMTableS6.tsv</v>
      </c>
    </row>
    <row r="30" spans="1:39" ht="15.75" customHeight="1" x14ac:dyDescent="0.2">
      <c r="A30" s="3" t="s">
        <v>830</v>
      </c>
      <c r="C30" s="3" t="s">
        <v>831</v>
      </c>
      <c r="D30" s="3" t="s">
        <v>76</v>
      </c>
      <c r="E30" s="1" t="str">
        <f>RIGHT(A30,1)</f>
        <v>.</v>
      </c>
      <c r="F30" s="1" t="str">
        <f>G30 &amp; IF(H30&lt;&gt;"", "_" &amp; H30, "_") &amp; IF(I30&lt;&gt;"", "_" &amp; I30, "_") &amp; IF(B30&lt;&gt;"", "_" &amp; B30, "")</f>
        <v>Brodmann__1913</v>
      </c>
      <c r="G30" s="1" t="str">
        <f>SUBSTITUTE(SUBSTITUTE(_xlfn.TEXTBEFORE(A30,","), "-", ""), " ", "")</f>
        <v>Brodmann</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 t="str">
        <f>_xlfn.TEXTBEFORE(_xlfn.TEXTAFTER(A30, "("), ")")</f>
        <v>1913</v>
      </c>
      <c r="J30" s="1" t="str">
        <f>_xlfn.LET(
_xlpm.doi,IF(C30&lt;&gt;"",C30,_xlfn.TEXTAFTER(A30,"https://doi.org/")),
SUBSTITUTE(
SUBSTITUTE(
SUBSTITUTE(
SUBSTITUTE(
_xlpm.doi,
"/","%2F"),
":","%3A"),
"&lt;","%3C"),
"&gt;","%3E")
)</f>
        <v>OCLC%3A8777719</v>
      </c>
      <c r="K30" s="1" t="str">
        <f>TRIM(_xlfn.TEXTJOIN("_",FALSE(),F30,(SUBSTITUTE(SUBSTITUTE(D30," ",""), "_", ""))))</f>
        <v>Brodmann__1913_Table1</v>
      </c>
      <c r="L30" s="1" t="str">
        <f>J30 &amp; "_" &amp; SUBSTITUTE(SUBSTITUTE(SUBSTITUTE(D30,CHAR(160),"")," ",""),"_","")</f>
        <v>OCLC%3A8777719_Table1</v>
      </c>
      <c r="M30" s="1" t="str">
        <f t="array" ref="M30">IFERROR(INDEX(FileList!$A$1:$A$1000,MATCH(TRUE(),EXACT(L30,IFERROR(_xlfn.TEXTBEFORE(FileList!$A$1:$A$1000,".tsv"),"")),0)),"notfound")</f>
        <v>OCLC%3A8777719_Table1.tsv</v>
      </c>
      <c r="N30" s="3" t="s">
        <v>832</v>
      </c>
      <c r="P30" s="3" t="s">
        <v>40</v>
      </c>
      <c r="AI30" s="3" t="s">
        <v>833</v>
      </c>
      <c r="AJ30" s="3" t="s">
        <v>834</v>
      </c>
      <c r="AK30" s="3" t="s">
        <v>62</v>
      </c>
      <c r="AL30" s="3" t="s">
        <v>62</v>
      </c>
      <c r="AM30" s="3" t="s">
        <v>835</v>
      </c>
    </row>
    <row r="31" spans="1:39" ht="15.75" customHeight="1" x14ac:dyDescent="0.2">
      <c r="A31" s="3" t="s">
        <v>123</v>
      </c>
      <c r="C31" s="3" t="s">
        <v>124</v>
      </c>
      <c r="D31" s="3" t="s">
        <v>125</v>
      </c>
      <c r="E31" s="1" t="str">
        <f>RIGHT(A31,1)</f>
        <v>0</v>
      </c>
      <c r="F31" s="1" t="str">
        <f>G31 &amp; IF(H31&lt;&gt;"", "_" &amp; H31, "_") &amp; IF(I31&lt;&gt;"", "_" &amp; I31, "_") &amp; IF(B31&lt;&gt;"", "_" &amp; B31, "")</f>
        <v>Brodmann__1913</v>
      </c>
      <c r="G31" s="1" t="str">
        <f>SUBSTITUTE(SUBSTITUTE(_xlfn.TEXTBEFORE(A31,","), "-", ""), " ", "")</f>
        <v>Brodmann</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 t="str">
        <f>_xlfn.TEXTBEFORE(_xlfn.TEXTAFTER(A31, "("), ")")</f>
        <v>1913</v>
      </c>
      <c r="J31" s="1" t="str">
        <f>_xlfn.LET(
_xlpm.doi,IF(C31&lt;&gt;"",C31,_xlfn.TEXTAFTER(A31,"https://doi.org/")),
SUBSTITUTE(
SUBSTITUTE(
SUBSTITUTE(
SUBSTITUTE(
_xlpm.doi,
"/","%2F"),
":","%3A"),
"&lt;","%3C"),
"&gt;","%3E")
)</f>
        <v>10.0000%2Fplaceholder</v>
      </c>
      <c r="K31" s="1" t="str">
        <f>TRIM(_xlfn.TEXTJOIN("_",FALSE(),F31,(SUBSTITUTE(SUBSTITUTE(D31," ",""), "_", ""))))</f>
        <v>Brodmann__1913_Tabelle1</v>
      </c>
      <c r="L31" s="1" t="str">
        <f>J31 &amp; "_" &amp; SUBSTITUTE(SUBSTITUTE(SUBSTITUTE(D31,CHAR(160),"")," ",""),"_","")</f>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x14ac:dyDescent="0.2">
      <c r="A32" s="3" t="s">
        <v>128</v>
      </c>
      <c r="D32" s="3" t="s">
        <v>129</v>
      </c>
      <c r="E32" s="1" t="str">
        <f>RIGHT(A32,1)</f>
        <v>3</v>
      </c>
      <c r="F32" s="1" t="str">
        <f>G32 &amp; IF(H32&lt;&gt;"", "_" &amp; H32, "_") &amp; IF(I32&lt;&gt;"", "_" &amp; I32, "_") &amp; IF(B32&lt;&gt;"", "_" &amp; B32, "")</f>
        <v>Burger_etal_2019</v>
      </c>
      <c r="G32" s="1" t="str">
        <f>SUBSTITUTE(SUBSTITUTE(_xlfn.TEXTBEFORE(A32,","), "-", ""), " ", "")</f>
        <v>Burger</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 t="str">
        <f>_xlfn.TEXTBEFORE(_xlfn.TEXTAFTER(A32, "("), ")")</f>
        <v>2019</v>
      </c>
      <c r="J32" s="1" t="str">
        <f>_xlfn.LET(
_xlpm.doi,IF(C32&lt;&gt;"",C32,_xlfn.TEXTAFTER(A32,"https://doi.org/")),
SUBSTITUTE(
SUBSTITUTE(
SUBSTITUTE(
SUBSTITUTE(
_xlpm.doi,
"/","%2F"),
":","%3A"),
"&lt;","%3C"),
"&gt;","%3E")
)</f>
        <v>10.1093%2Fjmammal%2Fgyz043</v>
      </c>
      <c r="K32" s="1" t="str">
        <f>TRIM(_xlfn.TEXTJOIN("_",FALSE(),F32,(SUBSTITUTE(SUBSTITUTE(D32," ",""), "_", ""))))</f>
        <v>Burger_etal_2019_SupplementaryDataSD1</v>
      </c>
      <c r="L32" s="1" t="str">
        <f>J32 &amp; "_" &amp; SUBSTITUTE(SUBSTITUTE(SUBSTITUTE(D32,CHAR(160),"")," ",""),"_","")</f>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x14ac:dyDescent="0.2">
      <c r="A33" s="3" t="s">
        <v>142</v>
      </c>
      <c r="D33" s="3" t="s">
        <v>143</v>
      </c>
      <c r="E33" s="1" t="str">
        <f>RIGHT(A33,1)</f>
        <v>9</v>
      </c>
      <c r="F33" s="1" t="str">
        <f>G33 &amp; IF(H33&lt;&gt;"", "_" &amp; H33, "_") &amp; IF(I33&lt;&gt;"", "_" &amp; I33, "_") &amp; IF(B33&lt;&gt;"", "_" &amp; B33, "")</f>
        <v>Burish_etal_2010</v>
      </c>
      <c r="G33" s="1" t="str">
        <f>SUBSTITUTE(SUBSTITUTE(_xlfn.TEXTBEFORE(A33,","), "-", ""), " ", "")</f>
        <v>Burish</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 t="str">
        <f>_xlfn.TEXTBEFORE(_xlfn.TEXTAFTER(A33, "("), ")")</f>
        <v>2010</v>
      </c>
      <c r="J33" s="1" t="str">
        <f>_xlfn.LET(
_xlpm.doi,IF(C33&lt;&gt;"",C33,_xlfn.TEXTAFTER(A33,"https://doi.org/")),
SUBSTITUTE(
SUBSTITUTE(
SUBSTITUTE(
SUBSTITUTE(
_xlpm.doi,
"/","%2F"),
":","%3A"),
"&lt;","%3C"),
"&gt;","%3E")
)</f>
        <v>10.1159%2F000319019</v>
      </c>
      <c r="K33" s="1" t="str">
        <f>TRIM(_xlfn.TEXTJOIN("_",FALSE(),F33,(SUBSTITUTE(SUBSTITUTE(D33," ",""), "_", ""))))</f>
        <v>Burish_etal_2010_SupplementaryTable1</v>
      </c>
      <c r="L33" s="1" t="str">
        <f>J33 &amp; "_" &amp; SUBSTITUTE(SUBSTITUTE(SUBSTITUTE(D33,CHAR(160),"")," ",""),"_","")</f>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x14ac:dyDescent="0.2">
      <c r="A34" s="3" t="s">
        <v>142</v>
      </c>
      <c r="D34" s="3" t="s">
        <v>76</v>
      </c>
      <c r="E34" s="1" t="str">
        <f>RIGHT(A34,1)</f>
        <v>9</v>
      </c>
      <c r="F34" s="1" t="str">
        <f>G34 &amp; IF(H34&lt;&gt;"", "_" &amp; H34, "_") &amp; IF(I34&lt;&gt;"", "_" &amp; I34, "_") &amp; IF(B34&lt;&gt;"", "_" &amp; B34, "")</f>
        <v>Burish_etal_2010</v>
      </c>
      <c r="G34" s="1" t="str">
        <f>SUBSTITUTE(SUBSTITUTE(_xlfn.TEXTBEFORE(A34,","), "-", ""), " ", "")</f>
        <v>Burish</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 t="str">
        <f>_xlfn.TEXTBEFORE(_xlfn.TEXTAFTER(A34, "("), ")")</f>
        <v>2010</v>
      </c>
      <c r="J34" s="1" t="str">
        <f>_xlfn.LET(
_xlpm.doi,IF(C34&lt;&gt;"",C34,_xlfn.TEXTAFTER(A34,"https://doi.org/")),
SUBSTITUTE(
SUBSTITUTE(
SUBSTITUTE(
SUBSTITUTE(
_xlpm.doi,
"/","%2F"),
":","%3A"),
"&lt;","%3C"),
"&gt;","%3E")
)</f>
        <v>10.1159%2F000319019</v>
      </c>
      <c r="K34" s="1" t="str">
        <f>TRIM(_xlfn.TEXTJOIN("_",FALSE(),F34,(SUBSTITUTE(SUBSTITUTE(D34," ",""), "_", ""))))</f>
        <v>Burish_etal_2010_Table1</v>
      </c>
      <c r="L34" s="1" t="str">
        <f>J34 &amp; "_" &amp; SUBSTITUTE(SUBSTITUTE(SUBSTITUTE(D34,CHAR(160),"")," ",""),"_","")</f>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x14ac:dyDescent="0.2">
      <c r="A35" s="3" t="s">
        <v>157</v>
      </c>
      <c r="D35" s="3" t="s">
        <v>76</v>
      </c>
      <c r="E35" s="1" t="str">
        <f>RIGHT(A35,1)</f>
        <v>0</v>
      </c>
      <c r="F35" s="1" t="str">
        <f>G35 &amp; IF(H35&lt;&gt;"", "_" &amp; H35, "_") &amp; IF(I35&lt;&gt;"", "_" &amp; I35, "_") &amp; IF(B35&lt;&gt;"", "_" &amp; B35, "")</f>
        <v>Bush_Allman_2003</v>
      </c>
      <c r="G35" s="1" t="str">
        <f>SUBSTITUTE(SUBSTITUTE(_xlfn.TEXTBEFORE(A35,","), "-", ""), " ", "")</f>
        <v>Bush</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Allman</v>
      </c>
      <c r="I35" s="1" t="str">
        <f>_xlfn.TEXTBEFORE(_xlfn.TEXTAFTER(A35, "("), ")")</f>
        <v>2003</v>
      </c>
      <c r="J35" s="1" t="str">
        <f>_xlfn.LET(
_xlpm.doi,IF(C35&lt;&gt;"",C35,_xlfn.TEXTAFTER(A35,"https://doi.org/")),
SUBSTITUTE(
SUBSTITUTE(
SUBSTITUTE(
SUBSTITUTE(
_xlpm.doi,
"/","%2F"),
":","%3A"),
"&lt;","%3C"),
"&gt;","%3E")
)</f>
        <v>10.1159%2F000068880</v>
      </c>
      <c r="K35" s="1" t="str">
        <f>TRIM(_xlfn.TEXTJOIN("_",FALSE(),F35,(SUBSTITUTE(SUBSTITUTE(D35," ",""), "_", ""))))</f>
        <v>Bush_Allman_2003_Table1</v>
      </c>
      <c r="L35" s="1" t="str">
        <f>J35 &amp; "_" &amp; SUBSTITUTE(SUBSTITUTE(SUBSTITUTE(D35,CHAR(160),"")," ",""),"_","")</f>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x14ac:dyDescent="0.2">
      <c r="A36" s="3" t="s">
        <v>162</v>
      </c>
      <c r="B36" s="3" t="s">
        <v>163</v>
      </c>
      <c r="D36" s="3" t="s">
        <v>118</v>
      </c>
      <c r="E36" s="1" t="str">
        <f>RIGHT(A36,1)</f>
        <v>1</v>
      </c>
      <c r="F36" s="1" t="str">
        <f>G36 &amp; IF(H36&lt;&gt;"", "_" &amp; H36, "_") &amp; IF(I36&lt;&gt;"", "_" &amp; I36, "_") &amp; IF(B36&lt;&gt;"", "_" &amp; B36, "")</f>
        <v>Bush_Allman_2004_a</v>
      </c>
      <c r="G36" s="1" t="str">
        <f>SUBSTITUTE(SUBSTITUTE(_xlfn.TEXTBEFORE(A36,","), "-", ""), " ", "")</f>
        <v>Bush</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Allman</v>
      </c>
      <c r="I36" s="1" t="str">
        <f>_xlfn.TEXTBEFORE(_xlfn.TEXTAFTER(A36, "("), ")")</f>
        <v>2004</v>
      </c>
      <c r="J36" s="1" t="str">
        <f>_xlfn.LET(
_xlpm.doi,IF(C36&lt;&gt;"",C36,_xlfn.TEXTAFTER(A36,"https://doi.org/")),
SUBSTITUTE(
SUBSTITUTE(
SUBSTITUTE(
SUBSTITUTE(
_xlpm.doi,
"/","%2F"),
":","%3A"),
"&lt;","%3C"),
"&gt;","%3E")
)</f>
        <v>10.1073%2Fpnas.0305760101</v>
      </c>
      <c r="K36" s="1" t="str">
        <f>TRIM(_xlfn.TEXTJOIN("_",FALSE(),F36,(SUBSTITUTE(SUBSTITUTE(D36," ",""), "_", ""))))</f>
        <v>Bush_Allman_2004_a_Table2</v>
      </c>
      <c r="L36" s="1" t="str">
        <f>J36 &amp; "_" &amp; SUBSTITUTE(SUBSTITUTE(SUBSTITUTE(D36,CHAR(160),"")," ",""),"_","")</f>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x14ac:dyDescent="0.2">
      <c r="A37" s="3" t="s">
        <v>170</v>
      </c>
      <c r="B37" s="3" t="s">
        <v>171</v>
      </c>
      <c r="D37" s="3" t="s">
        <v>48</v>
      </c>
      <c r="E37" s="1" t="str">
        <f>RIGHT(A37,1)</f>
        <v>4</v>
      </c>
      <c r="F37" s="1" t="str">
        <f>G37 &amp; IF(H37&lt;&gt;"", "_" &amp; H37, "_") &amp; IF(I37&lt;&gt;"", "_" &amp; I37, "_") &amp; IF(B37&lt;&gt;"", "_" &amp; B37, "")</f>
        <v>Bush_Allman_2004_b</v>
      </c>
      <c r="G37" s="1" t="str">
        <f>SUBSTITUTE(SUBSTITUTE(_xlfn.TEXTBEFORE(A37,","), "-", ""), " ", "")</f>
        <v>Bush</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Allman</v>
      </c>
      <c r="I37" s="1" t="str">
        <f>_xlfn.TEXTBEFORE(_xlfn.TEXTAFTER(A37, "("), ")")</f>
        <v>2004</v>
      </c>
      <c r="J37" s="1" t="str">
        <f>_xlfn.LET(
_xlpm.doi,IF(C37&lt;&gt;"",C37,_xlfn.TEXTAFTER(A37,"https://doi.org/")),
SUBSTITUTE(
SUBSTITUTE(
SUBSTITUTE(
SUBSTITUTE(
_xlpm.doi,
"/","%2F"),
":","%3A"),
"&lt;","%3C"),
"&gt;","%3E")
)</f>
        <v>10.1002%2Far.a.20114</v>
      </c>
      <c r="K37" s="1" t="str">
        <f>TRIM(_xlfn.TEXTJOIN("_",FALSE(),F37,(SUBSTITUTE(SUBSTITUTE(D37," ",""), "_", ""))))</f>
        <v>Bush_Allman_2004_b_TABLE1</v>
      </c>
      <c r="L37" s="1" t="str">
        <f>J37 &amp; "_" &amp; SUBSTITUTE(SUBSTITUTE(SUBSTITUTE(D37,CHAR(160),"")," ",""),"_","")</f>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x14ac:dyDescent="0.2">
      <c r="A38" s="4" t="s">
        <v>845</v>
      </c>
      <c r="D38" s="3" t="s">
        <v>864</v>
      </c>
      <c r="E38" s="1" t="str">
        <f>RIGHT(A38,1)</f>
        <v>x</v>
      </c>
      <c r="F38" s="1" t="str">
        <f>G38 &amp; IF(H38&lt;&gt;"", "_" &amp; H38, "_") &amp; IF(I38&lt;&gt;"", "_" &amp; I38, "_") &amp; IF(B38&lt;&gt;"", "_" &amp; B38, "")</f>
        <v>Capellini_etal_2008</v>
      </c>
      <c r="G38" s="1" t="str">
        <f>SUBSTITUTE(SUBSTITUTE(_xlfn.TEXTBEFORE(A38,","), "-", ""), " ", "")</f>
        <v>Capellini</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 t="str">
        <f>_xlfn.TEXTBEFORE(_xlfn.TEXTAFTER(A38, "("), ")")</f>
        <v>2008</v>
      </c>
      <c r="J38" s="1" t="str">
        <f>_xlfn.LET(
_xlpm.doi,IF(C38&lt;&gt;"",C38,_xlfn.TEXTAFTER(A38,"https://doi.org/")),
SUBSTITUTE(
SUBSTITUTE(
SUBSTITUTE(
SUBSTITUTE(
_xlpm.doi,
"/","%2F"),
":","%3A"),
"&lt;","%3C"),
"&gt;","%3E")
)</f>
        <v>10.1111%2Fj.1558-5646.2008.00392.x</v>
      </c>
      <c r="K38" s="1" t="str">
        <f>TRIM(_xlfn.TEXTJOIN("_",FALSE(),F38,(SUBSTITUTE(SUBSTITUTE(D38," ",""), "_", ""))))</f>
        <v>Capellini_etal_2008_sleep-dataFemale</v>
      </c>
      <c r="L38" s="1" t="str">
        <f>J38 &amp; "_" &amp; SUBSTITUTE(SUBSTITUTE(SUBSTITUTE(D38,CHAR(160),"")," ",""),"_","")</f>
        <v>10.1111%2Fj.1558-5646.2008.00392.x_sleep-dataFemale</v>
      </c>
      <c r="M38" s="1" t="str">
        <f t="array" ref="M38">IFERROR(INDEX(FileList!$A$1:$A$1000,MATCH(TRUE(),EXACT(L38,IFERROR(_xlfn.TEXTBEFORE(FileList!$A$1:$A$1000,".tsv"),"")),0)),"notfound")</f>
        <v>10.1111%2Fj.1558-5646.2008.00392.x_sleep-dataFemale.tsv</v>
      </c>
      <c r="O38" s="4" t="s">
        <v>867</v>
      </c>
      <c r="P38" s="4" t="s">
        <v>1095</v>
      </c>
      <c r="R38" s="4" t="s">
        <v>1096</v>
      </c>
      <c r="T38" s="4" t="s">
        <v>1097</v>
      </c>
      <c r="U38" s="4" t="s">
        <v>1098</v>
      </c>
      <c r="V38" s="4" t="s">
        <v>1099</v>
      </c>
      <c r="Y38" s="4" t="s">
        <v>1100</v>
      </c>
      <c r="AB38" s="4" t="s">
        <v>1101</v>
      </c>
      <c r="AI38" s="4" t="s">
        <v>1102</v>
      </c>
      <c r="AJ38" s="4" t="s">
        <v>1103</v>
      </c>
      <c r="AK38" s="4" t="s">
        <v>1104</v>
      </c>
      <c r="AL38" s="4" t="s">
        <v>1105</v>
      </c>
      <c r="AM38" s="4" t="s">
        <v>1106</v>
      </c>
    </row>
    <row r="39" spans="1:39" ht="15.75" customHeight="1" x14ac:dyDescent="0.2">
      <c r="A39" s="4" t="s">
        <v>845</v>
      </c>
      <c r="D39" s="3" t="s">
        <v>865</v>
      </c>
      <c r="E39" s="1" t="str">
        <f>RIGHT(A39,1)</f>
        <v>x</v>
      </c>
      <c r="F39" s="1" t="str">
        <f>G39 &amp; IF(H39&lt;&gt;"", "_" &amp; H39, "_") &amp; IF(I39&lt;&gt;"", "_" &amp; I39, "_") &amp; IF(B39&lt;&gt;"", "_" &amp; B39, "")</f>
        <v>Capellini_etal_2008</v>
      </c>
      <c r="G39" s="1" t="str">
        <f>SUBSTITUTE(SUBSTITUTE(_xlfn.TEXTBEFORE(A39,","), "-", ""), " ", "")</f>
        <v>Capellini</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_xlfn.TEXTBEFORE(_xlfn.TEXTAFTER(A39, "("), ")")</f>
        <v>2008</v>
      </c>
      <c r="J39" s="1" t="str">
        <f>_xlfn.LET(
_xlpm.doi,IF(C39&lt;&gt;"",C39,_xlfn.TEXTAFTER(A39,"https://doi.org/")),
SUBSTITUTE(
SUBSTITUTE(
SUBSTITUTE(
SUBSTITUTE(
_xlpm.doi,
"/","%2F"),
":","%3A"),
"&lt;","%3C"),
"&gt;","%3E")
)</f>
        <v>10.1111%2Fj.1558-5646.2008.00392.x</v>
      </c>
      <c r="K39" s="1" t="str">
        <f>TRIM(_xlfn.TEXTJOIN("_",FALSE(),F39,(SUBSTITUTE(SUBSTITUTE(D39," ",""), "_", ""))))</f>
        <v>Capellini_etal_2008_sleep-dataMale</v>
      </c>
      <c r="L39" s="1" t="str">
        <f>J39 &amp; "_" &amp; SUBSTITUTE(SUBSTITUTE(SUBSTITUTE(D39,CHAR(160),"")," ",""),"_","")</f>
        <v>10.1111%2Fj.1558-5646.2008.00392.x_sleep-dataMale</v>
      </c>
      <c r="M39" s="1" t="str">
        <f t="array" ref="M39">IFERROR(INDEX(FileList!$A$1:$A$1000,MATCH(TRUE(),EXACT(L39,IFERROR(_xlfn.TEXTBEFORE(FileList!$A$1:$A$1000,".tsv"),"")),0)),"notfound")</f>
        <v>10.1111%2Fj.1558-5646.2008.00392.x_sleep-dataMale.tsv</v>
      </c>
      <c r="O39" s="4" t="s">
        <v>868</v>
      </c>
      <c r="P39" s="4" t="s">
        <v>1095</v>
      </c>
      <c r="R39" s="4" t="s">
        <v>1107</v>
      </c>
      <c r="T39" s="4" t="s">
        <v>1108</v>
      </c>
      <c r="U39" s="4" t="s">
        <v>1098</v>
      </c>
      <c r="V39" s="4" t="s">
        <v>1099</v>
      </c>
      <c r="Y39" s="4" t="s">
        <v>1100</v>
      </c>
      <c r="AB39" s="4" t="s">
        <v>1101</v>
      </c>
      <c r="AI39" s="4" t="s">
        <v>1102</v>
      </c>
      <c r="AJ39" s="4" t="s">
        <v>1103</v>
      </c>
      <c r="AK39" s="4" t="s">
        <v>1104</v>
      </c>
      <c r="AL39" s="4" t="s">
        <v>1105</v>
      </c>
      <c r="AM39" s="4" t="s">
        <v>1106</v>
      </c>
    </row>
    <row r="40" spans="1:39" ht="15.75" customHeight="1" x14ac:dyDescent="0.2">
      <c r="A40" s="4" t="s">
        <v>845</v>
      </c>
      <c r="D40" s="3" t="s">
        <v>866</v>
      </c>
      <c r="E40" s="1" t="str">
        <f>RIGHT(A40,1)</f>
        <v>x</v>
      </c>
      <c r="F40" s="1" t="str">
        <f>G40 &amp; IF(H40&lt;&gt;"", "_" &amp; H40, "_") &amp; IF(I40&lt;&gt;"", "_" &amp; I40, "_") &amp; IF(B40&lt;&gt;"", "_" &amp; B40, "")</f>
        <v>Capellini_etal_2008</v>
      </c>
      <c r="G40" s="1" t="str">
        <f>SUBSTITUTE(SUBSTITUTE(_xlfn.TEXTBEFORE(A40,","), "-", ""), " ", "")</f>
        <v>Capellini</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 t="str">
        <f>_xlfn.TEXTBEFORE(_xlfn.TEXTAFTER(A40, "("), ")")</f>
        <v>2008</v>
      </c>
      <c r="J40" s="1" t="str">
        <f>_xlfn.LET(
_xlpm.doi,IF(C40&lt;&gt;"",C40,_xlfn.TEXTAFTER(A40,"https://doi.org/")),
SUBSTITUTE(
SUBSTITUTE(
SUBSTITUTE(
SUBSTITUTE(
_xlpm.doi,
"/","%2F"),
":","%3A"),
"&lt;","%3C"),
"&gt;","%3E")
)</f>
        <v>10.1111%2Fj.1558-5646.2008.00392.x</v>
      </c>
      <c r="K40" s="1" t="str">
        <f>TRIM(_xlfn.TEXTJOIN("_",FALSE(),F40,(SUBSTITUTE(SUBSTITUTE(D40," ",""), "_", ""))))</f>
        <v>Capellini_etal_2008_sleep-dataMixed</v>
      </c>
      <c r="L40" s="1" t="str">
        <f>J40 &amp; "_" &amp; SUBSTITUTE(SUBSTITUTE(SUBSTITUTE(D40,CHAR(160),"")," ",""),"_","")</f>
        <v>10.1111%2Fj.1558-5646.2008.00392.x_sleep-dataMixed</v>
      </c>
      <c r="M40" s="1" t="str">
        <f t="array" ref="M40">IFERROR(INDEX(FileList!$A$1:$A$1000,MATCH(TRUE(),EXACT(L40,IFERROR(_xlfn.TEXTBEFORE(FileList!$A$1:$A$1000,".tsv"),"")),0)),"notfound")</f>
        <v>10.1111%2Fj.1558-5646.2008.00392.x_sleep-dataMixed.tsv</v>
      </c>
      <c r="O40" s="4" t="s">
        <v>869</v>
      </c>
      <c r="P40" s="4" t="s">
        <v>1095</v>
      </c>
      <c r="R40" s="4" t="s">
        <v>1109</v>
      </c>
      <c r="T40" s="4" t="s">
        <v>1110</v>
      </c>
      <c r="U40" s="4" t="s">
        <v>1098</v>
      </c>
      <c r="V40" s="4" t="s">
        <v>1099</v>
      </c>
      <c r="Y40" s="4" t="s">
        <v>1100</v>
      </c>
      <c r="AB40" s="4" t="s">
        <v>1101</v>
      </c>
      <c r="AI40" s="4" t="s">
        <v>1102</v>
      </c>
      <c r="AJ40" s="4" t="s">
        <v>1103</v>
      </c>
      <c r="AK40" s="4" t="s">
        <v>1104</v>
      </c>
      <c r="AL40" s="4" t="s">
        <v>1105</v>
      </c>
      <c r="AM40" s="4" t="s">
        <v>1106</v>
      </c>
    </row>
    <row r="41" spans="1:39" ht="15.75" customHeight="1" x14ac:dyDescent="0.2">
      <c r="A41" s="3" t="s">
        <v>178</v>
      </c>
      <c r="D41" s="3" t="s">
        <v>179</v>
      </c>
      <c r="E41" s="1" t="str">
        <f>RIGHT(A41,1)</f>
        <v>5</v>
      </c>
      <c r="F41" s="1" t="str">
        <f>G41 &amp; IF(H41&lt;&gt;"", "_" &amp; H41, "_") &amp; IF(I41&lt;&gt;"", "_" &amp; I41, "_") &amp; IF(B41&lt;&gt;"", "_" &amp; B41, "")</f>
        <v>Caspar_etal_2022</v>
      </c>
      <c r="G41" s="1" t="str">
        <f>SUBSTITUTE(SUBSTITUTE(_xlfn.TEXTBEFORE(A41,","), "-", ""), " ", "")</f>
        <v>Caspar</v>
      </c>
      <c r="H41" s="1"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 t="str">
        <f>_xlfn.TEXTBEFORE(_xlfn.TEXTAFTER(A41, "("), ")")</f>
        <v>2022</v>
      </c>
      <c r="J41" s="1" t="str">
        <f>_xlfn.LET(
_xlpm.doi,IF(C41&lt;&gt;"",C41,_xlfn.TEXTAFTER(A41,"https://doi.org/")),
SUBSTITUTE(
SUBSTITUTE(
SUBSTITUTE(
SUBSTITUTE(
_xlpm.doi,
"/","%2F"),
":","%3A"),
"&lt;","%3C"),
"&gt;","%3E")
)</f>
        <v>10.7554%2FeLife.77875</v>
      </c>
      <c r="K41" s="1" t="str">
        <f>TRIM(_xlfn.TEXTJOIN("_",FALSE(),F41,(SUBSTITUTE(SUBSTITUTE(D41," ",""), "_", ""))))</f>
        <v>Caspar_etal_2022_Supplementaryfile3</v>
      </c>
      <c r="L41" s="1" t="str">
        <f>J41 &amp; "_" &amp; SUBSTITUTE(SUBSTITUTE(SUBSTITUTE(D41,CHAR(160),"")," ",""),"_","")</f>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x14ac:dyDescent="0.2">
      <c r="A42" s="3" t="s">
        <v>178</v>
      </c>
      <c r="D42" s="3" t="s">
        <v>76</v>
      </c>
      <c r="E42" s="1" t="str">
        <f>RIGHT(A42,1)</f>
        <v>5</v>
      </c>
      <c r="F42" s="1" t="str">
        <f>G42 &amp; IF(H42&lt;&gt;"", "_" &amp; H42, "_") &amp; IF(I42&lt;&gt;"", "_" &amp; I42, "_") &amp; IF(B42&lt;&gt;"", "_" &amp; B42, "")</f>
        <v>Caspar_etal_2022</v>
      </c>
      <c r="G42" s="1" t="str">
        <f>SUBSTITUTE(SUBSTITUTE(_xlfn.TEXTBEFORE(A42,","), "-", ""), " ", "")</f>
        <v>Caspar</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_xlfn.TEXTBEFORE(_xlfn.TEXTAFTER(A42, "("), ")")</f>
        <v>2022</v>
      </c>
      <c r="J42" s="1" t="str">
        <f>_xlfn.LET(
_xlpm.doi,IF(C42&lt;&gt;"",C42,_xlfn.TEXTAFTER(A42,"https://doi.org/")),
SUBSTITUTE(
SUBSTITUTE(
SUBSTITUTE(
SUBSTITUTE(
_xlpm.doi,
"/","%2F"),
":","%3A"),
"&lt;","%3C"),
"&gt;","%3E")
)</f>
        <v>10.7554%2FeLife.77875</v>
      </c>
      <c r="K42" s="1" t="str">
        <f>TRIM(_xlfn.TEXTJOIN("_",FALSE(),F42,(SUBSTITUTE(SUBSTITUTE(D42," ",""), "_", ""))))</f>
        <v>Caspar_etal_2022_Table1</v>
      </c>
      <c r="L42" s="1" t="str">
        <f>J42 &amp; "_" &amp; SUBSTITUTE(SUBSTITUTE(SUBSTITUTE(D42,CHAR(160),"")," ",""),"_","")</f>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x14ac:dyDescent="0.2">
      <c r="A43" s="3" t="s">
        <v>196</v>
      </c>
      <c r="D43" s="3" t="s">
        <v>197</v>
      </c>
      <c r="E43" s="1" t="str">
        <f>RIGHT(A43,1)</f>
        <v>1</v>
      </c>
      <c r="F43" s="1" t="str">
        <f>G43 &amp; IF(H43&lt;&gt;"", "_" &amp; H43, "_") &amp; IF(I43&lt;&gt;"", "_" &amp; I43, "_") &amp; IF(B43&lt;&gt;"", "_" &amp; B43, "")</f>
        <v>Caves_etal_2018</v>
      </c>
      <c r="G43" s="1" t="str">
        <f>SUBSTITUTE(SUBSTITUTE(_xlfn.TEXTBEFORE(A43,","), "-", ""), " ", "")</f>
        <v>Caves</v>
      </c>
      <c r="H43" s="1" t="str">
        <f>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_xlfn.TEXTBEFORE(_xlfn.TEXTAFTER(A43, "("), ")")</f>
        <v>2018</v>
      </c>
      <c r="J43" s="1" t="str">
        <f>_xlfn.LET(
_xlpm.doi,IF(C43&lt;&gt;"",C43,_xlfn.TEXTAFTER(A43,"https://doi.org/")),
SUBSTITUTE(
SUBSTITUTE(
SUBSTITUTE(
SUBSTITUTE(
_xlpm.doi,
"/","%2F"),
":","%3A"),
"&lt;","%3C"),
"&gt;","%3E")
)</f>
        <v>10.1016%2Fj.tree.2018.03.001</v>
      </c>
      <c r="K43" s="1" t="str">
        <f>TRIM(_xlfn.TEXTJOIN("_",FALSE(),F43,(SUBSTITUTE(SUBSTITUTE(D43," ",""), "_", ""))))</f>
        <v>Caves_etal_2018_TableS1</v>
      </c>
      <c r="L43" s="1" t="str">
        <f>J43 &amp; "_" &amp; SUBSTITUTE(SUBSTITUTE(SUBSTITUTE(D43,CHAR(160),"")," ",""),"_","")</f>
        <v>10.1016%2Fj.tree.2018.03.001_TableS1</v>
      </c>
      <c r="M43" s="1" t="str">
        <f t="array" ref="M43">IFERROR(INDEX(FileList!$A$1:$A$1000,MATCH(TRUE(),EXACT(L43,IFERROR(_xlfn.TEXTBEFORE(FileList!$A$1:$A$1000,".tsv"),"")),0)),"notfound")</f>
        <v>10.1016%2Fj.tree.2018.03.001_TableS1.tsv</v>
      </c>
    </row>
    <row r="44" spans="1:39" ht="15.75" customHeight="1" x14ac:dyDescent="0.2">
      <c r="A44" s="3" t="s">
        <v>198</v>
      </c>
      <c r="D44" s="3" t="s">
        <v>199</v>
      </c>
      <c r="E44" s="1" t="str">
        <f>RIGHT(A44,1)</f>
        <v>5</v>
      </c>
      <c r="F44" s="1" t="str">
        <f>G44 &amp; IF(H44&lt;&gt;"", "_" &amp; H44, "_") &amp; IF(I44&lt;&gt;"", "_" &amp; I44, "_") &amp; IF(B44&lt;&gt;"", "_" &amp; B44, "")</f>
        <v>Changizi__2001</v>
      </c>
      <c r="G44" s="1" t="str">
        <f>SUBSTITUTE(SUBSTITUTE(_xlfn.TEXTBEFORE(A44,","), "-", ""), " ", "")</f>
        <v>Changizi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
      </c>
      <c r="I44" s="1" t="str">
        <f>_xlfn.TEXTBEFORE(_xlfn.TEXTAFTER(A44, "("), ")")</f>
        <v>2001</v>
      </c>
      <c r="J44" s="1" t="str">
        <f>_xlfn.LET(
_xlpm.doi,IF(C44&lt;&gt;"",C44,_xlfn.TEXTAFTER(A44,"https://doi.org/")),
SUBSTITUTE(
SUBSTITUTE(
SUBSTITUTE(
SUBSTITUTE(
_xlpm.doi,
"/","%2F"),
":","%3A"),
"&lt;","%3C"),
"&gt;","%3E")
)</f>
        <v>10.1007%2Fs004220000205</v>
      </c>
      <c r="K44" s="1" t="str">
        <f>TRIM(_xlfn.TEXTJOIN("_",FALSE(),F44,(SUBSTITUTE(SUBSTITUTE(D44," ",""), "_", ""))))</f>
        <v>Changizi__2001_Figure3</v>
      </c>
      <c r="L44" s="1" t="str">
        <f>J44 &amp; "_" &amp; SUBSTITUTE(SUBSTITUTE(SUBSTITUTE(D44,CHAR(160),"")," ",""),"_","")</f>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x14ac:dyDescent="0.2">
      <c r="A45" s="3" t="s">
        <v>876</v>
      </c>
      <c r="D45" s="3" t="s">
        <v>76</v>
      </c>
      <c r="E45" s="1" t="str">
        <f>RIGHT(A45,1)</f>
        <v>2</v>
      </c>
      <c r="F45" s="1" t="str">
        <f>G45 &amp; IF(H45&lt;&gt;"", "_" &amp; H45, "_") &amp; IF(I45&lt;&gt;"", "_" &amp; I45, "_") &amp; IF(B45&lt;&gt;"", "_" &amp; B45, "")</f>
        <v>Changizi_Shimojo_2005</v>
      </c>
      <c r="G45" s="1" t="str">
        <f>SUBSTITUTE(SUBSTITUTE(_xlfn.TEXTBEFORE(A45,","), "-", ""), " ", "")</f>
        <v>Changizi</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_xlfn.TEXTBEFORE(_xlfn.TEXTAFTER(A45, "("), ")")</f>
        <v>2005</v>
      </c>
      <c r="J45" s="1" t="str">
        <f>_xlfn.LET(
_xlpm.doi,IF(C45&lt;&gt;"",C45,_xlfn.TEXTAFTER(A45,"https://doi.org/")),
SUBSTITUTE(
SUBSTITUTE(
SUBSTITUTE(
SUBSTITUTE(
_xlpm.doi,
"/","%2F"),
":","%3A"),
"&lt;","%3C"),
"&gt;","%3E")
)</f>
        <v>10.1159%2F000085942</v>
      </c>
      <c r="K45" s="1" t="str">
        <f>TRIM(_xlfn.TEXTJOIN("_",FALSE(),F45,(SUBSTITUTE(SUBSTITUTE(D45," ",""), "_", ""))))</f>
        <v>Changizi_Shimojo_2005_Table1</v>
      </c>
      <c r="L45" s="1" t="str">
        <f>J45 &amp; "_" &amp; SUBSTITUTE(SUBSTITUTE(SUBSTITUTE(D45,CHAR(160),"")," ",""),"_","")</f>
        <v>10.1159%2F000085942_Table1</v>
      </c>
      <c r="M45" s="1" t="str">
        <f t="array" ref="M45">IFERROR(INDEX(FileList!$A$1:$A$1000,MATCH(TRUE(),EXACT(L45,IFERROR(_xlfn.TEXTBEFORE(FileList!$A$1:$A$1000,".tsv"),"")),0)),"notfound")</f>
        <v>notfound</v>
      </c>
      <c r="P45" s="4" t="s">
        <v>40</v>
      </c>
      <c r="Q45" s="3"/>
      <c r="R45" s="4" t="s">
        <v>1111</v>
      </c>
      <c r="S45" s="3"/>
      <c r="T45" s="4" t="s">
        <v>1112</v>
      </c>
      <c r="U45" s="4" t="s">
        <v>54</v>
      </c>
      <c r="V45" s="4" t="s">
        <v>41</v>
      </c>
      <c r="W45" s="3"/>
      <c r="Y45" s="4" t="s">
        <v>1113</v>
      </c>
      <c r="AB45" s="4" t="s">
        <v>1114</v>
      </c>
      <c r="AI45" s="4" t="s">
        <v>1115</v>
      </c>
      <c r="AJ45" s="4" t="s">
        <v>139</v>
      </c>
      <c r="AK45" s="4" t="s">
        <v>1116</v>
      </c>
      <c r="AL45" s="4" t="s">
        <v>361</v>
      </c>
      <c r="AM45" s="4" t="s">
        <v>1117</v>
      </c>
    </row>
    <row r="46" spans="1:39" ht="15.75" customHeight="1" x14ac:dyDescent="0.2">
      <c r="A46" s="3" t="s">
        <v>876</v>
      </c>
      <c r="D46" s="3" t="s">
        <v>118</v>
      </c>
      <c r="E46" s="1" t="str">
        <f>RIGHT(A46,1)</f>
        <v>2</v>
      </c>
      <c r="F46" s="1" t="str">
        <f>G46 &amp; IF(H46&lt;&gt;"", "_" &amp; H46, "_") &amp; IF(I46&lt;&gt;"", "_" &amp; I46, "_") &amp; IF(B46&lt;&gt;"", "_" &amp; B46, "")</f>
        <v>Changizi_Shimojo_2005</v>
      </c>
      <c r="G46" s="1" t="str">
        <f>SUBSTITUTE(SUBSTITUTE(_xlfn.TEXTBEFORE(A46,","), "-", ""), " ", "")</f>
        <v>Changizi</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Shimojo</v>
      </c>
      <c r="I46" s="1" t="str">
        <f>_xlfn.TEXTBEFORE(_xlfn.TEXTAFTER(A46, "("), ")")</f>
        <v>2005</v>
      </c>
      <c r="J46" s="1" t="str">
        <f>_xlfn.LET(
_xlpm.doi,IF(C46&lt;&gt;"",C46,_xlfn.TEXTAFTER(A46,"https://doi.org/")),
SUBSTITUTE(
SUBSTITUTE(
SUBSTITUTE(
SUBSTITUTE(
_xlpm.doi,
"/","%2F"),
":","%3A"),
"&lt;","%3C"),
"&gt;","%3E")
)</f>
        <v>10.1159%2F000085942</v>
      </c>
      <c r="K46" s="1" t="str">
        <f>TRIM(_xlfn.TEXTJOIN("_",FALSE(),F46,(SUBSTITUTE(SUBSTITUTE(D46," ",""), "_", ""))))</f>
        <v>Changizi_Shimojo_2005_Table2</v>
      </c>
      <c r="L46" s="1" t="str">
        <f>J46 &amp; "_" &amp; SUBSTITUTE(SUBSTITUTE(SUBSTITUTE(D46,CHAR(160),"")," ",""),"_","")</f>
        <v>10.1159%2F000085942_Table2</v>
      </c>
      <c r="M46" s="1" t="str">
        <f t="array" ref="M46">IFERROR(INDEX(FileList!$A$1:$A$1000,MATCH(TRUE(),EXACT(L46,IFERROR(_xlfn.TEXTBEFORE(FileList!$A$1:$A$1000,".tsv"),"")),0)),"notfound")</f>
        <v>notfound</v>
      </c>
      <c r="P46" s="4" t="s">
        <v>40</v>
      </c>
      <c r="Q46" s="3"/>
      <c r="R46" s="4" t="s">
        <v>1118</v>
      </c>
      <c r="S46" s="3"/>
      <c r="T46" s="4" t="s">
        <v>1119</v>
      </c>
      <c r="U46" s="4" t="s">
        <v>54</v>
      </c>
      <c r="V46" s="4" t="s">
        <v>41</v>
      </c>
      <c r="W46" s="3"/>
      <c r="Y46" s="4" t="s">
        <v>1113</v>
      </c>
      <c r="AB46" s="4" t="s">
        <v>1120</v>
      </c>
      <c r="AI46" s="4" t="s">
        <v>1121</v>
      </c>
      <c r="AJ46" s="4" t="s">
        <v>139</v>
      </c>
      <c r="AK46" s="4" t="s">
        <v>62</v>
      </c>
      <c r="AL46" s="4" t="s">
        <v>62</v>
      </c>
      <c r="AM46" s="4" t="s">
        <v>1122</v>
      </c>
    </row>
    <row r="47" spans="1:39" ht="15.75" customHeight="1" x14ac:dyDescent="0.2">
      <c r="A47" s="3" t="s">
        <v>876</v>
      </c>
      <c r="D47" s="3" t="s">
        <v>67</v>
      </c>
      <c r="E47" s="1" t="str">
        <f>RIGHT(A47,1)</f>
        <v>2</v>
      </c>
      <c r="F47" s="1" t="str">
        <f>G47 &amp; IF(H47&lt;&gt;"", "_" &amp; H47, "_") &amp; IF(I47&lt;&gt;"", "_" &amp; I47, "_") &amp; IF(B47&lt;&gt;"", "_" &amp; B47, "")</f>
        <v>Changizi_Shimojo_2005</v>
      </c>
      <c r="G47" s="1" t="str">
        <f>SUBSTITUTE(SUBSTITUTE(_xlfn.TEXTBEFORE(A47,","), "-", ""), " ", "")</f>
        <v>Changizi</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Shimojo</v>
      </c>
      <c r="I47" s="1" t="str">
        <f>_xlfn.TEXTBEFORE(_xlfn.TEXTAFTER(A47, "("), ")")</f>
        <v>2005</v>
      </c>
      <c r="J47" s="1" t="str">
        <f>_xlfn.LET(
_xlpm.doi,IF(C47&lt;&gt;"",C47,_xlfn.TEXTAFTER(A47,"https://doi.org/")),
SUBSTITUTE(
SUBSTITUTE(
SUBSTITUTE(
SUBSTITUTE(
_xlpm.doi,
"/","%2F"),
":","%3A"),
"&lt;","%3C"),
"&gt;","%3E")
)</f>
        <v>10.1159%2F000085942</v>
      </c>
      <c r="K47" s="1" t="str">
        <f>TRIM(_xlfn.TEXTJOIN("_",FALSE(),F47,(SUBSTITUTE(SUBSTITUTE(D47," ",""), "_", ""))))</f>
        <v>Changizi_Shimojo_2005_Table3</v>
      </c>
      <c r="L47" s="1" t="str">
        <f>J47 &amp; "_" &amp; SUBSTITUTE(SUBSTITUTE(SUBSTITUTE(D47,CHAR(160),"")," ",""),"_","")</f>
        <v>10.1159%2F000085942_Table3</v>
      </c>
      <c r="M47" s="1" t="str">
        <f t="array" ref="M47">IFERROR(INDEX(FileList!$A$1:$A$1000,MATCH(TRUE(),EXACT(L47,IFERROR(_xlfn.TEXTBEFORE(FileList!$A$1:$A$1000,".tsv"),"")),0)),"notfound")</f>
        <v>notfound</v>
      </c>
      <c r="P47" s="4" t="s">
        <v>40</v>
      </c>
      <c r="Q47" s="3"/>
      <c r="R47" s="4" t="s">
        <v>1123</v>
      </c>
      <c r="S47" s="3"/>
      <c r="T47" s="4" t="s">
        <v>1124</v>
      </c>
      <c r="U47" s="4" t="s">
        <v>54</v>
      </c>
      <c r="V47" s="4" t="s">
        <v>41</v>
      </c>
      <c r="W47" s="3"/>
      <c r="Y47" s="4" t="s">
        <v>1113</v>
      </c>
      <c r="AB47" s="4" t="s">
        <v>1125</v>
      </c>
      <c r="AI47" s="4" t="s">
        <v>1126</v>
      </c>
      <c r="AJ47" s="4" t="s">
        <v>139</v>
      </c>
      <c r="AK47" s="4" t="s">
        <v>457</v>
      </c>
      <c r="AL47" s="4" t="s">
        <v>140</v>
      </c>
      <c r="AM47" s="4" t="s">
        <v>1127</v>
      </c>
    </row>
    <row r="48" spans="1:39" ht="15.75" customHeight="1" x14ac:dyDescent="0.2">
      <c r="A48" s="3" t="s">
        <v>876</v>
      </c>
      <c r="D48" s="3" t="s">
        <v>39</v>
      </c>
      <c r="E48" s="1" t="str">
        <f>RIGHT(A48,1)</f>
        <v>2</v>
      </c>
      <c r="F48" s="1" t="str">
        <f>G48 &amp; IF(H48&lt;&gt;"", "_" &amp; H48, "_") &amp; IF(I48&lt;&gt;"", "_" &amp; I48, "_") &amp; IF(B48&lt;&gt;"", "_" &amp; B48, "")</f>
        <v>Changizi_Shimojo_2005</v>
      </c>
      <c r="G48" s="1" t="str">
        <f>SUBSTITUTE(SUBSTITUTE(_xlfn.TEXTBEFORE(A48,","), "-", ""), " ", "")</f>
        <v>Changizi</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Shimojo</v>
      </c>
      <c r="I48" s="1" t="str">
        <f>_xlfn.TEXTBEFORE(_xlfn.TEXTAFTER(A48, "("), ")")</f>
        <v>2005</v>
      </c>
      <c r="J48" s="1" t="str">
        <f>_xlfn.LET(
_xlpm.doi,IF(C48&lt;&gt;"",C48,_xlfn.TEXTAFTER(A48,"https://doi.org/")),
SUBSTITUTE(
SUBSTITUTE(
SUBSTITUTE(
SUBSTITUTE(
_xlpm.doi,
"/","%2F"),
":","%3A"),
"&lt;","%3C"),
"&gt;","%3E")
)</f>
        <v>10.1159%2F000085942</v>
      </c>
      <c r="K48" s="1" t="str">
        <f>TRIM(_xlfn.TEXTJOIN("_",FALSE(),F48,(SUBSTITUTE(SUBSTITUTE(D48," ",""), "_", ""))))</f>
        <v>Changizi_Shimojo_2005_Table4</v>
      </c>
      <c r="L48" s="1" t="str">
        <f>J48 &amp; "_" &amp; SUBSTITUTE(SUBSTITUTE(SUBSTITUTE(D48,CHAR(160),"")," ",""),"_","")</f>
        <v>10.1159%2F000085942_Table4</v>
      </c>
      <c r="M48" s="1" t="str">
        <f t="array" ref="M48">IFERROR(INDEX(FileList!$A$1:$A$1000,MATCH(TRUE(),EXACT(L48,IFERROR(_xlfn.TEXTBEFORE(FileList!$A$1:$A$1000,".tsv"),"")),0)),"notfound")</f>
        <v>notfound</v>
      </c>
      <c r="P48" s="4" t="s">
        <v>40</v>
      </c>
      <c r="Q48" s="3"/>
      <c r="R48" s="4" t="s">
        <v>1128</v>
      </c>
      <c r="S48" s="3"/>
      <c r="T48" s="4" t="s">
        <v>1129</v>
      </c>
      <c r="U48" s="4" t="s">
        <v>54</v>
      </c>
      <c r="V48" s="4" t="s">
        <v>41</v>
      </c>
      <c r="W48" s="3"/>
      <c r="Y48" s="4" t="s">
        <v>1113</v>
      </c>
      <c r="AB48" s="4" t="s">
        <v>1130</v>
      </c>
      <c r="AI48" s="4" t="s">
        <v>1131</v>
      </c>
      <c r="AJ48" s="4" t="s">
        <v>139</v>
      </c>
      <c r="AK48" s="4" t="s">
        <v>457</v>
      </c>
      <c r="AL48" s="4" t="s">
        <v>140</v>
      </c>
      <c r="AM48" s="4" t="s">
        <v>1132</v>
      </c>
    </row>
    <row r="49" spans="1:39" ht="15.75" customHeight="1" x14ac:dyDescent="0.2">
      <c r="A49" s="3" t="s">
        <v>876</v>
      </c>
      <c r="D49" s="3" t="s">
        <v>69</v>
      </c>
      <c r="E49" s="1" t="str">
        <f>RIGHT(A49,1)</f>
        <v>2</v>
      </c>
      <c r="F49" s="1" t="str">
        <f>G49 &amp; IF(H49&lt;&gt;"", "_" &amp; H49, "_") &amp; IF(I49&lt;&gt;"", "_" &amp; I49, "_") &amp; IF(B49&lt;&gt;"", "_" &amp; B49, "")</f>
        <v>Changizi_Shimojo_2005</v>
      </c>
      <c r="G49" s="1" t="str">
        <f>SUBSTITUTE(SUBSTITUTE(_xlfn.TEXTBEFORE(A49,","), "-", ""), " ", "")</f>
        <v>Changizi</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Shimojo</v>
      </c>
      <c r="I49" s="1" t="str">
        <f>_xlfn.TEXTBEFORE(_xlfn.TEXTAFTER(A49, "("), ")")</f>
        <v>2005</v>
      </c>
      <c r="J49" s="1" t="str">
        <f>_xlfn.LET(
_xlpm.doi,IF(C49&lt;&gt;"",C49,_xlfn.TEXTAFTER(A49,"https://doi.org/")),
SUBSTITUTE(
SUBSTITUTE(
SUBSTITUTE(
SUBSTITUTE(
_xlpm.doi,
"/","%2F"),
":","%3A"),
"&lt;","%3C"),
"&gt;","%3E")
)</f>
        <v>10.1159%2F000085942</v>
      </c>
      <c r="K49" s="1" t="str">
        <f>TRIM(_xlfn.TEXTJOIN("_",FALSE(),F49,(SUBSTITUTE(SUBSTITUTE(D49," ",""), "_", ""))))</f>
        <v>Changizi_Shimojo_2005_Table5</v>
      </c>
      <c r="L49" s="1" t="str">
        <f>J49 &amp; "_" &amp; SUBSTITUTE(SUBSTITUTE(SUBSTITUTE(D49,CHAR(160),"")," ",""),"_","")</f>
        <v>10.1159%2F000085942_Table5</v>
      </c>
      <c r="M49" s="1" t="str">
        <f t="array" ref="M49">IFERROR(INDEX(FileList!$A$1:$A$1000,MATCH(TRUE(),EXACT(L49,IFERROR(_xlfn.TEXTBEFORE(FileList!$A$1:$A$1000,".tsv"),"")),0)),"notfound")</f>
        <v>notfound</v>
      </c>
      <c r="P49" s="4" t="s">
        <v>40</v>
      </c>
      <c r="Q49" s="3"/>
      <c r="R49" s="4" t="s">
        <v>1133</v>
      </c>
      <c r="S49" s="3"/>
      <c r="T49" s="4" t="s">
        <v>1134</v>
      </c>
      <c r="U49" s="4" t="s">
        <v>54</v>
      </c>
      <c r="V49" s="4" t="s">
        <v>41</v>
      </c>
      <c r="W49" s="3"/>
      <c r="Y49" s="4" t="s">
        <v>1113</v>
      </c>
      <c r="AB49" s="4" t="s">
        <v>1135</v>
      </c>
      <c r="AI49" s="4" t="s">
        <v>1136</v>
      </c>
      <c r="AJ49" s="4" t="s">
        <v>139</v>
      </c>
      <c r="AK49" s="4" t="s">
        <v>457</v>
      </c>
      <c r="AL49" s="4" t="s">
        <v>140</v>
      </c>
      <c r="AM49" s="4" t="s">
        <v>1137</v>
      </c>
    </row>
    <row r="50" spans="1:39" ht="15.75" customHeight="1" x14ac:dyDescent="0.2">
      <c r="A50" s="3" t="s">
        <v>210</v>
      </c>
      <c r="D50" s="3" t="s">
        <v>211</v>
      </c>
      <c r="E50" s="1" t="str">
        <f>RIGHT(A50,1)</f>
        <v>3</v>
      </c>
      <c r="F50" s="1" t="str">
        <f>G50 &amp; IF(H50&lt;&gt;"", "_" &amp; H50, "_") &amp; IF(I50&lt;&gt;"", "_" &amp; I50, "_") &amp; IF(B50&lt;&gt;"", "_" &amp; B50, "")</f>
        <v>Chen_Wiens_2020</v>
      </c>
      <c r="G50" s="1" t="str">
        <f>SUBSTITUTE(SUBSTITUTE(_xlfn.TEXTBEFORE(A50,","), "-", ""), " ", "")</f>
        <v>Chen</v>
      </c>
      <c r="H50" s="1"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Wiens</v>
      </c>
      <c r="I50" s="1" t="str">
        <f>_xlfn.TEXTBEFORE(_xlfn.TEXTAFTER(A50, "("), ")")</f>
        <v>2020</v>
      </c>
      <c r="J50" s="1" t="str">
        <f>_xlfn.LET(
_xlpm.doi,IF(C50&lt;&gt;"",C50,_xlfn.TEXTAFTER(A50,"https://doi.org/")),
SUBSTITUTE(
SUBSTITUTE(
SUBSTITUTE(
SUBSTITUTE(
_xlpm.doi,
"/","%2F"),
":","%3A"),
"&lt;","%3C"),
"&gt;","%3E")
)</f>
        <v>10.1038%2Fs41467-020-14356-3</v>
      </c>
      <c r="K50" s="1" t="str">
        <f>TRIM(_xlfn.TEXTJOIN("_",FALSE(),F50,(SUBSTITUTE(SUBSTITUTE(D50," ",""), "_", ""))))</f>
        <v>Chen_Wiens_2020_SupplementaryData3</v>
      </c>
      <c r="L50" s="1" t="str">
        <f>J50 &amp; "_" &amp; SUBSTITUTE(SUBSTITUTE(SUBSTITUTE(D50,CHAR(160),"")," ",""),"_","")</f>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x14ac:dyDescent="0.2">
      <c r="A51" s="3" t="s">
        <v>220</v>
      </c>
      <c r="D51" s="3" t="s">
        <v>221</v>
      </c>
      <c r="E51" s="1" t="str">
        <f>RIGHT(A51,1)</f>
        <v>7</v>
      </c>
      <c r="F51" s="1" t="str">
        <f>G51 &amp; IF(H51&lt;&gt;"", "_" &amp; H51, "_") &amp; IF(I51&lt;&gt;"", "_" &amp; I51, "_") &amp; IF(B51&lt;&gt;"", "_" &amp; B51, "")</f>
        <v>Collins_etal_2010</v>
      </c>
      <c r="G51" s="1" t="str">
        <f>SUBSTITUTE(SUBSTITUTE(_xlfn.TEXTBEFORE(A51,","), "-", ""), " ", "")</f>
        <v>Collins</v>
      </c>
      <c r="H51" s="1"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etal</v>
      </c>
      <c r="I51" s="1" t="str">
        <f>_xlfn.TEXTBEFORE(_xlfn.TEXTAFTER(A51, "("), ")")</f>
        <v>2010</v>
      </c>
      <c r="J51" s="1" t="str">
        <f>_xlfn.LET(
_xlpm.doi,IF(C51&lt;&gt;"",C51,_xlfn.TEXTAFTER(A51,"https://doi.org/")),
SUBSTITUTE(
SUBSTITUTE(
SUBSTITUTE(
SUBSTITUTE(
_xlpm.doi,
"/","%2F"),
":","%3A"),
"&lt;","%3C"),
"&gt;","%3E")
)</f>
        <v>10.1073%2Fpnas.1010356107</v>
      </c>
      <c r="K51" s="1" t="str">
        <f>TRIM(_xlfn.TEXTJOIN("_",FALSE(),F51,(SUBSTITUTE(SUBSTITUTE(D51," ",""), "_", ""))))</f>
        <v>Collins_etal_2010_DatasetS1</v>
      </c>
      <c r="L51" s="1" t="str">
        <f>J51 &amp; "_" &amp; SUBSTITUTE(SUBSTITUTE(SUBSTITUTE(D51,CHAR(160),"")," ",""),"_","")</f>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x14ac:dyDescent="0.2">
      <c r="A52" s="3" t="s">
        <v>224</v>
      </c>
      <c r="D52" s="3" t="s">
        <v>76</v>
      </c>
      <c r="E52" s="1" t="str">
        <f>RIGHT(A52,1)</f>
        <v>3</v>
      </c>
      <c r="F52" s="1" t="str">
        <f>G52 &amp; IF(H52&lt;&gt;"", "_" &amp; H52, "_") &amp; IF(I52&lt;&gt;"", "_" &amp; I52, "_") &amp; IF(B52&lt;&gt;"", "_" &amp; B52, "")</f>
        <v>Collins_etal_2016</v>
      </c>
      <c r="G52" s="1" t="str">
        <f>SUBSTITUTE(SUBSTITUTE(_xlfn.TEXTBEFORE(A52,","), "-", ""), " ", "")</f>
        <v>Collins</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etal</v>
      </c>
      <c r="I52" s="1" t="str">
        <f>_xlfn.TEXTBEFORE(_xlfn.TEXTAFTER(A52, "("), ")")</f>
        <v>2016</v>
      </c>
      <c r="J52" s="1" t="str">
        <f>_xlfn.LET(
_xlpm.doi,IF(C52&lt;&gt;"",C52,_xlfn.TEXTAFTER(A52,"https://doi.org/")),
SUBSTITUTE(
SUBSTITUTE(
SUBSTITUTE(
SUBSTITUTE(
_xlpm.doi,
"/","%2F"),
":","%3A"),
"&lt;","%3C"),
"&gt;","%3E")
)</f>
        <v>10.1073%2Fpnas.1524208113</v>
      </c>
      <c r="K52" s="1" t="str">
        <f>TRIM(_xlfn.TEXTJOIN("_",FALSE(),F52,(SUBSTITUTE(SUBSTITUTE(D52," ",""), "_", ""))))</f>
        <v>Collins_etal_2016_Table1</v>
      </c>
      <c r="L52" s="1" t="str">
        <f>J52 &amp; "_" &amp; SUBSTITUTE(SUBSTITUTE(SUBSTITUTE(D52,CHAR(160),"")," ",""),"_","")</f>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x14ac:dyDescent="0.2">
      <c r="A53" s="4" t="s">
        <v>846</v>
      </c>
      <c r="D53" s="4" t="s">
        <v>76</v>
      </c>
      <c r="E53" s="1" t="str">
        <f>RIGHT(A53,1)</f>
        <v>1</v>
      </c>
      <c r="F53" s="1" t="str">
        <f>G53 &amp; IF(H53&lt;&gt;"", "_" &amp; H53, "_") &amp; IF(I53&lt;&gt;"", "_" &amp; I53, "_") &amp; IF(B53&lt;&gt;"", "_" &amp; B53, "")</f>
        <v>deJager_etal_2022</v>
      </c>
      <c r="G53" s="1" t="str">
        <f>SUBSTITUTE(SUBSTITUTE(_xlfn.TEXTBEFORE(A53,","), "-", ""), " ", "")</f>
        <v>deJager</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etal</v>
      </c>
      <c r="I53" s="1" t="str">
        <f>_xlfn.TEXTBEFORE(_xlfn.TEXTAFTER(A53, "("), ")")</f>
        <v>2022</v>
      </c>
      <c r="J53" s="1" t="str">
        <f>_xlfn.LET(
_xlpm.doi,IF(C53&lt;&gt;"",C53,_xlfn.TEXTAFTER(A53,"https://doi.org/")),
SUBSTITUTE(
SUBSTITUTE(
SUBSTITUTE(
SUBSTITUTE(
_xlpm.doi,
"/","%2F"),
":","%3A"),
"&lt;","%3C"),
"&gt;","%3E")
)</f>
        <v>10.1111%2Fjoa.13681</v>
      </c>
      <c r="K53" s="1" t="str">
        <f>TRIM(_xlfn.TEXTJOIN("_",FALSE(),F53,(SUBSTITUTE(SUBSTITUTE(D53," ",""), "_", ""))))</f>
        <v>deJager_etal_2022_Table1</v>
      </c>
      <c r="L53" s="1" t="str">
        <f>J53 &amp; "_" &amp; SUBSTITUTE(SUBSTITUTE(SUBSTITUTE(D53,CHAR(160),"")," ",""),"_","")</f>
        <v>10.1111%2Fjoa.13681_Table1</v>
      </c>
      <c r="M53" s="1" t="str">
        <f t="array" ref="M53">IFERROR(INDEX(FileList!$A$1:$A$1000,MATCH(TRUE(),EXACT(L53,IFERROR(_xlfn.TEXTBEFORE(FileList!$A$1:$A$1000,".tsv"),"")),0)),"notfound")</f>
        <v>notfound</v>
      </c>
    </row>
    <row r="54" spans="1:39" ht="15.75" customHeight="1" x14ac:dyDescent="0.2">
      <c r="A54" s="3" t="s">
        <v>228</v>
      </c>
      <c r="D54" s="3" t="s">
        <v>76</v>
      </c>
      <c r="E54" s="1" t="str">
        <f>RIGHT(A54,1)</f>
        <v>5</v>
      </c>
      <c r="F54" s="1" t="str">
        <f>G54 &amp; IF(H54&lt;&gt;"", "_" &amp; H54, "_") &amp; IF(I54&lt;&gt;"", "_" &amp; I54, "_") &amp; IF(B54&lt;&gt;"", "_" &amp; B54, "")</f>
        <v>deSousa_etal_2013</v>
      </c>
      <c r="G54" s="1" t="str">
        <f>SUBSTITUTE(SUBSTITUTE(_xlfn.TEXTBEFORE(A54,","), "-", ""), " ", "")</f>
        <v>deSousa</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 t="str">
        <f>_xlfn.TEXTBEFORE(_xlfn.TEXTAFTER(A54, "("), ")")</f>
        <v>2013</v>
      </c>
      <c r="J54" s="1" t="str">
        <f>_xlfn.LET(
_xlpm.doi,IF(C54&lt;&gt;"",C54,_xlfn.TEXTAFTER(A54,"https://doi.org/")),
SUBSTITUTE(
SUBSTITUTE(
SUBSTITUTE(
SUBSTITUTE(
_xlpm.doi,
"/","%2F"),
":","%3A"),
"&lt;","%3C"),
"&gt;","%3E")
)</f>
        <v>10.1159%2F000346495</v>
      </c>
      <c r="K54" s="1" t="str">
        <f>TRIM(_xlfn.TEXTJOIN("_",FALSE(),F54,(SUBSTITUTE(SUBSTITUTE(D54," ",""), "_", ""))))</f>
        <v>deSousa_etal_2013_Table1</v>
      </c>
      <c r="L54" s="1" t="str">
        <f>J54 &amp; "_" &amp; SUBSTITUTE(SUBSTITUTE(SUBSTITUTE(D54,CHAR(160),"")," ",""),"_","")</f>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x14ac:dyDescent="0.2">
      <c r="A55" s="3" t="s">
        <v>237</v>
      </c>
      <c r="D55" s="3" t="s">
        <v>238</v>
      </c>
      <c r="E55" s="1" t="str">
        <f>RIGHT(A55,1)</f>
        <v>1</v>
      </c>
      <c r="F55" s="1" t="str">
        <f>G55 &amp; IF(H55&lt;&gt;"", "_" &amp; H55, "_") &amp; IF(I55&lt;&gt;"", "_" &amp; I55, "_") &amp; IF(B55&lt;&gt;"", "_" &amp; B55, "")</f>
        <v>deSousa_etal_2010</v>
      </c>
      <c r="G55" s="1" t="str">
        <f>SUBSTITUTE(SUBSTITUTE(_xlfn.TEXTBEFORE(A55,","), "-", ""), " ", "")</f>
        <v>deSousa</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 t="str">
        <f>_xlfn.TEXTBEFORE(_xlfn.TEXTAFTER(A55, "("), ")")</f>
        <v>2010</v>
      </c>
      <c r="J55" s="1" t="str">
        <f>_xlfn.LET(
_xlpm.doi,IF(C55&lt;&gt;"",C55,_xlfn.TEXTAFTER(A55,"https://doi.org/")),
SUBSTITUTE(
SUBSTITUTE(
SUBSTITUTE(
SUBSTITUTE(
_xlpm.doi,
"/","%2F"),
":","%3A"),
"&lt;","%3C"),
"&gt;","%3E")
)</f>
        <v>10.1016%2Fj.jhevol.2009.11.011</v>
      </c>
      <c r="K55" s="1" t="str">
        <f>TRIM(_xlfn.TEXTJOIN("_",FALSE(),F55,(SUBSTITUTE(SUBSTITUTE(D55," ",""), "_", ""))))</f>
        <v>deSousa_etal_2010_SupTable2</v>
      </c>
      <c r="L55" s="1" t="str">
        <f>J55 &amp; "_" &amp; SUBSTITUTE(SUBSTITUTE(SUBSTITUTE(D55,CHAR(160),"")," ",""),"_","")</f>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x14ac:dyDescent="0.2">
      <c r="A56" s="3" t="s">
        <v>237</v>
      </c>
      <c r="D56" s="3" t="s">
        <v>76</v>
      </c>
      <c r="E56" s="1" t="str">
        <f>RIGHT(A56,1)</f>
        <v>1</v>
      </c>
      <c r="F56" s="1" t="str">
        <f>G56 &amp; IF(H56&lt;&gt;"", "_" &amp; H56, "_") &amp; IF(I56&lt;&gt;"", "_" &amp; I56, "_") &amp; IF(B56&lt;&gt;"", "_" &amp; B56, "")</f>
        <v>deSousa_etal_2010</v>
      </c>
      <c r="G56" s="1" t="str">
        <f>SUBSTITUTE(SUBSTITUTE(_xlfn.TEXTBEFORE(A56,","), "-", ""), " ", "")</f>
        <v>deSousa</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 t="str">
        <f>_xlfn.TEXTBEFORE(_xlfn.TEXTAFTER(A56, "("), ")")</f>
        <v>2010</v>
      </c>
      <c r="J56" s="1" t="str">
        <f>_xlfn.LET(
_xlpm.doi,IF(C56&lt;&gt;"",C56,_xlfn.TEXTAFTER(A56,"https://doi.org/")),
SUBSTITUTE(
SUBSTITUTE(
SUBSTITUTE(
SUBSTITUTE(
_xlpm.doi,
"/","%2F"),
":","%3A"),
"&lt;","%3C"),
"&gt;","%3E")
)</f>
        <v>10.1016%2Fj.jhevol.2009.11.011</v>
      </c>
      <c r="K56" s="1" t="str">
        <f>TRIM(_xlfn.TEXTJOIN("_",FALSE(),F56,(SUBSTITUTE(SUBSTITUTE(D56," ",""), "_", ""))))</f>
        <v>deSousa_etal_2010_Table1</v>
      </c>
      <c r="L56" s="1" t="str">
        <f>J56 &amp; "_" &amp; SUBSTITUTE(SUBSTITUTE(SUBSTITUTE(D56,CHAR(160),"")," ",""),"_","")</f>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x14ac:dyDescent="0.2">
      <c r="A57" s="3" t="s">
        <v>254</v>
      </c>
      <c r="D57" s="3" t="s">
        <v>255</v>
      </c>
      <c r="E57" s="1" t="str">
        <f>RIGHT(A57,1)</f>
        <v>0</v>
      </c>
      <c r="F57" s="1" t="str">
        <f>G57 &amp; IF(H57&lt;&gt;"", "_" &amp; H57, "_") &amp; IF(I57&lt;&gt;"", "_" &amp; I57, "_") &amp; IF(B57&lt;&gt;"", "_" &amp; B57, "")</f>
        <v>DeCasien_Higham_2019</v>
      </c>
      <c r="G57" s="1" t="str">
        <f>SUBSTITUTE(SUBSTITUTE(_xlfn.TEXTBEFORE(A57,","), "-", ""), " ", "")</f>
        <v>DeCasien</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Higham</v>
      </c>
      <c r="I57" s="1" t="str">
        <f>_xlfn.TEXTBEFORE(_xlfn.TEXTAFTER(A57, "("), ")")</f>
        <v>2019</v>
      </c>
      <c r="J57" s="1" t="str">
        <f>_xlfn.LET(
_xlpm.doi,IF(C57&lt;&gt;"",C57,_xlfn.TEXTAFTER(A57,"https://doi.org/")),
SUBSTITUTE(
SUBSTITUTE(
SUBSTITUTE(
SUBSTITUTE(
_xlpm.doi,
"/","%2F"),
":","%3A"),
"&lt;","%3C"),
"&gt;","%3E")
)</f>
        <v>10.1038%2Fs41559-019-0969-0</v>
      </c>
      <c r="K57" s="1" t="str">
        <f>TRIM(_xlfn.TEXTJOIN("_",FALSE(),F57,(SUBSTITUTE(SUBSTITUTE(D57," ",""), "_", ""))))</f>
        <v>DeCasien_Higham_2019_SupplementaryData1-ActivityPeriod</v>
      </c>
      <c r="L57" s="1" t="str">
        <f>J57 &amp; "_" &amp; SUBSTITUTE(SUBSTITUTE(SUBSTITUTE(D57,CHAR(160),"")," ",""),"_","")</f>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x14ac:dyDescent="0.2">
      <c r="A58" s="3" t="s">
        <v>254</v>
      </c>
      <c r="D58" s="3" t="s">
        <v>261</v>
      </c>
      <c r="E58" s="1" t="str">
        <f>RIGHT(A58,1)</f>
        <v>0</v>
      </c>
      <c r="F58" s="1" t="str">
        <f>G58 &amp; IF(H58&lt;&gt;"", "_" &amp; H58, "_") &amp; IF(I58&lt;&gt;"", "_" &amp; I58, "_") &amp; IF(B58&lt;&gt;"", "_" &amp; B58, "")</f>
        <v>DeCasien_Higham_2019</v>
      </c>
      <c r="G58" s="1" t="str">
        <f>SUBSTITUTE(SUBSTITUTE(_xlfn.TEXTBEFORE(A58,","), "-", ""), " ", "")</f>
        <v>DeCasien</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Higham</v>
      </c>
      <c r="I58" s="1" t="str">
        <f>_xlfn.TEXTBEFORE(_xlfn.TEXTAFTER(A58, "("), ")")</f>
        <v>2019</v>
      </c>
      <c r="J58" s="1" t="str">
        <f>_xlfn.LET(
_xlpm.doi,IF(C58&lt;&gt;"",C58,_xlfn.TEXTAFTER(A58,"https://doi.org/")),
SUBSTITUTE(
SUBSTITUTE(
SUBSTITUTE(
SUBSTITUTE(
_xlpm.doi,
"/","%2F"),
":","%3A"),
"&lt;","%3C"),
"&gt;","%3E")
)</f>
        <v>10.1038%2Fs41559-019-0969-0</v>
      </c>
      <c r="K58" s="1" t="str">
        <f>TRIM(_xlfn.TEXTJOIN("_",FALSE(),F58,(SUBSTITUTE(SUBSTITUTE(D58," ",""), "_", ""))))</f>
        <v>DeCasien_Higham_2019_SupplementaryData1-BrainRegion</v>
      </c>
      <c r="L58" s="1" t="str">
        <f>J58 &amp; "_" &amp; SUBSTITUTE(SUBSTITUTE(SUBSTITUTE(D58,CHAR(160),"")," ",""),"_","")</f>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x14ac:dyDescent="0.2">
      <c r="A59" s="3" t="s">
        <v>254</v>
      </c>
      <c r="D59" s="3" t="s">
        <v>264</v>
      </c>
      <c r="E59" s="1" t="str">
        <f>RIGHT(A59,1)</f>
        <v>0</v>
      </c>
      <c r="F59" s="1" t="str">
        <f>G59 &amp; IF(H59&lt;&gt;"", "_" &amp; H59, "_") &amp; IF(I59&lt;&gt;"", "_" &amp; I59, "_") &amp; IF(B59&lt;&gt;"", "_" &amp; B59, "")</f>
        <v>DeCasien_Higham_2019</v>
      </c>
      <c r="G59" s="1" t="str">
        <f>SUBSTITUTE(SUBSTITUTE(_xlfn.TEXTBEFORE(A59,","), "-", ""), " ", "")</f>
        <v>DeCasien</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Higham</v>
      </c>
      <c r="I59" s="1" t="str">
        <f>_xlfn.TEXTBEFORE(_xlfn.TEXTAFTER(A59, "("), ")")</f>
        <v>2019</v>
      </c>
      <c r="J59" s="1" t="str">
        <f>_xlfn.LET(
_xlpm.doi,IF(C59&lt;&gt;"",C59,_xlfn.TEXTAFTER(A59,"https://doi.org/")),
SUBSTITUTE(
SUBSTITUTE(
SUBSTITUTE(
SUBSTITUTE(
_xlpm.doi,
"/","%2F"),
":","%3A"),
"&lt;","%3C"),
"&gt;","%3E")
)</f>
        <v>10.1038%2Fs41559-019-0969-0</v>
      </c>
      <c r="K59" s="1" t="str">
        <f>TRIM(_xlfn.TEXTJOIN("_",FALSE(),F59,(SUBSTITUTE(SUBSTITUTE(D59," ",""), "_", ""))))</f>
        <v>DeCasien_Higham_2019_SupplementaryData1-Diet</v>
      </c>
      <c r="L59" s="1" t="str">
        <f>J59 &amp; "_" &amp; SUBSTITUTE(SUBSTITUTE(SUBSTITUTE(D59,CHAR(160),"")," ",""),"_","")</f>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x14ac:dyDescent="0.2">
      <c r="A60" s="3" t="s">
        <v>254</v>
      </c>
      <c r="D60" s="3" t="s">
        <v>267</v>
      </c>
      <c r="E60" s="1" t="str">
        <f>RIGHT(A60,1)</f>
        <v>0</v>
      </c>
      <c r="F60" s="1" t="str">
        <f>G60 &amp; IF(H60&lt;&gt;"", "_" &amp; H60, "_") &amp; IF(I60&lt;&gt;"", "_" &amp; I60, "_") &amp; IF(B60&lt;&gt;"", "_" &amp; B60, "")</f>
        <v>DeCasien_Higham_2019</v>
      </c>
      <c r="G60" s="1" t="str">
        <f>SUBSTITUTE(SUBSTITUTE(_xlfn.TEXTBEFORE(A60,","), "-", ""), " ", "")</f>
        <v>DeCasien</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Higham</v>
      </c>
      <c r="I60" s="1" t="str">
        <f>_xlfn.TEXTBEFORE(_xlfn.TEXTAFTER(A60, "("), ")")</f>
        <v>2019</v>
      </c>
      <c r="J60" s="1" t="str">
        <f>_xlfn.LET(
_xlpm.doi,IF(C60&lt;&gt;"",C60,_xlfn.TEXTAFTER(A60,"https://doi.org/")),
SUBSTITUTE(
SUBSTITUTE(
SUBSTITUTE(
SUBSTITUTE(
_xlpm.doi,
"/","%2F"),
":","%3A"),
"&lt;","%3C"),
"&gt;","%3E")
)</f>
        <v>10.1038%2Fs41559-019-0969-0</v>
      </c>
      <c r="K60" s="1" t="str">
        <f>TRIM(_xlfn.TEXTJOIN("_",FALSE(),F60,(SUBSTITUTE(SUBSTITUTE(D60," ",""), "_", ""))))</f>
        <v>DeCasien_Higham_2019_SupplementaryData1-SocialSystem</v>
      </c>
      <c r="L60" s="1" t="str">
        <f>J60 &amp; "_" &amp; SUBSTITUTE(SUBSTITUTE(SUBSTITUTE(D60,CHAR(160),"")," ",""),"_","")</f>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x14ac:dyDescent="0.2">
      <c r="A61" s="3" t="s">
        <v>270</v>
      </c>
      <c r="D61" s="3" t="s">
        <v>76</v>
      </c>
      <c r="E61" s="1" t="str">
        <f>RIGHT(A61,1)</f>
        <v>0</v>
      </c>
      <c r="F61" s="1" t="str">
        <f>G61 &amp; IF(H61&lt;&gt;"", "_" &amp; H61, "_") &amp; IF(I61&lt;&gt;"", "_" &amp; I61, "_") &amp; IF(B61&lt;&gt;"", "_" &amp; B61, "")</f>
        <v>DosSantos_etal_2020</v>
      </c>
      <c r="G61" s="1" t="str">
        <f>SUBSTITUTE(SUBSTITUTE(_xlfn.TEXTBEFORE(A61,","), "-", ""), " ", "")</f>
        <v>DosSantos</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_xlfn.TEXTBEFORE(_xlfn.TEXTAFTER(A61, "("), ")")</f>
        <v>2020</v>
      </c>
      <c r="J61" s="1" t="str">
        <f>_xlfn.LET(
_xlpm.doi,IF(C61&lt;&gt;"",C61,_xlfn.TEXTAFTER(A61,"https://doi.org/")),
SUBSTITUTE(
SUBSTITUTE(
SUBSTITUTE(
SUBSTITUTE(
_xlpm.doi,
"/","%2F"),
":","%3A"),
"&lt;","%3C"),
"&gt;","%3E")
)</f>
        <v>10.1523%2FJNEUROSCI.2339-19.2020</v>
      </c>
      <c r="K61" s="1" t="str">
        <f>TRIM(_xlfn.TEXTJOIN("_",FALSE(),F61,(SUBSTITUTE(SUBSTITUTE(D61," ",""), "_", ""))))</f>
        <v>DosSantos_etal_2020_Table1</v>
      </c>
      <c r="L61" s="1" t="str">
        <f>J61 &amp; "_" &amp; SUBSTITUTE(SUBSTITUTE(SUBSTITUTE(D61,CHAR(160),"")," ",""),"_","")</f>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x14ac:dyDescent="0.2">
      <c r="A62" s="3" t="s">
        <v>270</v>
      </c>
      <c r="D62" s="3" t="s">
        <v>281</v>
      </c>
      <c r="E62" s="1" t="str">
        <f>RIGHT(A62,1)</f>
        <v>0</v>
      </c>
      <c r="F62" s="1" t="str">
        <f>G62 &amp; IF(H62&lt;&gt;"", "_" &amp; H62, "_") &amp; IF(I62&lt;&gt;"", "_" &amp; I62, "_") &amp; IF(B62&lt;&gt;"", "_" &amp; B62, "")</f>
        <v>DosSantos_etal_2020</v>
      </c>
      <c r="G62" s="1" t="str">
        <f>SUBSTITUTE(SUBSTITUTE(_xlfn.TEXTBEFORE(A62,","), "-", ""), " ", "")</f>
        <v>DosSantos</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_xlfn.TEXTBEFORE(_xlfn.TEXTAFTER(A62, "("), ")")</f>
        <v>2020</v>
      </c>
      <c r="J62" s="1" t="str">
        <f>_xlfn.LET(
_xlpm.doi,IF(C62&lt;&gt;"",C62,_xlfn.TEXTAFTER(A62,"https://doi.org/")),
SUBSTITUTE(
SUBSTITUTE(
SUBSTITUTE(
SUBSTITUTE(
_xlpm.doi,
"/","%2F"),
":","%3A"),
"&lt;","%3C"),
"&gt;","%3E")
)</f>
        <v>10.1523%2FJNEUROSCI.2339-19.2020</v>
      </c>
      <c r="K62" s="1" t="str">
        <f>TRIM(_xlfn.TEXTJOIN("_",FALSE(),F62,(SUBSTITUTE(SUBSTITUTE(D62," ",""), "_", ""))))</f>
        <v>DosSantos_etal_2020_unpublished</v>
      </c>
      <c r="L62" s="1" t="str">
        <f>J62 &amp; "_" &amp; SUBSTITUTE(SUBSTITUTE(SUBSTITUTE(D62,CHAR(160),"")," ",""),"_","")</f>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x14ac:dyDescent="0.2">
      <c r="A63" s="3" t="s">
        <v>285</v>
      </c>
      <c r="D63" s="3" t="s">
        <v>197</v>
      </c>
      <c r="E63" s="1" t="str">
        <f>RIGHT(A63,1)</f>
        <v>6</v>
      </c>
      <c r="F63" s="1" t="str">
        <f>G63 &amp; IF(H63&lt;&gt;"", "_" &amp; H63, "_") &amp; IF(I63&lt;&gt;"", "_" &amp; I63, "_") &amp; IF(B63&lt;&gt;"", "_" &amp; B63, "")</f>
        <v>DosSantos_etal_2017</v>
      </c>
      <c r="G63" s="1" t="str">
        <f>SUBSTITUTE(SUBSTITUTE(_xlfn.TEXTBEFORE(A63,","), "-", ""), " ", "")</f>
        <v>DosSantos</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_xlfn.TEXTBEFORE(_xlfn.TEXTAFTER(A63, "("), ")")</f>
        <v>2017</v>
      </c>
      <c r="J63" s="1" t="str">
        <f>_xlfn.LET(
_xlpm.doi,IF(C63&lt;&gt;"",C63,_xlfn.TEXTAFTER(A63,"https://doi.org/")),
SUBSTITUTE(
SUBSTITUTE(
SUBSTITUTE(
SUBSTITUTE(
_xlpm.doi,
"/","%2F"),
":","%3A"),
"&lt;","%3C"),
"&gt;","%3E")
)</f>
        <v>10.1159%2F000452856</v>
      </c>
      <c r="K63" s="1" t="str">
        <f>TRIM(_xlfn.TEXTJOIN("_",FALSE(),F63,(SUBSTITUTE(SUBSTITUTE(D63," ",""), "_", ""))))</f>
        <v>DosSantos_etal_2017_TableS1</v>
      </c>
      <c r="L63" s="1" t="str">
        <f>J63 &amp; "_" &amp; SUBSTITUTE(SUBSTITUTE(SUBSTITUTE(D63,CHAR(160),"")," ",""),"_","")</f>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x14ac:dyDescent="0.2">
      <c r="A64" s="3" t="s">
        <v>295</v>
      </c>
      <c r="D64" s="3" t="s">
        <v>48</v>
      </c>
      <c r="E64" s="1" t="str">
        <f>RIGHT(A64,1)</f>
        <v>3</v>
      </c>
      <c r="F64" s="1" t="str">
        <f>G64 &amp; IF(H64&lt;&gt;"", "_" &amp; H64, "_") &amp; IF(I64&lt;&gt;"", "_" &amp; I64, "_") &amp; IF(B64&lt;&gt;"", "_" &amp; B64, "")</f>
        <v>Eagleman_Vaughn_2021</v>
      </c>
      <c r="G64" s="1" t="str">
        <f>SUBSTITUTE(SUBSTITUTE(_xlfn.TEXTBEFORE(A64,","), "-", ""), " ", "")</f>
        <v>Eagleman</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Vaughn</v>
      </c>
      <c r="I64" s="1" t="str">
        <f>_xlfn.TEXTBEFORE(_xlfn.TEXTAFTER(A64, "("), ")")</f>
        <v>2021</v>
      </c>
      <c r="J64" s="1" t="str">
        <f>_xlfn.LET(
_xlpm.doi,IF(C64&lt;&gt;"",C64,_xlfn.TEXTAFTER(A64,"https://doi.org/")),
SUBSTITUTE(
SUBSTITUTE(
SUBSTITUTE(
SUBSTITUTE(
_xlpm.doi,
"/","%2F"),
":","%3A"),
"&lt;","%3C"),
"&gt;","%3E")
)</f>
        <v>10.3389%2Ffnins.2021.632853</v>
      </c>
      <c r="K64" s="1" t="str">
        <f>TRIM(_xlfn.TEXTJOIN("_",FALSE(),F64,(SUBSTITUTE(SUBSTITUTE(D64," ",""), "_", ""))))</f>
        <v>Eagleman_Vaughn_2021_TABLE1</v>
      </c>
      <c r="L64" s="1" t="str">
        <f>J64 &amp; "_" &amp; SUBSTITUTE(SUBSTITUTE(SUBSTITUTE(D64,CHAR(160),"")," ",""),"_","")</f>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x14ac:dyDescent="0.2">
      <c r="A65" s="3" t="s">
        <v>299</v>
      </c>
      <c r="D65" s="3" t="s">
        <v>48</v>
      </c>
      <c r="E65" s="1" t="str">
        <f>RIGHT(A65,1)</f>
        <v>5</v>
      </c>
      <c r="F65" s="1" t="str">
        <f>G65 &amp; IF(H65&lt;&gt;"", "_" &amp; H65, "_") &amp; IF(I65&lt;&gt;"", "_" &amp; I65, "_") &amp; IF(B65&lt;&gt;"", "_" &amp; B65, "")</f>
        <v>Falcone_etal_2019</v>
      </c>
      <c r="G65" s="1" t="str">
        <f>SUBSTITUTE(SUBSTITUTE(_xlfn.TEXTBEFORE(A65,","), "-", ""), " ", "")</f>
        <v>Falcone</v>
      </c>
      <c r="H65" s="1"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 t="str">
        <f>_xlfn.TEXTBEFORE(_xlfn.TEXTAFTER(A65, "("), ")")</f>
        <v>2019</v>
      </c>
      <c r="J65" s="1" t="str">
        <f>_xlfn.LET(
_xlpm.doi,IF(C65&lt;&gt;"",C65,_xlfn.TEXTAFTER(A65,"https://doi.org/")),
SUBSTITUTE(
SUBSTITUTE(
SUBSTITUTE(
SUBSTITUTE(
_xlpm.doi,
"/","%2F"),
":","%3A"),
"&lt;","%3C"),
"&gt;","%3E")
)</f>
        <v>10.1002%2Fcne.24605</v>
      </c>
      <c r="K65" s="1" t="str">
        <f>TRIM(_xlfn.TEXTJOIN("_",FALSE(),F65,(SUBSTITUTE(SUBSTITUTE(D65," ",""), "_", ""))))</f>
        <v>Falcone_etal_2019_TABLE1</v>
      </c>
      <c r="L65" s="1" t="str">
        <f>J65 &amp; "_" &amp; SUBSTITUTE(SUBSTITUTE(SUBSTITUTE(D65,CHAR(160),"")," ",""),"_","")</f>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spans="1:39" ht="15.75" customHeight="1" x14ac:dyDescent="0.2">
      <c r="A66" s="3" t="s">
        <v>299</v>
      </c>
      <c r="D66" s="3" t="s">
        <v>92</v>
      </c>
      <c r="E66" s="1" t="str">
        <f>RIGHT(A66,1)</f>
        <v>5</v>
      </c>
      <c r="F66" s="1" t="str">
        <f>G66 &amp; IF(H66&lt;&gt;"", "_" &amp; H66, "_") &amp; IF(I66&lt;&gt;"", "_" &amp; I66, "_") &amp; IF(B66&lt;&gt;"", "_" &amp; B66, "")</f>
        <v>Falcone_etal_2019</v>
      </c>
      <c r="G66" s="1" t="str">
        <f>SUBSTITUTE(SUBSTITUTE(_xlfn.TEXTBEFORE(A66,","), "-", ""), " ", "")</f>
        <v>Falcone</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 t="str">
        <f>_xlfn.TEXTBEFORE(_xlfn.TEXTAFTER(A66, "("), ")")</f>
        <v>2019</v>
      </c>
      <c r="J66" s="1" t="str">
        <f>_xlfn.LET(
_xlpm.doi,IF(C66&lt;&gt;"",C66,_xlfn.TEXTAFTER(A66,"https://doi.org/")),
SUBSTITUTE(
SUBSTITUTE(
SUBSTITUTE(
SUBSTITUTE(
_xlpm.doi,
"/","%2F"),
":","%3A"),
"&lt;","%3C"),
"&gt;","%3E")
)</f>
        <v>10.1002%2Fcne.24605</v>
      </c>
      <c r="K66" s="1" t="str">
        <f>TRIM(_xlfn.TEXTJOIN("_",FALSE(),F66,(SUBSTITUTE(SUBSTITUTE(D66," ",""), "_", ""))))</f>
        <v>Falcone_etal_2019_TABLE2</v>
      </c>
      <c r="L66" s="1" t="str">
        <f>J66 &amp; "_" &amp; SUBSTITUTE(SUBSTITUTE(SUBSTITUTE(D66,CHAR(160),"")," ",""),"_","")</f>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spans="1:39" ht="18.75" customHeight="1" x14ac:dyDescent="0.2">
      <c r="A67" s="3" t="s">
        <v>305</v>
      </c>
      <c r="D67" s="3" t="s">
        <v>306</v>
      </c>
      <c r="E67" s="1" t="str">
        <f>RIGHT(A67,1)</f>
        <v>6</v>
      </c>
      <c r="F67" s="1" t="str">
        <f>G67 &amp; IF(H67&lt;&gt;"", "_" &amp; H67, "_") &amp; IF(I67&lt;&gt;"", "_" &amp; I67, "_") &amp; IF(B67&lt;&gt;"", "_" &amp; B67, "")</f>
        <v>Finlay_etal_2006</v>
      </c>
      <c r="G67" s="1" t="str">
        <f>SUBSTITUTE(SUBSTITUTE(_xlfn.TEXTBEFORE(A67,","), "-", ""), " ", "")</f>
        <v>Finlay</v>
      </c>
      <c r="H67" s="1"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etal</v>
      </c>
      <c r="I67" s="1" t="str">
        <f>_xlfn.TEXTBEFORE(_xlfn.TEXTAFTER(A67, "("), ")")</f>
        <v>2006</v>
      </c>
      <c r="J67" s="1" t="str">
        <f>_xlfn.LET(
_xlpm.doi,IF(C67&lt;&gt;"",C67,_xlfn.TEXTAFTER(A67,"https://doi.org/")),
SUBSTITUTE(
SUBSTITUTE(
SUBSTITUTE(
SUBSTITUTE(
_xlpm.doi,
"/","%2F"),
":","%3A"),
"&lt;","%3C"),
"&gt;","%3E")
)</f>
        <v>10.1093%2Foso%2F9780198568742.003.0006</v>
      </c>
      <c r="K67" s="1" t="str">
        <f>TRIM(_xlfn.TEXTJOIN("_",FALSE(),F67,(SUBSTITUTE(SUBSTITUTE(D67," ",""), "_", ""))))</f>
        <v>Finlay_etal_2006_Table6.1</v>
      </c>
      <c r="L67" s="1" t="str">
        <f>J67 &amp; "_" &amp; SUBSTITUTE(SUBSTITUTE(SUBSTITUTE(D67,CHAR(160),"")," ",""),"_","")</f>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spans="1:39" ht="16.5" customHeight="1" x14ac:dyDescent="0.2">
      <c r="A68" s="3" t="s">
        <v>312</v>
      </c>
      <c r="C68" s="3" t="s">
        <v>313</v>
      </c>
      <c r="D68" s="3" t="s">
        <v>76</v>
      </c>
      <c r="E68" s="1" t="str">
        <f>RIGHT(A68,1)</f>
        <v>8</v>
      </c>
      <c r="F68" s="1" t="str">
        <f>G68 &amp; IF(H68&lt;&gt;"", "_" &amp; H68, "_") &amp; IF(I68&lt;&gt;"", "_" &amp; I68, "_") &amp; IF(B68&lt;&gt;"", "_" &amp; B68, "")</f>
        <v>Frahm_Zilles_1994</v>
      </c>
      <c r="G68" s="1" t="str">
        <f>SUBSTITUTE(SUBSTITUTE(_xlfn.TEXTBEFORE(A68,","), "-", ""), " ", "")</f>
        <v>Frahm</v>
      </c>
      <c r="H68" s="1"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Zilles</v>
      </c>
      <c r="I68" s="1" t="str">
        <f>_xlfn.TEXTBEFORE(_xlfn.TEXTAFTER(A68, "("), ")")</f>
        <v>1994</v>
      </c>
      <c r="J68" s="1" t="str">
        <f>_xlfn.LET(
_xlpm.doi,IF(C68&lt;&gt;"",C68,_xlfn.TEXTAFTER(A68,"https://doi.org/")),
SUBSTITUTE(
SUBSTITUTE(
SUBSTITUTE(
SUBSTITUTE(
_xlpm.doi,
"/","%2F"),
":","%3A"),
"&lt;","%3C"),
"&gt;","%3E")
)</f>
        <v>PMID%3A7983368</v>
      </c>
      <c r="K68" s="1" t="str">
        <f>TRIM(_xlfn.TEXTJOIN("_",FALSE(),F68,(SUBSTITUTE(SUBSTITUTE(D68," ",""), "_", ""))))</f>
        <v>Frahm_Zilles_1994_Table1</v>
      </c>
      <c r="L68" s="1" t="str">
        <f>J68 &amp; "_" &amp; SUBSTITUTE(SUBSTITUTE(SUBSTITUTE(D68,CHAR(160),"")," ",""),"_","")</f>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spans="1:39" ht="16.5" customHeight="1" x14ac:dyDescent="0.2">
      <c r="A69" s="3" t="s">
        <v>312</v>
      </c>
      <c r="C69" s="3" t="s">
        <v>313</v>
      </c>
      <c r="D69" s="3" t="s">
        <v>118</v>
      </c>
      <c r="E69" s="1" t="str">
        <f>RIGHT(A69,1)</f>
        <v>8</v>
      </c>
      <c r="F69" s="1" t="str">
        <f>G69 &amp; IF(H69&lt;&gt;"", "_" &amp; H69, "_") &amp; IF(I69&lt;&gt;"", "_" &amp; I69, "_") &amp; IF(B69&lt;&gt;"", "_" &amp; B69, "")</f>
        <v>Frahm_Zilles_1994</v>
      </c>
      <c r="G69" s="1" t="str">
        <f>SUBSTITUTE(SUBSTITUTE(_xlfn.TEXTBEFORE(A69,","), "-", ""), " ", "")</f>
        <v>Frahm</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Zilles</v>
      </c>
      <c r="I69" s="1" t="str">
        <f>_xlfn.TEXTBEFORE(_xlfn.TEXTAFTER(A69, "("), ")")</f>
        <v>1994</v>
      </c>
      <c r="J69" s="1" t="str">
        <f>_xlfn.LET(
_xlpm.doi,IF(C69&lt;&gt;"",C69,_xlfn.TEXTAFTER(A69,"https://doi.org/")),
SUBSTITUTE(
SUBSTITUTE(
SUBSTITUTE(
SUBSTITUTE(
_xlpm.doi,
"/","%2F"),
":","%3A"),
"&lt;","%3C"),
"&gt;","%3E")
)</f>
        <v>PMID%3A7983368</v>
      </c>
      <c r="K69" s="1" t="str">
        <f>TRIM(_xlfn.TEXTJOIN("_",FALSE(),F69,(SUBSTITUTE(SUBSTITUTE(D69," ",""), "_", ""))))</f>
        <v>Frahm_Zilles_1994_Table2</v>
      </c>
      <c r="L69" s="1" t="str">
        <f>J69 &amp; "_" &amp; SUBSTITUTE(SUBSTITUTE(SUBSTITUTE(D69,CHAR(160),"")," ",""),"_","")</f>
        <v>PMID%3A7983368_Table2</v>
      </c>
      <c r="M69" s="1" t="str">
        <f t="array" ref="M69">IFERROR(INDEX(FileList!$A$1:$A$1000,MATCH(TRUE(),EXACT(L69,IFERROR(_xlfn.TEXTBEFORE(FileList!$A$1:$A$1000,".tsv"),"")),0)),"notfound")</f>
        <v>notfound</v>
      </c>
    </row>
    <row r="70" spans="1:39" ht="16.5" customHeight="1" x14ac:dyDescent="0.2">
      <c r="A70" s="3" t="s">
        <v>316</v>
      </c>
      <c r="C70" s="3" t="s">
        <v>317</v>
      </c>
      <c r="D70" s="3" t="s">
        <v>76</v>
      </c>
      <c r="E70" s="1" t="str">
        <f>RIGHT(A70,1)</f>
        <v>3</v>
      </c>
      <c r="F70" s="1" t="str">
        <f>G70 &amp; IF(H70&lt;&gt;"", "_" &amp; H70, "_") &amp; IF(I70&lt;&gt;"", "_" &amp; I70, "_") &amp; IF(B70&lt;&gt;"", "_" &amp; B70, "")</f>
        <v>Frahm_etal_1997</v>
      </c>
      <c r="G70" s="1" t="str">
        <f>SUBSTITUTE(SUBSTITUTE(_xlfn.TEXTBEFORE(A70,","), "-", ""), " ", "")</f>
        <v>Frahm</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_xlfn.TEXTBEFORE(_xlfn.TEXTAFTER(A70, "("), ")")</f>
        <v>1997</v>
      </c>
      <c r="J70" s="1" t="str">
        <f>_xlfn.LET(
_xlpm.doi,IF(C70&lt;&gt;"",C70,_xlfn.TEXTAFTER(A70,"https://doi.org/")),
SUBSTITUTE(
SUBSTITUTE(
SUBSTITUTE(
SUBSTITUTE(
_xlpm.doi,
"/","%2F"),
":","%3A"),
"&lt;","%3C"),
"&gt;","%3E")
)</f>
        <v>PMID%3A9176733</v>
      </c>
      <c r="K70" s="1" t="str">
        <f>TRIM(_xlfn.TEXTJOIN("_",FALSE(),F70,(SUBSTITUTE(SUBSTITUTE(D70," ",""), "_", ""))))</f>
        <v>Frahm_etal_1997_Table1</v>
      </c>
      <c r="L70" s="1" t="str">
        <f>J70 &amp; "_" &amp; SUBSTITUTE(SUBSTITUTE(SUBSTITUTE(D70,CHAR(160),"")," ",""),"_","")</f>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spans="1:39" ht="16.5" customHeight="1" x14ac:dyDescent="0.2">
      <c r="A71" s="3" t="s">
        <v>320</v>
      </c>
      <c r="C71" s="3" t="s">
        <v>321</v>
      </c>
      <c r="D71" s="3" t="s">
        <v>76</v>
      </c>
      <c r="E71" s="1" t="str">
        <f>RIGHT(A71,1)</f>
        <v>9</v>
      </c>
      <c r="F71" s="1" t="str">
        <f>G71 &amp; IF(H71&lt;&gt;"", "_" &amp; H71, "_") &amp; IF(I71&lt;&gt;"", "_" &amp; I71, "_") &amp; IF(B71&lt;&gt;"", "_" &amp; B71, "")</f>
        <v>Frahm_etal_1984</v>
      </c>
      <c r="G71" s="1" t="str">
        <f>SUBSTITUTE(SUBSTITUTE(_xlfn.TEXTBEFORE(A71,","), "-", ""), " ", "")</f>
        <v>Frahm</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s="1" t="str">
        <f>_xlfn.TEXTBEFORE(_xlfn.TEXTAFTER(A71, "("), ")")</f>
        <v>1984</v>
      </c>
      <c r="J71" s="1" t="str">
        <f>_xlfn.LET(
_xlpm.doi,IF(C71&lt;&gt;"",C71,_xlfn.TEXTAFTER(A71,"https://doi.org/")),
SUBSTITUTE(
SUBSTITUTE(
SUBSTITUTE(
SUBSTITUTE(
_xlpm.doi,
"/","%2F"),
":","%3A"),
"&lt;","%3C"),
"&gt;","%3E")
)</f>
        <v>PMID%3A6501869</v>
      </c>
      <c r="K71" s="1" t="str">
        <f>TRIM(_xlfn.TEXTJOIN("_",FALSE(),F71,(SUBSTITUTE(SUBSTITUTE(D71," ",""), "_", ""))))</f>
        <v>Frahm_etal_1984_Table1</v>
      </c>
      <c r="L71" s="1" t="str">
        <f>J71 &amp; "_" &amp; SUBSTITUTE(SUBSTITUTE(SUBSTITUTE(D71,CHAR(160),"")," ",""),"_","")</f>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spans="1:39" ht="16.5" customHeight="1" x14ac:dyDescent="0.2">
      <c r="A72" s="3" t="s">
        <v>324</v>
      </c>
      <c r="C72" s="3" t="s">
        <v>325</v>
      </c>
      <c r="D72" s="3" t="s">
        <v>118</v>
      </c>
      <c r="E72" s="1" t="str">
        <f>RIGHT(A72,1)</f>
        <v>7</v>
      </c>
      <c r="F72" s="1" t="str">
        <f>G72 &amp; IF(H72&lt;&gt;"", "_" &amp; H72, "_") &amp; IF(I72&lt;&gt;"", "_" &amp; I72, "_") &amp; IF(B72&lt;&gt;"", "_" &amp; B72, "")</f>
        <v>Frahm_etal_1982</v>
      </c>
      <c r="G72" s="1" t="str">
        <f>SUBSTITUTE(SUBSTITUTE(_xlfn.TEXTBEFORE(A72,","), "-", ""), " ", "")</f>
        <v>Frahm</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 t="str">
        <f>_xlfn.TEXTBEFORE(_xlfn.TEXTAFTER(A72, "("), ")")</f>
        <v>1982</v>
      </c>
      <c r="J72" s="1" t="str">
        <f>_xlfn.LET(
_xlpm.doi,IF(C72&lt;&gt;"",C72,_xlfn.TEXTAFTER(A72,"https://doi.org/")),
SUBSTITUTE(
SUBSTITUTE(
SUBSTITUTE(
SUBSTITUTE(
_xlpm.doi,
"/","%2F"),
":","%3A"),
"&lt;","%3C"),
"&gt;","%3E")
)</f>
        <v>PMID%3A7161477</v>
      </c>
      <c r="K72" s="1" t="str">
        <f>TRIM(_xlfn.TEXTJOIN("_",FALSE(),F72,(SUBSTITUTE(SUBSTITUTE(D72," ",""), "_", ""))))</f>
        <v>Frahm_etal_1982_Table2</v>
      </c>
      <c r="L72" s="1" t="str">
        <f>J72 &amp; "_" &amp; SUBSTITUTE(SUBSTITUTE(SUBSTITUTE(D72,CHAR(160),"")," ",""),"_","")</f>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spans="1:39" ht="15.75" customHeight="1" x14ac:dyDescent="0.2">
      <c r="A73" s="3" t="s">
        <v>328</v>
      </c>
      <c r="C73" s="3" t="s">
        <v>329</v>
      </c>
      <c r="D73" s="3" t="s">
        <v>76</v>
      </c>
      <c r="E73" s="1" t="str">
        <f>RIGHT(A73,1)</f>
        <v>0</v>
      </c>
      <c r="F73" s="1" t="str">
        <f>G73 &amp; IF(H73&lt;&gt;"", "_" &amp; H73, "_") &amp; IF(I73&lt;&gt;"", "_" &amp; I73, "_") &amp; IF(B73&lt;&gt;"", "_" &amp; B73, "")</f>
        <v>Frahm_etal_1998</v>
      </c>
      <c r="G73" s="1" t="str">
        <f>SUBSTITUTE(SUBSTITUTE(_xlfn.TEXTBEFORE(A73,","), "-", ""), " ", "")</f>
        <v>Frahm</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_xlfn.TEXTBEFORE(_xlfn.TEXTAFTER(A73, "("), ")")</f>
        <v>1998</v>
      </c>
      <c r="J73" s="1" t="str">
        <f>_xlfn.LET(
_xlpm.doi,IF(C73&lt;&gt;"",C73,_xlfn.TEXTAFTER(A73,"https://doi.org/")),
SUBSTITUTE(
SUBSTITUTE(
SUBSTITUTE(
SUBSTITUTE(
_xlpm.doi,
"/","%2F"),
":","%3A"),
"&lt;","%3C"),
"&gt;","%3E")
)</f>
        <v>PMID%3A9672110</v>
      </c>
      <c r="K73" s="1" t="str">
        <f>TRIM(_xlfn.TEXTJOIN("_",FALSE(),F73,(SUBSTITUTE(SUBSTITUTE(D73," ",""), "_", ""))))</f>
        <v>Frahm_etal_1998_Table1</v>
      </c>
      <c r="L73" s="1" t="str">
        <f>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spans="1:39" ht="15.75" customHeight="1" x14ac:dyDescent="0.2">
      <c r="A74" s="4" t="s">
        <v>847</v>
      </c>
      <c r="D74" s="4" t="s">
        <v>848</v>
      </c>
      <c r="E74" s="1" t="str">
        <f>RIGHT(A74,1)</f>
        <v>4</v>
      </c>
      <c r="F74" s="1" t="str">
        <f>G74 &amp; IF(H74&lt;&gt;"", "_" &amp; H74, "_") &amp; IF(I74&lt;&gt;"", "_" &amp; I74, "_") &amp; IF(B74&lt;&gt;"", "_" &amp; B74, "")</f>
        <v>Fritsches_etal_2005</v>
      </c>
      <c r="G74" s="1" t="str">
        <f>SUBSTITUTE(SUBSTITUTE(_xlfn.TEXTBEFORE(A74,","), "-", ""), " ", "")</f>
        <v>Fritsches</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_xlfn.TEXTBEFORE(_xlfn.TEXTAFTER(A74, "("), ")")</f>
        <v>2005</v>
      </c>
      <c r="J74" s="1" t="str">
        <f>_xlfn.LET(
_xlpm.doi,IF(C74&lt;&gt;"",C74,_xlfn.TEXTAFTER(A74,"https://doi.org/")),
SUBSTITUTE(
SUBSTITUTE(
SUBSTITUTE(
SUBSTITUTE(
_xlpm.doi,
"/","%2F"),
":","%3A"),
"&lt;","%3C"),
"&gt;","%3E")
)</f>
        <v>10.1016%2Fj.cub.2004.12.064</v>
      </c>
      <c r="K74" s="1" t="str">
        <f>TRIM(_xlfn.TEXTJOIN("_",FALSE(),F74,(SUBSTITUTE(SUBSTITUTE(D74," ",""), "_", ""))))</f>
        <v>Fritsches_etal_2005_Fig2</v>
      </c>
      <c r="L74" s="1" t="str">
        <f>J74 &amp; "_" &amp; SUBSTITUTE(SUBSTITUTE(SUBSTITUTE(D74,CHAR(160),"")," ",""),"_","")</f>
        <v>10.1016%2Fj.cub.2004.12.064_Fig2</v>
      </c>
      <c r="M74" s="1" t="str">
        <f t="array" ref="M74">IFERROR(INDEX(FileList!$A$1:$A$1000,MATCH(TRUE(),EXACT(L74,IFERROR(_xlfn.TEXTBEFORE(FileList!$A$1:$A$1000,".tsv"),"")),0)),"notfound")</f>
        <v>10.1016%2Fj.cub.2004.12.064_Fig2.tsv</v>
      </c>
    </row>
    <row r="75" spans="1:39" ht="15.75" customHeight="1" x14ac:dyDescent="0.2">
      <c r="A75" s="3" t="s">
        <v>332</v>
      </c>
      <c r="D75" s="3" t="s">
        <v>76</v>
      </c>
      <c r="E75" s="1" t="str">
        <f>RIGHT(A75,1)</f>
        <v>x</v>
      </c>
      <c r="F75" s="1" t="str">
        <f>G75 &amp; IF(H75&lt;&gt;"", "_" &amp; H75, "_") &amp; IF(I75&lt;&gt;"", "_" &amp; I75, "_") &amp; IF(B75&lt;&gt;"", "_" &amp; B75, "")</f>
        <v>Fu_etal_2013</v>
      </c>
      <c r="G75" s="1" t="str">
        <f>SUBSTITUTE(SUBSTITUTE(_xlfn.TEXTBEFORE(A75,","), "-", ""), " ", "")</f>
        <v>Fu</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_xlfn.TEXTBEFORE(_xlfn.TEXTAFTER(A75, "("), ")")</f>
        <v>2013</v>
      </c>
      <c r="J75" s="1" t="str">
        <f>_xlfn.LET(
_xlpm.doi,IF(C75&lt;&gt;"",C75,_xlfn.TEXTAFTER(A75,"https://doi.org/")),
SUBSTITUTE(
SUBSTITUTE(
SUBSTITUTE(
SUBSTITUTE(
_xlpm.doi,
"/","%2F"),
":","%3A"),
"&lt;","%3C"),
"&gt;","%3E")
)</f>
        <v>10.1007%2Fs00429-012-0462-x</v>
      </c>
      <c r="K75" s="1" t="str">
        <f>TRIM(_xlfn.TEXTJOIN("_",FALSE(),F75,(SUBSTITUTE(SUBSTITUTE(D75," ",""), "_", ""))))</f>
        <v>Fu_etal_2013_Table1</v>
      </c>
      <c r="L75" s="1" t="str">
        <f>J75 &amp; "_" &amp; SUBSTITUTE(SUBSTITUTE(SUBSTITUTE(D75,CHAR(160),"")," ",""),"_","")</f>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spans="1:39" ht="15.75" customHeight="1" x14ac:dyDescent="0.2">
      <c r="A76" s="3" t="s">
        <v>839</v>
      </c>
      <c r="D76" s="4" t="s">
        <v>197</v>
      </c>
      <c r="E76" s="1" t="str">
        <f>RIGHT(A76,1)</f>
        <v>3</v>
      </c>
      <c r="F76" s="1" t="str">
        <f>G76 &amp; IF(H76&lt;&gt;"", "_" &amp; H76, "_") &amp; IF(I76&lt;&gt;"", "_" &amp; I76, "_") &amp; IF(B76&lt;&gt;"", "_" &amp; B76, "")</f>
        <v>Gabi_etal_2016</v>
      </c>
      <c r="G76" s="1" t="str">
        <f>SUBSTITUTE(SUBSTITUTE(_xlfn.TEXTBEFORE(A76,","), "-", ""), " ", "")</f>
        <v>Gabi</v>
      </c>
      <c r="H76" s="1"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_xlfn.TEXTBEFORE(_xlfn.TEXTAFTER(A76, "("), ")")</f>
        <v>2016</v>
      </c>
      <c r="J76" s="1" t="str">
        <f>_xlfn.LET(
_xlpm.doi,IF(C76&lt;&gt;"",C76,_xlfn.TEXTAFTER(A76,"https://doi.org/")),
SUBSTITUTE(
SUBSTITUTE(
SUBSTITUTE(
SUBSTITUTE(
_xlpm.doi,
"/","%2F"),
":","%3A"),
"&lt;","%3C"),
"&gt;","%3E")
)</f>
        <v>10.1073%2Fpnas.1610178113</v>
      </c>
      <c r="K76" s="1" t="str">
        <f>TRIM(_xlfn.TEXTJOIN("_",FALSE(),F76,(SUBSTITUTE(SUBSTITUTE(D76," ",""), "_", ""))))</f>
        <v>Gabi_etal_2016_TableS1</v>
      </c>
      <c r="L76" s="1" t="str">
        <f>J76 &amp; "_" &amp; SUBSTITUTE(SUBSTITUTE(SUBSTITUTE(D76,CHAR(160),"")," ",""),"_","")</f>
        <v>10.1073%2Fpnas.1610178113_TableS1</v>
      </c>
      <c r="M76" s="1" t="str">
        <f t="array" ref="M76">IFERROR(INDEX(FileList!$A$1:$A$1000,MATCH(TRUE(),EXACT(L76,IFERROR(_xlfn.TEXTBEFORE(FileList!$A$1:$A$1000,".tsv"),"")),0)),"notfound")</f>
        <v>notfound</v>
      </c>
      <c r="P76" s="4" t="s">
        <v>1138</v>
      </c>
      <c r="AB76" s="4" t="s">
        <v>1139</v>
      </c>
    </row>
    <row r="77" spans="1:39" ht="15.75" customHeight="1" x14ac:dyDescent="0.2">
      <c r="A77" s="3" t="s">
        <v>336</v>
      </c>
      <c r="D77" s="3" t="s">
        <v>197</v>
      </c>
      <c r="E77" s="1" t="str">
        <f>RIGHT(A77,1)</f>
        <v>6</v>
      </c>
      <c r="F77" s="1" t="str">
        <f>G77 &amp; IF(H77&lt;&gt;"", "_" &amp; H77, "_") &amp; IF(I77&lt;&gt;"", "_" &amp; I77, "_") &amp; IF(B77&lt;&gt;"", "_" &amp; B77, "")</f>
        <v>Garwicz_etal_2009</v>
      </c>
      <c r="G77" s="1" t="str">
        <f>SUBSTITUTE(SUBSTITUTE(_xlfn.TEXTBEFORE(A77,","), "-", ""), " ", "")</f>
        <v>Garwicz</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_xlfn.TEXTBEFORE(_xlfn.TEXTAFTER(A77, "("), ")")</f>
        <v>2009</v>
      </c>
      <c r="J77" s="1" t="str">
        <f>_xlfn.LET(
_xlpm.doi,IF(C77&lt;&gt;"",C77,_xlfn.TEXTAFTER(A77,"https://doi.org/")),
SUBSTITUTE(
SUBSTITUTE(
SUBSTITUTE(
SUBSTITUTE(
_xlpm.doi,
"/","%2F"),
":","%3A"),
"&lt;","%3C"),
"&gt;","%3E")
)</f>
        <v>10.1073%2Fpnas.0905777106</v>
      </c>
      <c r="K77" s="1" t="str">
        <f>TRIM(_xlfn.TEXTJOIN("_",FALSE(),F77,(SUBSTITUTE(SUBSTITUTE(D77," ",""), "_", ""))))</f>
        <v>Garwicz_etal_2009_TableS1</v>
      </c>
      <c r="L77" s="1" t="str">
        <f>J77 &amp; "_" &amp; SUBSTITUTE(SUBSTITUTE(SUBSTITUTE(D77,CHAR(160),"")," ",""),"_","")</f>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spans="1:39" ht="15.75" customHeight="1" x14ac:dyDescent="0.2">
      <c r="A78" s="3" t="s">
        <v>336</v>
      </c>
      <c r="D78" s="3" t="s">
        <v>340</v>
      </c>
      <c r="E78" s="1" t="str">
        <f>RIGHT(A78,1)</f>
        <v>6</v>
      </c>
      <c r="F78" s="1" t="str">
        <f>G78 &amp; IF(H78&lt;&gt;"", "_" &amp; H78, "_") &amp; IF(I78&lt;&gt;"", "_" &amp; I78, "_") &amp; IF(B78&lt;&gt;"", "_" &amp; B78, "")</f>
        <v>Garwicz_etal_2009</v>
      </c>
      <c r="G78" s="1" t="str">
        <f>SUBSTITUTE(SUBSTITUTE(_xlfn.TEXTBEFORE(A78,","), "-", ""), " ", "")</f>
        <v>Garwicz</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_xlfn.TEXTBEFORE(_xlfn.TEXTAFTER(A78, "("), ")")</f>
        <v>2009</v>
      </c>
      <c r="J78" s="1" t="str">
        <f>_xlfn.LET(
_xlpm.doi,IF(C78&lt;&gt;"",C78,_xlfn.TEXTAFTER(A78,"https://doi.org/")),
SUBSTITUTE(
SUBSTITUTE(
SUBSTITUTE(
SUBSTITUTE(
_xlpm.doi,
"/","%2F"),
":","%3A"),
"&lt;","%3C"),
"&gt;","%3E")
)</f>
        <v>10.1073%2Fpnas.0905777106</v>
      </c>
      <c r="K78" s="1" t="str">
        <f>TRIM(_xlfn.TEXTJOIN("_",FALSE(),F78,(SUBSTITUTE(SUBSTITUTE(D78," ",""), "_", ""))))</f>
        <v>Garwicz_etal_2009_TableS2</v>
      </c>
      <c r="L78" s="1" t="str">
        <f>J78 &amp; "_" &amp; SUBSTITUTE(SUBSTITUTE(SUBSTITUTE(D78,CHAR(160),"")," ",""),"_","")</f>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spans="1:39" ht="15.75" customHeight="1" x14ac:dyDescent="0.2">
      <c r="A79" s="3" t="s">
        <v>342</v>
      </c>
      <c r="D79" s="3" t="s">
        <v>340</v>
      </c>
      <c r="E79" s="1" t="str">
        <f>RIGHT(A79,1)</f>
        <v>0</v>
      </c>
      <c r="F79" s="1" t="str">
        <f>G79 &amp; IF(H79&lt;&gt;"", "_" &amp; H79, "_") &amp; IF(I79&lt;&gt;"", "_" &amp; I79, "_") &amp; IF(B79&lt;&gt;"", "_" &amp; B79, "")</f>
        <v>Genoud_etal_2018</v>
      </c>
      <c r="G79" s="1" t="str">
        <f>SUBSTITUTE(SUBSTITUTE(_xlfn.TEXTBEFORE(A79,","), "-", ""), " ", "")</f>
        <v>Genoud</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_xlfn.TEXTBEFORE(_xlfn.TEXTAFTER(A79, "("), ")")</f>
        <v>2018</v>
      </c>
      <c r="J79" s="1" t="str">
        <f>_xlfn.LET(
_xlpm.doi,IF(C79&lt;&gt;"",C79,_xlfn.TEXTAFTER(A79,"https://doi.org/")),
SUBSTITUTE(
SUBSTITUTE(
SUBSTITUTE(
SUBSTITUTE(
_xlpm.doi,
"/","%2F"),
":","%3A"),
"&lt;","%3C"),
"&gt;","%3E")
)</f>
        <v>10.1111%2Fbrv.12350</v>
      </c>
      <c r="K79" s="1" t="str">
        <f>TRIM(_xlfn.TEXTJOIN("_",FALSE(),F79,(SUBSTITUTE(SUBSTITUTE(D79," ",""), "_", ""))))</f>
        <v>Genoud_etal_2018_TableS2</v>
      </c>
      <c r="L79" s="1" t="str">
        <f>J79 &amp; "_" &amp; SUBSTITUTE(SUBSTITUTE(SUBSTITUTE(D79,CHAR(160),"")," ",""),"_","")</f>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spans="1:39" ht="15.75" customHeight="1" x14ac:dyDescent="0.2">
      <c r="A80" s="3" t="s">
        <v>345</v>
      </c>
      <c r="D80" s="3" t="s">
        <v>197</v>
      </c>
      <c r="E80" s="1" t="str">
        <f>RIGHT(A80,1)</f>
        <v>8</v>
      </c>
      <c r="F80" s="1" t="str">
        <f>G80 &amp; IF(H80&lt;&gt;"", "_" &amp; H80, "_") &amp; IF(I80&lt;&gt;"", "_" &amp; I80, "_") &amp; IF(B80&lt;&gt;"", "_" &amp; B80, "")</f>
        <v>Granatosky__2018</v>
      </c>
      <c r="G80" s="1" t="str">
        <f>SUBSTITUTE(SUBSTITUTE(_xlfn.TEXTBEFORE(A80,","), "-", ""), " ", "")</f>
        <v>Granatosky</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
      </c>
      <c r="I80" s="1" t="str">
        <f>_xlfn.TEXTBEFORE(_xlfn.TEXTAFTER(A80, "("), ")")</f>
        <v>2018</v>
      </c>
      <c r="J80" s="1" t="str">
        <f>_xlfn.LET(
_xlpm.doi,IF(C80&lt;&gt;"",C80,_xlfn.TEXTAFTER(A80,"https://doi.org/")),
SUBSTITUTE(
SUBSTITUTE(
SUBSTITUTE(
SUBSTITUTE(
_xlpm.doi,
"/","%2F"),
":","%3A"),
"&lt;","%3C"),
"&gt;","%3E")
)</f>
        <v>10.1111%2Fjzo.12608</v>
      </c>
      <c r="K80" s="1" t="str">
        <f>TRIM(_xlfn.TEXTJOIN("_",FALSE(),F80,(SUBSTITUTE(SUBSTITUTE(D80," ",""), "_", ""))))</f>
        <v>Granatosky__2018_TableS1</v>
      </c>
      <c r="L80" s="1" t="str">
        <f>J80 &amp; "_" &amp; SUBSTITUTE(SUBSTITUTE(SUBSTITUTE(D80,CHAR(160),"")," ",""),"_","")</f>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spans="1:39" ht="15.75" customHeight="1" x14ac:dyDescent="0.2">
      <c r="A81" s="3" t="s">
        <v>349</v>
      </c>
      <c r="D81" s="3" t="s">
        <v>350</v>
      </c>
      <c r="E81" s="1" t="str">
        <f>RIGHT(A81,1)</f>
        <v>7</v>
      </c>
      <c r="F81" s="1" t="str">
        <f>G81 &amp; IF(H81&lt;&gt;"", "_" &amp; H81, "_") &amp; IF(I81&lt;&gt;"", "_" &amp; I81, "_") &amp; IF(B81&lt;&gt;"", "_" &amp; B81, "")</f>
        <v>Haarlem_etal_2026</v>
      </c>
      <c r="G81" s="1" t="str">
        <f>SUBSTITUTE(SUBSTITUTE(_xlfn.TEXTBEFORE(A81,","), "-", ""), " ", "")</f>
        <v>Haarlem</v>
      </c>
      <c r="H81" s="1"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_xlfn.TEXTBEFORE(_xlfn.TEXTAFTER(A81, "("), ")")</f>
        <v>2026</v>
      </c>
      <c r="J81" s="1" t="str">
        <f>_xlfn.LET(
_xlpm.doi,IF(C81&lt;&gt;"",C81,_xlfn.TEXTAFTER(A81,"https://doi.org/")),
SUBSTITUTE(
SUBSTITUTE(
SUBSTITUTE(
SUBSTITUTE(
_xlpm.doi,
"/","%2F"),
":","%3A"),
"&lt;","%3C"),
"&gt;","%3E")
)</f>
        <v>10.1038%2Fs41559-026-02994-7</v>
      </c>
      <c r="K81" s="1" t="str">
        <f>TRIM(_xlfn.TEXTJOIN("_",FALSE(),F81,(SUBSTITUTE(SUBSTITUTE(D81," ",""), "_", ""))))</f>
        <v>Haarlem_etal_2026_CFFdataset</v>
      </c>
      <c r="L81" s="1" t="str">
        <f>J81 &amp; "_" &amp; SUBSTITUTE(SUBSTITUTE(SUBSTITUTE(D81,CHAR(160),"")," ",""),"_","")</f>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spans="1:39" ht="15.75" customHeight="1" x14ac:dyDescent="0.2">
      <c r="A82" s="3" t="s">
        <v>351</v>
      </c>
      <c r="D82" s="3" t="s">
        <v>352</v>
      </c>
      <c r="E82" s="1" t="str">
        <f>RIGHT(A82,1)</f>
        <v>4</v>
      </c>
      <c r="F82" s="1" t="str">
        <f>G82 &amp; IF(H82&lt;&gt;"", "_" &amp; H82, "_") &amp; IF(I82&lt;&gt;"", "_" &amp; I82, "_") &amp; IF(B82&lt;&gt;"", "_" &amp; B82, "")</f>
        <v>Heffner_Masterton_1983</v>
      </c>
      <c r="G82" s="1" t="str">
        <f>SUBSTITUTE(SUBSTITUTE(_xlfn.TEXTBEFORE(A82,","), "-", ""), " ", "")</f>
        <v>Heffner</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Masterton</v>
      </c>
      <c r="I82" s="1" t="str">
        <f>_xlfn.TEXTBEFORE(_xlfn.TEXTAFTER(A82, "("), ")")</f>
        <v>1983</v>
      </c>
      <c r="J82" s="1" t="str">
        <f>_xlfn.LET(
_xlpm.doi,IF(C82&lt;&gt;"",C82,_xlfn.TEXTAFTER(A82,"https://doi.org/")),
SUBSTITUTE(
SUBSTITUTE(
SUBSTITUTE(
SUBSTITUTE(
_xlpm.doi,
"/","%2F"),
":","%3A"),
"&lt;","%3C"),
"&gt;","%3E")
)</f>
        <v>10.1159%2F000121494</v>
      </c>
      <c r="K82" s="1" t="str">
        <f>TRIM(_xlfn.TEXTJOIN("_",FALSE(),F82,(SUBSTITUTE(SUBSTITUTE(D82," ",""), "_", ""))))</f>
        <v>Heffner_Masterton_1983_TableI</v>
      </c>
      <c r="L82" s="1" t="str">
        <f>J82 &amp; "_" &amp; SUBSTITUTE(SUBSTITUTE(SUBSTITUTE(D82,CHAR(160),"")," ",""),"_","")</f>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spans="1:39" ht="15.75" customHeight="1" x14ac:dyDescent="0.2">
      <c r="A83" s="3" t="s">
        <v>356</v>
      </c>
      <c r="D83" s="3" t="s">
        <v>352</v>
      </c>
      <c r="E83" s="1" t="str">
        <f>RIGHT(A83,1)</f>
        <v>1</v>
      </c>
      <c r="F83" s="1" t="str">
        <f>G83 &amp; IF(H83&lt;&gt;"", "_" &amp; H83, "_") &amp; IF(I83&lt;&gt;"", "_" &amp; I83, "_") &amp; IF(B83&lt;&gt;"", "_" &amp; B83, "")</f>
        <v>Heffner_Masterton_1975</v>
      </c>
      <c r="G83" s="1" t="str">
        <f>SUBSTITUTE(SUBSTITUTE(_xlfn.TEXTBEFORE(A83,","), "-", ""), " ", "")</f>
        <v>Heffner</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Masterton</v>
      </c>
      <c r="I83" s="1" t="str">
        <f>_xlfn.TEXTBEFORE(_xlfn.TEXTAFTER(A83, "("), ")")</f>
        <v>1975</v>
      </c>
      <c r="J83" s="1" t="str">
        <f>_xlfn.LET(
_xlpm.doi,IF(C83&lt;&gt;"",C83,_xlfn.TEXTAFTER(A83,"https://doi.org/")),
SUBSTITUTE(
SUBSTITUTE(
SUBSTITUTE(
SUBSTITUTE(
_xlpm.doi,
"/","%2F"),
":","%3A"),
"&lt;","%3C"),
"&gt;","%3E")
)</f>
        <v>10.1159%2F000124401</v>
      </c>
      <c r="K83" s="1" t="str">
        <f>TRIM(_xlfn.TEXTJOIN("_",FALSE(),F83,(SUBSTITUTE(SUBSTITUTE(D83," ",""), "_", ""))))</f>
        <v>Heffner_Masterton_1975_TableI</v>
      </c>
      <c r="L83" s="1" t="str">
        <f>J83 &amp; "_" &amp; SUBSTITUTE(SUBSTITUTE(SUBSTITUTE(D83,CHAR(160),"")," ",""),"_","")</f>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spans="1:39" ht="15.75" customHeight="1" x14ac:dyDescent="0.2">
      <c r="A84" s="3" t="s">
        <v>363</v>
      </c>
      <c r="C84" s="3" t="s">
        <v>364</v>
      </c>
      <c r="D84" s="3" t="s">
        <v>48</v>
      </c>
      <c r="E84" s="1" t="str">
        <f>RIGHT(A84,1)</f>
        <v>8</v>
      </c>
      <c r="F84" s="1" t="str">
        <f>G84 &amp; IF(H84&lt;&gt;"", "_" &amp; H84, "_") &amp; IF(I84&lt;&gt;"", "_" &amp; I84, "_") &amp; IF(B84&lt;&gt;"", "_" &amp; B84, "")</f>
        <v>Heiss_etal_2004</v>
      </c>
      <c r="G84" s="1" t="str">
        <f>SUBSTITUTE(SUBSTITUTE(_xlfn.TEXTBEFORE(A84,","), "-", ""), " ", "")</f>
        <v>Heiss</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_xlfn.TEXTBEFORE(_xlfn.TEXTAFTER(A84, "("), ")")</f>
        <v>2004</v>
      </c>
      <c r="J84" s="1" t="str">
        <f>_xlfn.LET(
_xlpm.doi,IF(C84&lt;&gt;"",C84,_xlfn.TEXTAFTER(A84,"https://doi.org/")),
SUBSTITUTE(
SUBSTITUTE(
SUBSTITUTE(
SUBSTITUTE(
_xlpm.doi,
"/","%2F"),
":","%3A"),
"&lt;","%3C"),
"&gt;","%3E")
)</f>
        <v>PMID%3A15534048</v>
      </c>
      <c r="K84" s="1" t="str">
        <f>TRIM(_xlfn.TEXTJOIN("_",FALSE(),F84,(SUBSTITUTE(SUBSTITUTE(D84," ",""), "_", ""))))</f>
        <v>Heiss_etal_2004_TABLE1</v>
      </c>
      <c r="L84" s="1" t="str">
        <f>J84 &amp; "_" &amp; SUBSTITUTE(SUBSTITUTE(SUBSTITUTE(D84,CHAR(160),"")," ",""),"_","")</f>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spans="1:39" ht="15.75" customHeight="1" x14ac:dyDescent="0.2">
      <c r="A85" s="3" t="s">
        <v>369</v>
      </c>
      <c r="D85" s="3" t="s">
        <v>197</v>
      </c>
      <c r="E85" s="1" t="str">
        <f>RIGHT(A85,1)</f>
        <v>8</v>
      </c>
      <c r="F85" s="1" t="str">
        <f>G85 &amp; IF(H85&lt;&gt;"", "_" &amp; H85, "_") &amp; IF(I85&lt;&gt;"", "_" &amp; I85, "_") &amp; IF(B85&lt;&gt;"", "_" &amp; B85, "")</f>
        <v>Heldstab_etal_2016</v>
      </c>
      <c r="G85" s="1" t="str">
        <f>SUBSTITUTE(SUBSTITUTE(_xlfn.TEXTBEFORE(A85,","), "-", ""), " ", "")</f>
        <v>Heldstab</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_xlfn.TEXTBEFORE(_xlfn.TEXTAFTER(A85, "("), ")")</f>
        <v>2016</v>
      </c>
      <c r="J85" s="1" t="str">
        <f>_xlfn.LET(
_xlpm.doi,IF(C85&lt;&gt;"",C85,_xlfn.TEXTAFTER(A85,"https://doi.org/")),
SUBSTITUTE(
SUBSTITUTE(
SUBSTITUTE(
SUBSTITUTE(
_xlpm.doi,
"/","%2F"),
":","%3A"),
"&lt;","%3C"),
"&gt;","%3E")
)</f>
        <v>10.1038%2Fsrep24528</v>
      </c>
      <c r="K85" s="1" t="str">
        <f>TRIM(_xlfn.TEXTJOIN("_",FALSE(),F85,(SUBSTITUTE(SUBSTITUTE(D85," ",""), "_", ""))))</f>
        <v>Heldstab_etal_2016_TableS1</v>
      </c>
      <c r="L85" s="1" t="str">
        <f>J85 &amp; "_" &amp; SUBSTITUTE(SUBSTITUTE(SUBSTITUTE(D85,CHAR(160),"")," ",""),"_","")</f>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spans="1:39" ht="15.75" customHeight="1" x14ac:dyDescent="0.2">
      <c r="A86" s="3" t="s">
        <v>372</v>
      </c>
      <c r="D86" s="3" t="s">
        <v>76</v>
      </c>
      <c r="E86" s="1" t="str">
        <f>RIGHT(A86,1)</f>
        <v>3</v>
      </c>
      <c r="F86" s="1" t="str">
        <f>G86 &amp; IF(H86&lt;&gt;"", "_" &amp; H86, "_") &amp; IF(I86&lt;&gt;"", "_" &amp; I86, "_") &amp; IF(B86&lt;&gt;"", "_" &amp; B86, "")</f>
        <v>HerculanoHouzel__2015</v>
      </c>
      <c r="G86" s="1" t="str">
        <f>SUBSTITUTE(SUBSTITUTE(_xlfn.TEXTBEFORE(A86,","), "-", ""), " ", "")</f>
        <v>HerculanoHouzel</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
      </c>
      <c r="I86" s="1" t="str">
        <f>_xlfn.TEXTBEFORE(_xlfn.TEXTAFTER(A86, "("), ")")</f>
        <v>2015</v>
      </c>
      <c r="J86" s="1" t="str">
        <f>_xlfn.LET(
_xlpm.doi,IF(C86&lt;&gt;"",C86,_xlfn.TEXTAFTER(A86,"https://doi.org/")),
SUBSTITUTE(
SUBSTITUTE(
SUBSTITUTE(
SUBSTITUTE(
_xlpm.doi,
"/","%2F"),
":","%3A"),
"&lt;","%3C"),
"&gt;","%3E")
)</f>
        <v>10.1098%2Frspb.2015.1853</v>
      </c>
      <c r="K86" s="1" t="str">
        <f>TRIM(_xlfn.TEXTJOIN("_",FALSE(),F86,(SUBSTITUTE(SUBSTITUTE(D86," ",""), "_", ""))))</f>
        <v>HerculanoHouzel__2015_Table1</v>
      </c>
      <c r="L86" s="1" t="str">
        <f>J86 &amp; "_" &amp; SUBSTITUTE(SUBSTITUTE(SUBSTITUTE(D86,CHAR(160),"")," ",""),"_","")</f>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spans="1:39" ht="15.75" customHeight="1" x14ac:dyDescent="0.2">
      <c r="A87" s="3" t="s">
        <v>372</v>
      </c>
      <c r="D87" s="3" t="s">
        <v>118</v>
      </c>
      <c r="E87" s="1" t="str">
        <f>RIGHT(A87,1)</f>
        <v>3</v>
      </c>
      <c r="F87" s="1" t="str">
        <f>G87 &amp; IF(H87&lt;&gt;"", "_" &amp; H87, "_") &amp; IF(I87&lt;&gt;"", "_" &amp; I87, "_") &amp; IF(B87&lt;&gt;"", "_" &amp; B87, "")</f>
        <v>HerculanoHouzel__2015</v>
      </c>
      <c r="G87" s="1" t="str">
        <f>SUBSTITUTE(SUBSTITUTE(_xlfn.TEXTBEFORE(A87,","), "-", ""), " ", "")</f>
        <v>HerculanoHouzel</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
      </c>
      <c r="I87" s="1" t="str">
        <f>_xlfn.TEXTBEFORE(_xlfn.TEXTAFTER(A87, "("), ")")</f>
        <v>2015</v>
      </c>
      <c r="J87" s="1" t="str">
        <f>_xlfn.LET(
_xlpm.doi,IF(C87&lt;&gt;"",C87,_xlfn.TEXTAFTER(A87,"https://doi.org/")),
SUBSTITUTE(
SUBSTITUTE(
SUBSTITUTE(
SUBSTITUTE(
_xlpm.doi,
"/","%2F"),
":","%3A"),
"&lt;","%3C"),
"&gt;","%3E")
)</f>
        <v>10.1098%2Frspb.2015.1853</v>
      </c>
      <c r="K87" s="1" t="str">
        <f>TRIM(_xlfn.TEXTJOIN("_",FALSE(),F87,(SUBSTITUTE(SUBSTITUTE(D87," ",""), "_", ""))))</f>
        <v>HerculanoHouzel__2015_Table2</v>
      </c>
      <c r="L87" s="1" t="str">
        <f>J87 &amp; "_" &amp; SUBSTITUTE(SUBSTITUTE(SUBSTITUTE(D87,CHAR(160),"")," ",""),"_","")</f>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spans="1:39" ht="15.75" customHeight="1" x14ac:dyDescent="0.2">
      <c r="A88" s="3" t="s">
        <v>378</v>
      </c>
      <c r="D88" s="3" t="s">
        <v>76</v>
      </c>
      <c r="E88" s="1" t="str">
        <f>RIGHT(A88,1)</f>
        <v>3</v>
      </c>
      <c r="F88" s="1" t="str">
        <f>G88 &amp; IF(H88&lt;&gt;"", "_" &amp; H88, "_") &amp; IF(I88&lt;&gt;"", "_" &amp; I88, "_") &amp; IF(B88&lt;&gt;"", "_" &amp; B88, "")</f>
        <v>HerculanoHouzel_etal_2015</v>
      </c>
      <c r="G88" s="1" t="str">
        <f>SUBSTITUTE(SUBSTITUTE(_xlfn.TEXTBEFORE(A88,","), "-", ""), " ", "")</f>
        <v>HerculanoHouzel</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_xlfn.TEXTBEFORE(_xlfn.TEXTAFTER(A88, "("), ")")</f>
        <v>2015</v>
      </c>
      <c r="J88" s="1" t="str">
        <f>_xlfn.LET(
_xlpm.doi,IF(C88&lt;&gt;"",C88,_xlfn.TEXTAFTER(A88,"https://doi.org/")),
SUBSTITUTE(
SUBSTITUTE(
SUBSTITUTE(
SUBSTITUTE(
_xlpm.doi,
"/","%2F"),
":","%3A"),
"&lt;","%3C"),
"&gt;","%3E")
)</f>
        <v>10.1159%2F000437413</v>
      </c>
      <c r="K88" s="1" t="str">
        <f>TRIM(_xlfn.TEXTJOIN("_",FALSE(),F88,(SUBSTITUTE(SUBSTITUTE(D88," ",""), "_", ""))))</f>
        <v>HerculanoHouzel_etal_2015_Table1</v>
      </c>
      <c r="L88" s="1" t="str">
        <f>J88 &amp; "_" &amp; SUBSTITUTE(SUBSTITUTE(SUBSTITUTE(D88,CHAR(160),"")," ",""),"_","")</f>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spans="1:39" ht="15.75" customHeight="1" x14ac:dyDescent="0.2">
      <c r="A89" s="3" t="s">
        <v>378</v>
      </c>
      <c r="D89" s="3" t="s">
        <v>118</v>
      </c>
      <c r="E89" s="1" t="str">
        <f>RIGHT(A89,1)</f>
        <v>3</v>
      </c>
      <c r="F89" s="1" t="str">
        <f>G89 &amp; IF(H89&lt;&gt;"", "_" &amp; H89, "_") &amp; IF(I89&lt;&gt;"", "_" &amp; I89, "_") &amp; IF(B89&lt;&gt;"", "_" &amp; B89, "")</f>
        <v>HerculanoHouzel_etal_2015</v>
      </c>
      <c r="G89" s="1" t="str">
        <f>SUBSTITUTE(SUBSTITUTE(_xlfn.TEXTBEFORE(A89,","), "-", ""), " ", "")</f>
        <v>HerculanoHouzel</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_xlfn.TEXTBEFORE(_xlfn.TEXTAFTER(A89, "("), ")")</f>
        <v>2015</v>
      </c>
      <c r="J89" s="1" t="str">
        <f>_xlfn.LET(
_xlpm.doi,IF(C89&lt;&gt;"",C89,_xlfn.TEXTAFTER(A89,"https://doi.org/")),
SUBSTITUTE(
SUBSTITUTE(
SUBSTITUTE(
SUBSTITUTE(
_xlpm.doi,
"/","%2F"),
":","%3A"),
"&lt;","%3C"),
"&gt;","%3E")
)</f>
        <v>10.1159%2F000437413</v>
      </c>
      <c r="K89" s="1" t="str">
        <f>TRIM(_xlfn.TEXTJOIN("_",FALSE(),F89,(SUBSTITUTE(SUBSTITUTE(D89," ",""), "_", ""))))</f>
        <v>HerculanoHouzel_etal_2015_Table2</v>
      </c>
      <c r="L89" s="1" t="str">
        <f>J89 &amp; "_" &amp; SUBSTITUTE(SUBSTITUTE(SUBSTITUTE(D89,CHAR(160),"")," ",""),"_","")</f>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spans="1:39" ht="15.75" customHeight="1" x14ac:dyDescent="0.2">
      <c r="A90" s="3" t="s">
        <v>378</v>
      </c>
      <c r="D90" s="3" t="s">
        <v>67</v>
      </c>
      <c r="E90" s="1" t="str">
        <f>RIGHT(A90,1)</f>
        <v>3</v>
      </c>
      <c r="F90" s="1" t="str">
        <f>G90 &amp; IF(H90&lt;&gt;"", "_" &amp; H90, "_") &amp; IF(I90&lt;&gt;"", "_" &amp; I90, "_") &amp; IF(B90&lt;&gt;"", "_" &amp; B90, "")</f>
        <v>HerculanoHouzel_etal_2015</v>
      </c>
      <c r="G90" s="1" t="str">
        <f>SUBSTITUTE(SUBSTITUTE(_xlfn.TEXTBEFORE(A90,","), "-", ""), " ", "")</f>
        <v>HerculanoHouzel</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_xlfn.TEXTBEFORE(_xlfn.TEXTAFTER(A90, "("), ")")</f>
        <v>2015</v>
      </c>
      <c r="J90" s="1" t="str">
        <f>_xlfn.LET(
_xlpm.doi,IF(C90&lt;&gt;"",C90,_xlfn.TEXTAFTER(A90,"https://doi.org/")),
SUBSTITUTE(
SUBSTITUTE(
SUBSTITUTE(
SUBSTITUTE(
_xlpm.doi,
"/","%2F"),
":","%3A"),
"&lt;","%3C"),
"&gt;","%3E")
)</f>
        <v>10.1159%2F000437413</v>
      </c>
      <c r="K90" s="1" t="str">
        <f>TRIM(_xlfn.TEXTJOIN("_",FALSE(),F90,(SUBSTITUTE(SUBSTITUTE(D90," ",""), "_", ""))))</f>
        <v>HerculanoHouzel_etal_2015_Table3</v>
      </c>
      <c r="L90" s="1" t="str">
        <f>J90 &amp; "_" &amp; SUBSTITUTE(SUBSTITUTE(SUBSTITUTE(D90,CHAR(160),"")," ",""),"_","")</f>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x14ac:dyDescent="0.2">
      <c r="A91" s="3" t="s">
        <v>378</v>
      </c>
      <c r="D91" s="3" t="s">
        <v>39</v>
      </c>
      <c r="E91" s="1" t="str">
        <f>RIGHT(A91,1)</f>
        <v>3</v>
      </c>
      <c r="F91" s="1" t="str">
        <f>G91 &amp; IF(H91&lt;&gt;"", "_" &amp; H91, "_") &amp; IF(I91&lt;&gt;"", "_" &amp; I91, "_") &amp; IF(B91&lt;&gt;"", "_" &amp; B91, "")</f>
        <v>HerculanoHouzel_etal_2015</v>
      </c>
      <c r="G91" s="1" t="str">
        <f>SUBSTITUTE(SUBSTITUTE(_xlfn.TEXTBEFORE(A91,","), "-", ""), " ", "")</f>
        <v>HerculanoHouzel</v>
      </c>
      <c r="H91" s="1"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_xlfn.TEXTBEFORE(_xlfn.TEXTAFTER(A91, "("), ")")</f>
        <v>2015</v>
      </c>
      <c r="J91" s="1" t="str">
        <f>_xlfn.LET(
_xlpm.doi,IF(C91&lt;&gt;"",C91,_xlfn.TEXTAFTER(A91,"https://doi.org/")),
SUBSTITUTE(
SUBSTITUTE(
SUBSTITUTE(
SUBSTITUTE(
_xlpm.doi,
"/","%2F"),
":","%3A"),
"&lt;","%3C"),
"&gt;","%3E")
)</f>
        <v>10.1159%2F000437413</v>
      </c>
      <c r="K91" s="1" t="str">
        <f>TRIM(_xlfn.TEXTJOIN("_",FALSE(),F91,(SUBSTITUTE(SUBSTITUTE(D91," ",""), "_", ""))))</f>
        <v>HerculanoHouzel_etal_2015_Table4</v>
      </c>
      <c r="L91" s="1" t="str">
        <f>J91 &amp; "_" &amp; SUBSTITUTE(SUBSTITUTE(SUBSTITUTE(D91,CHAR(160),"")," ",""),"_","")</f>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x14ac:dyDescent="0.2">
      <c r="A92" s="3" t="s">
        <v>378</v>
      </c>
      <c r="D92" s="3" t="s">
        <v>69</v>
      </c>
      <c r="E92" s="1" t="str">
        <f>RIGHT(A92,1)</f>
        <v>3</v>
      </c>
      <c r="F92" s="1" t="str">
        <f>G92 &amp; IF(H92&lt;&gt;"", "_" &amp; H92, "_") &amp; IF(I92&lt;&gt;"", "_" &amp; I92, "_") &amp; IF(B92&lt;&gt;"", "_" &amp; B92, "")</f>
        <v>HerculanoHouzel_etal_2015</v>
      </c>
      <c r="G92" s="1" t="str">
        <f>SUBSTITUTE(SUBSTITUTE(_xlfn.TEXTBEFORE(A92,","), "-", ""), " ", "")</f>
        <v>HerculanoHouzel</v>
      </c>
      <c r="H92" s="1"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_xlfn.TEXTBEFORE(_xlfn.TEXTAFTER(A92, "("), ")")</f>
        <v>2015</v>
      </c>
      <c r="J92" s="1" t="str">
        <f>_xlfn.LET(
_xlpm.doi,IF(C92&lt;&gt;"",C92,_xlfn.TEXTAFTER(A92,"https://doi.org/")),
SUBSTITUTE(
SUBSTITUTE(
SUBSTITUTE(
SUBSTITUTE(
_xlpm.doi,
"/","%2F"),
":","%3A"),
"&lt;","%3C"),
"&gt;","%3E")
)</f>
        <v>10.1159%2F000437413</v>
      </c>
      <c r="K92" s="1" t="str">
        <f>TRIM(_xlfn.TEXTJOIN("_",FALSE(),F92,(SUBSTITUTE(SUBSTITUTE(D92," ",""), "_", ""))))</f>
        <v>HerculanoHouzel_etal_2015_Table5</v>
      </c>
      <c r="L92" s="1" t="str">
        <f>J92 &amp; "_" &amp; SUBSTITUTE(SUBSTITUTE(SUBSTITUTE(D92,CHAR(160),"")," ",""),"_","")</f>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x14ac:dyDescent="0.2">
      <c r="A93" s="3" t="s">
        <v>396</v>
      </c>
      <c r="D93" s="3" t="s">
        <v>48</v>
      </c>
      <c r="E93" s="1" t="str">
        <f>RIGHT(A93,1)</f>
        <v>5</v>
      </c>
      <c r="F93" s="1" t="str">
        <f>G93 &amp; IF(H93&lt;&gt;"", "_" &amp; H93, "_") &amp; IF(I93&lt;&gt;"", "_" &amp; I93, "_") &amp; IF(B93&lt;&gt;"", "_" &amp; B93, "")</f>
        <v>HerculanoHouzel_etal_2020</v>
      </c>
      <c r="G93" s="1" t="str">
        <f>SUBSTITUTE(SUBSTITUTE(_xlfn.TEXTBEFORE(A93,","), "-", ""), " ", "")</f>
        <v>HerculanoHouzel</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_xlfn.TEXTBEFORE(_xlfn.TEXTAFTER(A93, "("), ")")</f>
        <v>2020</v>
      </c>
      <c r="J93" s="1" t="str">
        <f>_xlfn.LET(
_xlpm.doi,IF(C93&lt;&gt;"",C93,_xlfn.TEXTAFTER(A93,"https://doi.org/")),
SUBSTITUTE(
SUBSTITUTE(
SUBSTITUTE(
SUBSTITUTE(
_xlpm.doi,
"/","%2F"),
":","%3A"),
"&lt;","%3C"),
"&gt;","%3E")
)</f>
        <v>10.1002%2Fcne.24985</v>
      </c>
      <c r="K93" s="1" t="str">
        <f>TRIM(_xlfn.TEXTJOIN("_",FALSE(),F93,(SUBSTITUTE(SUBSTITUTE(D93," ",""), "_", ""))))</f>
        <v>HerculanoHouzel_etal_2020_TABLE1</v>
      </c>
      <c r="L93" s="1" t="str">
        <f>J93 &amp; "_" &amp; SUBSTITUTE(SUBSTITUTE(SUBSTITUTE(D93,CHAR(160),"")," ",""),"_","")</f>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spans="1:39" ht="15.75" customHeight="1" x14ac:dyDescent="0.2">
      <c r="A94" s="3" t="s">
        <v>396</v>
      </c>
      <c r="D94" s="3" t="s">
        <v>92</v>
      </c>
      <c r="E94" s="1" t="str">
        <f>RIGHT(A94,1)</f>
        <v>5</v>
      </c>
      <c r="F94" s="1" t="str">
        <f>G94 &amp; IF(H94&lt;&gt;"", "_" &amp; H94, "_") &amp; IF(I94&lt;&gt;"", "_" &amp; I94, "_") &amp; IF(B94&lt;&gt;"", "_" &amp; B94, "")</f>
        <v>HerculanoHouzel_etal_2020</v>
      </c>
      <c r="G94" s="1" t="str">
        <f>SUBSTITUTE(SUBSTITUTE(_xlfn.TEXTBEFORE(A94,","), "-", ""), " ", "")</f>
        <v>HerculanoHouzel</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 t="str">
        <f>_xlfn.TEXTBEFORE(_xlfn.TEXTAFTER(A94, "("), ")")</f>
        <v>2020</v>
      </c>
      <c r="J94" s="1" t="str">
        <f>_xlfn.LET(
_xlpm.doi,IF(C94&lt;&gt;"",C94,_xlfn.TEXTAFTER(A94,"https://doi.org/")),
SUBSTITUTE(
SUBSTITUTE(
SUBSTITUTE(
SUBSTITUTE(
_xlpm.doi,
"/","%2F"),
":","%3A"),
"&lt;","%3C"),
"&gt;","%3E")
)</f>
        <v>10.1002%2Fcne.24985</v>
      </c>
      <c r="K94" s="1" t="str">
        <f>TRIM(_xlfn.TEXTJOIN("_",FALSE(),F94,(SUBSTITUTE(SUBSTITUTE(D94," ",""), "_", ""))))</f>
        <v>HerculanoHouzel_etal_2020_TABLE2</v>
      </c>
      <c r="L94" s="1" t="str">
        <f>J94 &amp; "_" &amp; SUBSTITUTE(SUBSTITUTE(SUBSTITUTE(D94,CHAR(160),"")," ",""),"_","")</f>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spans="1:39" ht="15.75" customHeight="1" x14ac:dyDescent="0.2">
      <c r="A95" s="3" t="s">
        <v>409</v>
      </c>
      <c r="D95" s="3" t="s">
        <v>410</v>
      </c>
      <c r="E95" s="1" t="str">
        <f>RIGHT(A95,1)</f>
        <v>5</v>
      </c>
      <c r="F95" s="1" t="str">
        <f>G95 &amp; IF(H95&lt;&gt;"", "_" &amp; H95, "_") &amp; IF(I95&lt;&gt;"", "_" &amp; I95, "_") &amp; IF(B95&lt;&gt;"", "_" &amp; B95, "")</f>
        <v>HerculanoHouzel_etal_2013</v>
      </c>
      <c r="G95" s="1" t="str">
        <f>SUBSTITUTE(SUBSTITUTE(_xlfn.TEXTBEFORE(A95,","), "-", ""), " ", "")</f>
        <v>HerculanoHouzel</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_xlfn.TEXTBEFORE(_xlfn.TEXTAFTER(A95, "("), ")")</f>
        <v>2013</v>
      </c>
      <c r="J95" s="1" t="str">
        <f>_xlfn.LET(
_xlpm.doi,IF(C95&lt;&gt;"",C95,_xlfn.TEXTAFTER(A95,"https://doi.org/")),
SUBSTITUTE(
SUBSTITUTE(
SUBSTITUTE(
SUBSTITUTE(
_xlpm.doi,
"/","%2F"),
":","%3A"),
"&lt;","%3C"),
"&gt;","%3E")
)</f>
        <v>10.3389%2Ffnana.2013.00035</v>
      </c>
      <c r="K95" s="1" t="str">
        <f>TRIM(_xlfn.TEXTJOIN("_",FALSE(),F95,(SUBSTITUTE(SUBSTITUTE(D95," ",""), "_", ""))))</f>
        <v>HerculanoHouzel_etal_2013_Figure2TopLeft</v>
      </c>
      <c r="L95" s="1" t="str">
        <f>J95 &amp; "_" &amp; SUBSTITUTE(SUBSTITUTE(SUBSTITUTE(D95,CHAR(160),"")," ",""),"_","")</f>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spans="1:39" ht="15.75" customHeight="1" x14ac:dyDescent="0.2">
      <c r="A96" s="3" t="s">
        <v>409</v>
      </c>
      <c r="D96" s="3" t="s">
        <v>412</v>
      </c>
      <c r="E96" s="1" t="str">
        <f>RIGHT(A96,1)</f>
        <v>5</v>
      </c>
      <c r="F96" s="1" t="str">
        <f>G96 &amp; IF(H96&lt;&gt;"", "_" &amp; H96, "_") &amp; IF(I96&lt;&gt;"", "_" &amp; I96, "_") &amp; IF(B96&lt;&gt;"", "_" &amp; B96, "")</f>
        <v>HerculanoHouzel_etal_2013</v>
      </c>
      <c r="G96" s="1" t="str">
        <f>SUBSTITUTE(SUBSTITUTE(_xlfn.TEXTBEFORE(A96,","), "-", ""), " ", "")</f>
        <v>HerculanoHouzel</v>
      </c>
      <c r="H96" s="1"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_xlfn.TEXTBEFORE(_xlfn.TEXTAFTER(A96, "("), ")")</f>
        <v>2013</v>
      </c>
      <c r="J96" s="1" t="str">
        <f>_xlfn.LET(
_xlpm.doi,IF(C96&lt;&gt;"",C96,_xlfn.TEXTAFTER(A96,"https://doi.org/")),
SUBSTITUTE(
SUBSTITUTE(
SUBSTITUTE(
SUBSTITUTE(
_xlpm.doi,
"/","%2F"),
":","%3A"),
"&lt;","%3C"),
"&gt;","%3E")
)</f>
        <v>10.3389%2Ffnana.2013.00035</v>
      </c>
      <c r="K96" s="1" t="str">
        <f>TRIM(_xlfn.TEXTJOIN("_",FALSE(),F96,(SUBSTITUTE(SUBSTITUTE(D96," ",""), "_", ""))))</f>
        <v>HerculanoHouzel_etal_2013_Table1-a</v>
      </c>
      <c r="L96" s="1" t="str">
        <f>J96 &amp; "_" &amp; SUBSTITUTE(SUBSTITUTE(SUBSTITUTE(D96,CHAR(160),"")," ",""),"_","")</f>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spans="1:39" ht="15.75" customHeight="1" x14ac:dyDescent="0.2">
      <c r="A97" s="3" t="s">
        <v>409</v>
      </c>
      <c r="D97" s="3" t="s">
        <v>413</v>
      </c>
      <c r="E97" s="1" t="str">
        <f>RIGHT(A97,1)</f>
        <v>5</v>
      </c>
      <c r="F97" s="1" t="str">
        <f>G97 &amp; IF(H97&lt;&gt;"", "_" &amp; H97, "_") &amp; IF(I97&lt;&gt;"", "_" &amp; I97, "_") &amp; IF(B97&lt;&gt;"", "_" &amp; B97, "")</f>
        <v>HerculanoHouzel_etal_2013</v>
      </c>
      <c r="G97" s="1" t="str">
        <f>SUBSTITUTE(SUBSTITUTE(_xlfn.TEXTBEFORE(A97,","), "-", ""), " ", "")</f>
        <v>HerculanoHouzel</v>
      </c>
      <c r="H97" s="1"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 t="str">
        <f>_xlfn.TEXTBEFORE(_xlfn.TEXTAFTER(A97, "("), ")")</f>
        <v>2013</v>
      </c>
      <c r="J97" s="1" t="str">
        <f>_xlfn.LET(
_xlpm.doi,IF(C97&lt;&gt;"",C97,_xlfn.TEXTAFTER(A97,"https://doi.org/")),
SUBSTITUTE(
SUBSTITUTE(
SUBSTITUTE(
SUBSTITUTE(
_xlpm.doi,
"/","%2F"),
":","%3A"),
"&lt;","%3C"),
"&gt;","%3E")
)</f>
        <v>10.3389%2Ffnana.2013.00035</v>
      </c>
      <c r="K97" s="1" t="str">
        <f>TRIM(_xlfn.TEXTJOIN("_",FALSE(),F97,(SUBSTITUTE(SUBSTITUTE(D97," ",""), "_", ""))))</f>
        <v>HerculanoHouzel_etal_2013_Table1-b</v>
      </c>
      <c r="L97" s="1" t="str">
        <f>J97 &amp; "_" &amp; SUBSTITUTE(SUBSTITUTE(SUBSTITUTE(D97,CHAR(160),"")," ",""),"_","")</f>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spans="1:39" ht="15.75" customHeight="1" x14ac:dyDescent="0.2">
      <c r="A98" s="3" t="s">
        <v>863</v>
      </c>
      <c r="D98" s="4" t="s">
        <v>1140</v>
      </c>
      <c r="E98" s="1" t="str">
        <f>RIGHT(A98,1)</f>
        <v>1</v>
      </c>
      <c r="F98" s="1" t="str">
        <f>G98 &amp; IF(H98&lt;&gt;"", "_" &amp; H98, "_") &amp; IF(I98&lt;&gt;"", "_" &amp; I98, "_") &amp; IF(B98&lt;&gt;"", "_" &amp; B98, "")</f>
        <v>Heuer_etal_2019</v>
      </c>
      <c r="G98" s="1" t="str">
        <f>SUBSTITUTE(SUBSTITUTE(_xlfn.TEXTBEFORE(A98,","), "-", ""), " ", "")</f>
        <v>Heuer</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_xlfn.TEXTBEFORE(_xlfn.TEXTAFTER(A98, "("), ")")</f>
        <v>2019</v>
      </c>
      <c r="J98" s="1" t="str">
        <f>_xlfn.LET(
_xlpm.doi,IF(C98&lt;&gt;"",C98,_xlfn.TEXTAFTER(A98,"https://doi.org/")),
SUBSTITUTE(
SUBSTITUTE(
SUBSTITUTE(
SUBSTITUTE(
_xlpm.doi,
"/","%2F"),
":","%3A"),
"&lt;","%3C"),
"&gt;","%3E")
)</f>
        <v>10.1016%2Fj.cortex.2019.04.011</v>
      </c>
      <c r="K98" s="1" t="str">
        <f>TRIM(_xlfn.TEXTJOIN("_",FALSE(),F98,(SUBSTITUTE(SUBSTITUTE(D98," ",""), "_", ""))))</f>
        <v>Heuer_etal_2019_xml:space="preserve"&gt;Table1</v>
      </c>
      <c r="L98" s="1" t="str">
        <f>J98 &amp; "_" &amp; SUBSTITUTE(SUBSTITUTE(SUBSTITUTE(D98,CHAR(160),"")," ",""),"_","")</f>
        <v>10.1016%2Fj.cortex.2019.04.011_xml:space="preserve"&gt;Table1</v>
      </c>
      <c r="M98" s="1" t="str">
        <f t="array" ref="M98">IFERROR(INDEX(FileList!$A$1:$A$1000,MATCH(TRUE(),EXACT(L98,IFERROR(_xlfn.TEXTBEFORE(FileList!$A$1:$A$1000,".tsv"),"")),0)),"notfound")</f>
        <v>notfound</v>
      </c>
      <c r="P98" s="4" t="s">
        <v>1095</v>
      </c>
      <c r="Q98" s="3"/>
      <c r="R98" s="4" t="s">
        <v>1141</v>
      </c>
      <c r="T98" s="4" t="s">
        <v>1142</v>
      </c>
      <c r="U98" s="4" t="s">
        <v>1143</v>
      </c>
      <c r="V98" s="4" t="s">
        <v>1099</v>
      </c>
      <c r="Y98" s="4" t="s">
        <v>1144</v>
      </c>
      <c r="Z98" s="3"/>
      <c r="AB98" s="4" t="s">
        <v>1145</v>
      </c>
      <c r="AG98" s="3"/>
      <c r="AI98" s="4" t="s">
        <v>1146</v>
      </c>
      <c r="AJ98" s="4" t="s">
        <v>1147</v>
      </c>
      <c r="AK98" s="4" t="s">
        <v>1105</v>
      </c>
      <c r="AL98" s="4" t="s">
        <v>1105</v>
      </c>
      <c r="AM98" s="4" t="s">
        <v>1148</v>
      </c>
    </row>
    <row r="99" spans="1:39" ht="15.75" customHeight="1" x14ac:dyDescent="0.2">
      <c r="A99" s="4" t="s">
        <v>863</v>
      </c>
      <c r="D99" s="4" t="s">
        <v>1216</v>
      </c>
      <c r="F99" t="s">
        <v>1217</v>
      </c>
      <c r="G99" t="s">
        <v>1218</v>
      </c>
      <c r="H99" t="s">
        <v>1219</v>
      </c>
      <c r="I99" t="s">
        <v>1220</v>
      </c>
      <c r="J99" t="s">
        <v>1221</v>
      </c>
      <c r="K99" t="s">
        <v>1222</v>
      </c>
      <c r="L99" t="s">
        <v>1223</v>
      </c>
      <c r="P99" s="4" t="s">
        <v>40</v>
      </c>
      <c r="R99" s="4" t="s">
        <v>1224</v>
      </c>
      <c r="T99" s="4" t="s">
        <v>1225</v>
      </c>
      <c r="U99" s="4" t="s">
        <v>1226</v>
      </c>
      <c r="V99" s="4" t="s">
        <v>41</v>
      </c>
      <c r="Y99" s="4" t="s">
        <v>1227</v>
      </c>
      <c r="AB99" s="4" t="s">
        <v>1228</v>
      </c>
      <c r="AI99" s="4" t="s">
        <v>1229</v>
      </c>
      <c r="AJ99" s="4" t="s">
        <v>117</v>
      </c>
      <c r="AK99" s="4" t="s">
        <v>140</v>
      </c>
      <c r="AL99" s="4" t="s">
        <v>140</v>
      </c>
      <c r="AM99" s="4" t="s">
        <v>1230</v>
      </c>
    </row>
    <row r="100" spans="1:39" ht="15.75" customHeight="1" x14ac:dyDescent="0.2">
      <c r="A100" s="3" t="s">
        <v>414</v>
      </c>
      <c r="D100" s="3" t="s">
        <v>118</v>
      </c>
      <c r="E100" s="1" t="str">
        <f>RIGHT(A100,1)</f>
        <v>4</v>
      </c>
      <c r="F100" s="1" t="str">
        <f>G100 &amp; IF(H100&lt;&gt;"", "_" &amp; H100, "_") &amp; IF(I100&lt;&gt;"", "_" &amp; I100, "_") &amp; IF(B100&lt;&gt;"", "_" &amp; B100, "")</f>
        <v>Isler_etal_2008</v>
      </c>
      <c r="G100" s="1" t="str">
        <f>SUBSTITUTE(SUBSTITUTE(_xlfn.TEXTBEFORE(A100,","), "-", ""), " ", "")</f>
        <v>Isler</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_xlfn.TEXTBEFORE(_xlfn.TEXTAFTER(A100, "("), ")")</f>
        <v>2008</v>
      </c>
      <c r="J100" s="1" t="str">
        <f>_xlfn.LET(
_xlpm.doi,IF(C100&lt;&gt;"",C100,_xlfn.TEXTAFTER(A100,"https://doi.org/")),
SUBSTITUTE(
SUBSTITUTE(
SUBSTITUTE(
SUBSTITUTE(
_xlpm.doi,
"/","%2F"),
":","%3A"),
"&lt;","%3C"),
"&gt;","%3E")
)</f>
        <v>10.1016%2Fj.jhevol.2008.08.004</v>
      </c>
      <c r="K100" s="1" t="str">
        <f>TRIM(_xlfn.TEXTJOIN("_",FALSE(),F100,(SUBSTITUTE(SUBSTITUTE(D100," ",""), "_", ""))))</f>
        <v>Isler_etal_2008_Table2</v>
      </c>
      <c r="L100" s="1" t="str">
        <f>J100 &amp; "_" &amp; SUBSTITUTE(SUBSTITUTE(SUBSTITUTE(D100,CHAR(160),"")," ",""),"_","")</f>
        <v>10.1016%2Fj.jhevol.2008.08.004_Table2</v>
      </c>
      <c r="M100" s="1" t="str">
        <f t="array" ref="M100">IFERROR(INDEX(FileList!$A$1:$A$1000,MATCH(TRUE(),EXACT(L100,IFERROR(_xlfn.TEXTBEFORE(FileList!$A$1:$A$1000,".tsv"),"")),0)),"notfound")</f>
        <v>10.1016%2Fj.jhevol.2008.08.004_Table2.tsv</v>
      </c>
      <c r="Q100" s="3" t="s">
        <v>131</v>
      </c>
      <c r="V100" s="3" t="s">
        <v>41</v>
      </c>
      <c r="AI100" s="3" t="s">
        <v>415</v>
      </c>
      <c r="AJ100" s="3" t="s">
        <v>117</v>
      </c>
      <c r="AL100" s="3" t="s">
        <v>140</v>
      </c>
      <c r="AM100" s="3" t="s">
        <v>416</v>
      </c>
    </row>
    <row r="101" spans="1:39" ht="15.75" customHeight="1" x14ac:dyDescent="0.2">
      <c r="A101" s="3" t="s">
        <v>414</v>
      </c>
      <c r="D101" s="3" t="s">
        <v>417</v>
      </c>
      <c r="E101" s="1" t="str">
        <f>RIGHT(A101,1)</f>
        <v>4</v>
      </c>
      <c r="F101" s="1" t="str">
        <f>G101 &amp; IF(H101&lt;&gt;"", "_" &amp; H101, "_") &amp; IF(I101&lt;&gt;"", "_" &amp; I101, "_") &amp; IF(B101&lt;&gt;"", "_" &amp; B101, "")</f>
        <v>Isler_etal_2008</v>
      </c>
      <c r="G101" s="1" t="str">
        <f>SUBSTITUTE(SUBSTITUTE(_xlfn.TEXTBEFORE(A101,","), "-", ""), " ", "")</f>
        <v>Isler</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_xlfn.TEXTBEFORE(_xlfn.TEXTAFTER(A101, "("), ")")</f>
        <v>2008</v>
      </c>
      <c r="J101" s="1" t="str">
        <f>_xlfn.LET(
_xlpm.doi,IF(C101&lt;&gt;"",C101,_xlfn.TEXTAFTER(A101,"https://doi.org/")),
SUBSTITUTE(
SUBSTITUTE(
SUBSTITUTE(
SUBSTITUTE(
_xlpm.doi,
"/","%2F"),
":","%3A"),
"&lt;","%3C"),
"&gt;","%3E")
)</f>
        <v>10.1016%2Fj.jhevol.2008.08.004</v>
      </c>
      <c r="K101" s="1" t="str">
        <f>TRIM(_xlfn.TEXTJOIN("_",FALSE(),F101,(SUBSTITUTE(SUBSTITUTE(D101," ",""), "_", ""))))</f>
        <v>Isler_etal_2008_Table7</v>
      </c>
      <c r="L101" s="1" t="str">
        <f>J101 &amp; "_" &amp; SUBSTITUTE(SUBSTITUTE(SUBSTITUTE(D101,CHAR(160),"")," ",""),"_","")</f>
        <v>10.1016%2Fj.jhevol.2008.08.004_Table7</v>
      </c>
      <c r="M101" s="1" t="str">
        <f t="array" ref="M101">IFERROR(INDEX(FileList!$A$1:$A$1000,MATCH(TRUE(),EXACT(L101,IFERROR(_xlfn.TEXTBEFORE(FileList!$A$1:$A$1000,".tsv"),"")),0)),"notfound")</f>
        <v>10.1016%2Fj.jhevol.2008.08.004_Table7.tsv</v>
      </c>
      <c r="Q101" s="3" t="s">
        <v>131</v>
      </c>
      <c r="V101" s="3" t="s">
        <v>41</v>
      </c>
      <c r="AI101" s="3" t="s">
        <v>415</v>
      </c>
      <c r="AJ101" s="3" t="s">
        <v>117</v>
      </c>
      <c r="AL101" s="3" t="s">
        <v>140</v>
      </c>
      <c r="AM101" s="3" t="s">
        <v>416</v>
      </c>
    </row>
    <row r="102" spans="1:39" ht="15.75" customHeight="1" x14ac:dyDescent="0.2">
      <c r="A102" s="3" t="s">
        <v>414</v>
      </c>
      <c r="D102" s="3" t="s">
        <v>197</v>
      </c>
      <c r="E102" s="1" t="str">
        <f>RIGHT(A102,1)</f>
        <v>4</v>
      </c>
      <c r="F102" s="1" t="str">
        <f>G102 &amp; IF(H102&lt;&gt;"", "_" &amp; H102, "_") &amp; IF(I102&lt;&gt;"", "_" &amp; I102, "_") &amp; IF(B102&lt;&gt;"", "_" &amp; B102, "")</f>
        <v>Isler_etal_2008</v>
      </c>
      <c r="G102" s="1" t="str">
        <f>SUBSTITUTE(SUBSTITUTE(_xlfn.TEXTBEFORE(A102,","), "-", ""), " ", "")</f>
        <v>Isler</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etal</v>
      </c>
      <c r="I102" s="1" t="str">
        <f>_xlfn.TEXTBEFORE(_xlfn.TEXTAFTER(A102, "("), ")")</f>
        <v>2008</v>
      </c>
      <c r="J102" s="1" t="str">
        <f>_xlfn.LET(
_xlpm.doi,IF(C102&lt;&gt;"",C102,_xlfn.TEXTAFTER(A102,"https://doi.org/")),
SUBSTITUTE(
SUBSTITUTE(
SUBSTITUTE(
SUBSTITUTE(
_xlpm.doi,
"/","%2F"),
":","%3A"),
"&lt;","%3C"),
"&gt;","%3E")
)</f>
        <v>10.1016%2Fj.jhevol.2008.08.004</v>
      </c>
      <c r="K102" s="1" t="str">
        <f>TRIM(_xlfn.TEXTJOIN("_",FALSE(),F102,(SUBSTITUTE(SUBSTITUTE(D102," ",""), "_", ""))))</f>
        <v>Isler_etal_2008_TableS1</v>
      </c>
      <c r="L102" s="1" t="str">
        <f>J102 &amp; "_" &amp; SUBSTITUTE(SUBSTITUTE(SUBSTITUTE(D102,CHAR(160),"")," ",""),"_","")</f>
        <v>10.1016%2Fj.jhevol.2008.08.004_TableS1</v>
      </c>
      <c r="M102" s="1" t="str">
        <f t="array" ref="M102">IFERROR(INDEX(FileList!$A$1:$A$1000,MATCH(TRUE(),EXACT(L102,IFERROR(_xlfn.TEXTBEFORE(FileList!$A$1:$A$1000,".tsv"),"")),0)),"notfound")</f>
        <v>10.1016%2Fj.jhevol.2008.08.004_TableS1.tsv</v>
      </c>
      <c r="Q102" s="3" t="s">
        <v>131</v>
      </c>
      <c r="V102" s="3" t="s">
        <v>41</v>
      </c>
      <c r="AI102" s="3" t="s">
        <v>415</v>
      </c>
      <c r="AJ102" s="3" t="s">
        <v>117</v>
      </c>
      <c r="AL102" s="3" t="s">
        <v>140</v>
      </c>
      <c r="AM102" s="3" t="s">
        <v>416</v>
      </c>
    </row>
    <row r="103" spans="1:39" ht="15.75" customHeight="1" x14ac:dyDescent="0.2">
      <c r="A103" s="3" t="s">
        <v>414</v>
      </c>
      <c r="D103" s="3" t="s">
        <v>340</v>
      </c>
      <c r="E103" s="1" t="str">
        <f>RIGHT(A103,1)</f>
        <v>4</v>
      </c>
      <c r="F103" s="1" t="str">
        <f>G103 &amp; IF(H103&lt;&gt;"", "_" &amp; H103, "_") &amp; IF(I103&lt;&gt;"", "_" &amp; I103, "_") &amp; IF(B103&lt;&gt;"", "_" &amp; B103, "")</f>
        <v>Isler_etal_2008</v>
      </c>
      <c r="G103" s="1" t="str">
        <f>SUBSTITUTE(SUBSTITUTE(_xlfn.TEXTBEFORE(A103,","), "-", ""), " ", "")</f>
        <v>Isler</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etal</v>
      </c>
      <c r="I103" s="1" t="str">
        <f>_xlfn.TEXTBEFORE(_xlfn.TEXTAFTER(A103, "("), ")")</f>
        <v>2008</v>
      </c>
      <c r="J103" s="1" t="str">
        <f>_xlfn.LET(
_xlpm.doi,IF(C103&lt;&gt;"",C103,_xlfn.TEXTAFTER(A103,"https://doi.org/")),
SUBSTITUTE(
SUBSTITUTE(
SUBSTITUTE(
SUBSTITUTE(
_xlpm.doi,
"/","%2F"),
":","%3A"),
"&lt;","%3C"),
"&gt;","%3E")
)</f>
        <v>10.1016%2Fj.jhevol.2008.08.004</v>
      </c>
      <c r="K103" s="1" t="str">
        <f>TRIM(_xlfn.TEXTJOIN("_",FALSE(),F103,(SUBSTITUTE(SUBSTITUTE(D103," ",""), "_", ""))))</f>
        <v>Isler_etal_2008_TableS2</v>
      </c>
      <c r="L103" s="1" t="str">
        <f>J103 &amp; "_" &amp; SUBSTITUTE(SUBSTITUTE(SUBSTITUTE(D103,CHAR(160),"")," ",""),"_","")</f>
        <v>10.1016%2Fj.jhevol.2008.08.004_TableS2</v>
      </c>
      <c r="M103" s="1" t="str">
        <f t="array" ref="M103">IFERROR(INDEX(FileList!$A$1:$A$1000,MATCH(TRUE(),EXACT(L103,IFERROR(_xlfn.TEXTBEFORE(FileList!$A$1:$A$1000,".tsv"),"")),0)),"notfound")</f>
        <v>10.1016%2Fj.jhevol.2008.08.004_TableS2.tsv</v>
      </c>
      <c r="Q103" s="3" t="s">
        <v>131</v>
      </c>
      <c r="V103" s="3" t="s">
        <v>41</v>
      </c>
      <c r="AI103" s="3" t="s">
        <v>415</v>
      </c>
      <c r="AJ103" s="3" t="s">
        <v>117</v>
      </c>
      <c r="AL103" s="3" t="s">
        <v>140</v>
      </c>
      <c r="AM103" s="3" t="s">
        <v>416</v>
      </c>
    </row>
    <row r="104" spans="1:39" ht="15.75" customHeight="1" x14ac:dyDescent="0.2">
      <c r="A104" s="3" t="s">
        <v>414</v>
      </c>
      <c r="D104" s="3" t="s">
        <v>418</v>
      </c>
      <c r="E104" s="1" t="str">
        <f>RIGHT(A104,1)</f>
        <v>4</v>
      </c>
      <c r="F104" s="1" t="str">
        <f>G104 &amp; IF(H104&lt;&gt;"", "_" &amp; H104, "_") &amp; IF(I104&lt;&gt;"", "_" &amp; I104, "_") &amp; IF(B104&lt;&gt;"", "_" &amp; B104, "")</f>
        <v>Isler_etal_2008</v>
      </c>
      <c r="G104" s="1" t="str">
        <f>SUBSTITUTE(SUBSTITUTE(_xlfn.TEXTBEFORE(A104,","), "-", ""), " ", "")</f>
        <v>Isler</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_xlfn.TEXTBEFORE(_xlfn.TEXTAFTER(A104, "("), ")")</f>
        <v>2008</v>
      </c>
      <c r="J104" s="1" t="str">
        <f>_xlfn.LET(
_xlpm.doi,IF(C104&lt;&gt;"",C104,_xlfn.TEXTAFTER(A104,"https://doi.org/")),
SUBSTITUTE(
SUBSTITUTE(
SUBSTITUTE(
SUBSTITUTE(
_xlpm.doi,
"/","%2F"),
":","%3A"),
"&lt;","%3C"),
"&gt;","%3E")
)</f>
        <v>10.1016%2Fj.jhevol.2008.08.004</v>
      </c>
      <c r="K104" s="1" t="str">
        <f>TRIM(_xlfn.TEXTJOIN("_",FALSE(),F104,(SUBSTITUTE(SUBSTITUTE(D104," ",""), "_", ""))))</f>
        <v>Isler_etal_2008_TableS3</v>
      </c>
      <c r="L104" s="1" t="str">
        <f>J104 &amp; "_" &amp; SUBSTITUTE(SUBSTITUTE(SUBSTITUTE(D104,CHAR(160),"")," ",""),"_","")</f>
        <v>10.1016%2Fj.jhevol.2008.08.004_TableS3</v>
      </c>
      <c r="M104" s="1" t="str">
        <f t="array" ref="M104">IFERROR(INDEX(FileList!$A$1:$A$1000,MATCH(TRUE(),EXACT(L104,IFERROR(_xlfn.TEXTBEFORE(FileList!$A$1:$A$1000,".tsv"),"")),0)),"notfound")</f>
        <v>10.1016%2Fj.jhevol.2008.08.004_TableS3.tsv</v>
      </c>
      <c r="Q104" s="3" t="s">
        <v>131</v>
      </c>
      <c r="V104" s="3" t="s">
        <v>41</v>
      </c>
      <c r="AI104" s="3" t="s">
        <v>415</v>
      </c>
      <c r="AJ104" s="3" t="s">
        <v>117</v>
      </c>
      <c r="AL104" s="3" t="s">
        <v>140</v>
      </c>
      <c r="AM104" s="3" t="s">
        <v>416</v>
      </c>
    </row>
    <row r="105" spans="1:39" ht="15.75" customHeight="1" x14ac:dyDescent="0.2">
      <c r="A105" s="3" t="s">
        <v>414</v>
      </c>
      <c r="D105" s="3" t="s">
        <v>419</v>
      </c>
      <c r="E105" s="1" t="str">
        <f>RIGHT(A105,1)</f>
        <v>4</v>
      </c>
      <c r="F105" s="1" t="str">
        <f>G105 &amp; IF(H105&lt;&gt;"", "_" &amp; H105, "_") &amp; IF(I105&lt;&gt;"", "_" &amp; I105, "_") &amp; IF(B105&lt;&gt;"", "_" &amp; B105, "")</f>
        <v>Isler_etal_2008</v>
      </c>
      <c r="G105" s="1" t="str">
        <f>SUBSTITUTE(SUBSTITUTE(_xlfn.TEXTBEFORE(A105,","), "-", ""), " ", "")</f>
        <v>Isler</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_xlfn.TEXTBEFORE(_xlfn.TEXTAFTER(A105, "("), ")")</f>
        <v>2008</v>
      </c>
      <c r="J105" s="1" t="str">
        <f>_xlfn.LET(
_xlpm.doi,IF(C105&lt;&gt;"",C105,_xlfn.TEXTAFTER(A105,"https://doi.org/")),
SUBSTITUTE(
SUBSTITUTE(
SUBSTITUTE(
SUBSTITUTE(
_xlpm.doi,
"/","%2F"),
":","%3A"),
"&lt;","%3C"),
"&gt;","%3E")
)</f>
        <v>10.1016%2Fj.jhevol.2008.08.004</v>
      </c>
      <c r="K105" s="1" t="str">
        <f>TRIM(_xlfn.TEXTJOIN("_",FALSE(),F105,(SUBSTITUTE(SUBSTITUTE(D105," ",""), "_", ""))))</f>
        <v>Isler_etal_2008_Tree.nex</v>
      </c>
      <c r="L105" s="1" t="str">
        <f>J105 &amp; "_" &amp; SUBSTITUTE(SUBSTITUTE(SUBSTITUTE(D105,CHAR(160),"")," ",""),"_","")</f>
        <v>10.1016%2Fj.jhevol.2008.08.004_Tree.nex</v>
      </c>
      <c r="M105" s="1" t="str">
        <f t="array" ref="M105">IFERROR(INDEX(FileList!$A$1:$A$1000,MATCH(TRUE(),EXACT(L105,IFERROR(_xlfn.TEXTBEFORE(FileList!$A$1:$A$1000,".tsv"),"")),0)),"notfound")</f>
        <v>notfound</v>
      </c>
      <c r="Q105" s="3" t="s">
        <v>131</v>
      </c>
      <c r="V105" s="3" t="s">
        <v>420</v>
      </c>
      <c r="AI105" s="3" t="s">
        <v>421</v>
      </c>
      <c r="AJ105" s="3" t="s">
        <v>117</v>
      </c>
      <c r="AL105" s="3" t="s">
        <v>140</v>
      </c>
      <c r="AM105" s="3" t="s">
        <v>422</v>
      </c>
    </row>
    <row r="106" spans="1:39" ht="15.75" customHeight="1" x14ac:dyDescent="0.2">
      <c r="A106" s="3" t="s">
        <v>423</v>
      </c>
      <c r="D106" s="3" t="s">
        <v>76</v>
      </c>
      <c r="E106" s="1" t="str">
        <f>RIGHT(A106,1)</f>
        <v>9</v>
      </c>
      <c r="F106" s="1" t="str">
        <f>G106 &amp; IF(H106&lt;&gt;"", "_" &amp; H106, "_") &amp; IF(I106&lt;&gt;"", "_" &amp; I106, "_") &amp; IF(B106&lt;&gt;"", "_" &amp; B106, "")</f>
        <v>Iwaniuk_etal_2001</v>
      </c>
      <c r="G106" s="1" t="str">
        <f>SUBSTITUTE(SUBSTITUTE(_xlfn.TEXTBEFORE(A106,","), "-", ""), " ", "")</f>
        <v>Iwaniuk</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_xlfn.TEXTBEFORE(_xlfn.TEXTAFTER(A106, "("), ")")</f>
        <v>2001</v>
      </c>
      <c r="J106" s="1" t="str">
        <f>_xlfn.LET(
_xlpm.doi,IF(C106&lt;&gt;"",C106,_xlfn.TEXTAFTER(A106,"https://doi.org/")),
SUBSTITUTE(
SUBSTITUTE(
SUBSTITUTE(
SUBSTITUTE(
_xlpm.doi,
"/","%2F"),
":","%3A"),
"&lt;","%3C"),
"&gt;","%3E")
)</f>
        <v>10.1037%2F0735-7036.115.1.29</v>
      </c>
      <c r="K106" s="1" t="str">
        <f>TRIM(_xlfn.TEXTJOIN("_",FALSE(),F106,(SUBSTITUTE(SUBSTITUTE(D106," ",""), "_", ""))))</f>
        <v>Iwaniuk_etal_2001_Table1</v>
      </c>
      <c r="L106" s="1" t="str">
        <f>J106 &amp; "_" &amp; SUBSTITUTE(SUBSTITUTE(SUBSTITUTE(D106,CHAR(160),"")," ",""),"_","")</f>
        <v>10.1037%2F0735-7036.115.1.29_Table1</v>
      </c>
      <c r="M106" s="1" t="str">
        <f t="array" ref="M106">IFERROR(INDEX(FileList!$A$1:$A$1000,MATCH(TRUE(),EXACT(L106,IFERROR(_xlfn.TEXTBEFORE(FileList!$A$1:$A$1000,".tsv"),"")),0)),"notfound")</f>
        <v>10.1037%2F0735-7036.115.1.29_Table1.tsv</v>
      </c>
      <c r="N106" s="3" t="s">
        <v>424</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spans="1:39" ht="15.75" customHeight="1" x14ac:dyDescent="0.2">
      <c r="A107" s="3" t="s">
        <v>423</v>
      </c>
      <c r="D107" s="3" t="s">
        <v>118</v>
      </c>
      <c r="E107" s="1" t="str">
        <f>RIGHT(A107,1)</f>
        <v>9</v>
      </c>
      <c r="F107" s="1" t="str">
        <f>G107 &amp; IF(H107&lt;&gt;"", "_" &amp; H107, "_") &amp; IF(I107&lt;&gt;"", "_" &amp; I107, "_") &amp; IF(B107&lt;&gt;"", "_" &amp; B107, "")</f>
        <v>Iwaniuk_etal_2001</v>
      </c>
      <c r="G107" s="1" t="str">
        <f>SUBSTITUTE(SUBSTITUTE(_xlfn.TEXTBEFORE(A107,","), "-", ""), " ", "")</f>
        <v>Iwaniuk</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_xlfn.TEXTBEFORE(_xlfn.TEXTAFTER(A107, "("), ")")</f>
        <v>2001</v>
      </c>
      <c r="J107" s="1" t="str">
        <f>_xlfn.LET(
_xlpm.doi,IF(C107&lt;&gt;"",C107,_xlfn.TEXTAFTER(A107,"https://doi.org/")),
SUBSTITUTE(
SUBSTITUTE(
SUBSTITUTE(
SUBSTITUTE(
_xlpm.doi,
"/","%2F"),
":","%3A"),
"&lt;","%3C"),
"&gt;","%3E")
)</f>
        <v>10.1037%2F0735-7036.115.1.29</v>
      </c>
      <c r="K107" s="1" t="str">
        <f>TRIM(_xlfn.TEXTJOIN("_",FALSE(),F107,(SUBSTITUTE(SUBSTITUTE(D107," ",""), "_", ""))))</f>
        <v>Iwaniuk_etal_2001_Table2</v>
      </c>
      <c r="L107" s="1" t="str">
        <f>J107 &amp; "_" &amp; SUBSTITUTE(SUBSTITUTE(SUBSTITUTE(D107,CHAR(160),"")," ",""),"_","")</f>
        <v>10.1037%2F0735-7036.115.1.29_Table2</v>
      </c>
      <c r="M107" s="1" t="str">
        <f t="array" ref="M107">IFERROR(INDEX(FileList!$A$1:$A$1000,MATCH(TRUE(),EXACT(L107,IFERROR(_xlfn.TEXTBEFORE(FileList!$A$1:$A$1000,".tsv"),"")),0)),"notfound")</f>
        <v>10.1037%2F0735-7036.115.1.29_Table2.tsv</v>
      </c>
      <c r="N107" s="3" t="s">
        <v>429</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x14ac:dyDescent="0.2">
      <c r="A108" s="3" t="s">
        <v>423</v>
      </c>
      <c r="D108" s="3" t="s">
        <v>67</v>
      </c>
      <c r="E108" s="1" t="str">
        <f>RIGHT(A108,1)</f>
        <v>9</v>
      </c>
      <c r="F108" s="1" t="str">
        <f>G108 &amp; IF(H108&lt;&gt;"", "_" &amp; H108, "_") &amp; IF(I108&lt;&gt;"", "_" &amp; I108, "_") &amp; IF(B108&lt;&gt;"", "_" &amp; B108, "")</f>
        <v>Iwaniuk_etal_2001</v>
      </c>
      <c r="G108" s="1" t="str">
        <f>SUBSTITUTE(SUBSTITUTE(_xlfn.TEXTBEFORE(A108,","), "-", ""), " ", "")</f>
        <v>Iwaniuk</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_xlfn.TEXTBEFORE(_xlfn.TEXTAFTER(A108, "("), ")")</f>
        <v>2001</v>
      </c>
      <c r="J108" s="1" t="str">
        <f>_xlfn.LET(
_xlpm.doi,IF(C108&lt;&gt;"",C108,_xlfn.TEXTAFTER(A108,"https://doi.org/")),
SUBSTITUTE(
SUBSTITUTE(
SUBSTITUTE(
SUBSTITUTE(
_xlpm.doi,
"/","%2F"),
":","%3A"),
"&lt;","%3C"),
"&gt;","%3E")
)</f>
        <v>10.1037%2F0735-7036.115.1.29</v>
      </c>
      <c r="K108" s="1" t="str">
        <f>TRIM(_xlfn.TEXTJOIN("_",FALSE(),F108,(SUBSTITUTE(SUBSTITUTE(D108," ",""), "_", ""))))</f>
        <v>Iwaniuk_etal_2001_Table3</v>
      </c>
      <c r="L108" s="1" t="str">
        <f>J108 &amp; "_" &amp; SUBSTITUTE(SUBSTITUTE(SUBSTITUTE(D108,CHAR(160),"")," ",""),"_","")</f>
        <v>10.1037%2F0735-7036.115.1.29_Table3</v>
      </c>
      <c r="M108" s="1" t="str">
        <f t="array" ref="M108">IFERROR(INDEX(FileList!$A$1:$A$1000,MATCH(TRUE(),EXACT(L108,IFERROR(_xlfn.TEXTBEFORE(FileList!$A$1:$A$1000,".tsv"),"")),0)),"notfound")</f>
        <v>10.1037%2F0735-7036.115.1.29_Table3.tsv</v>
      </c>
      <c r="N108" s="3" t="s">
        <v>430</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x14ac:dyDescent="0.2">
      <c r="A109" s="3" t="s">
        <v>423</v>
      </c>
      <c r="D109" s="3" t="s">
        <v>39</v>
      </c>
      <c r="E109" s="1" t="str">
        <f>RIGHT(A109,1)</f>
        <v>9</v>
      </c>
      <c r="F109" s="1" t="str">
        <f>G109 &amp; IF(H109&lt;&gt;"", "_" &amp; H109, "_") &amp; IF(I109&lt;&gt;"", "_" &amp; I109, "_") &amp; IF(B109&lt;&gt;"", "_" &amp; B109, "")</f>
        <v>Iwaniuk_etal_2001</v>
      </c>
      <c r="G109" s="1" t="str">
        <f>SUBSTITUTE(SUBSTITUTE(_xlfn.TEXTBEFORE(A109,","), "-", ""), " ", "")</f>
        <v>Iwaniuk</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_xlfn.TEXTBEFORE(_xlfn.TEXTAFTER(A109, "("), ")")</f>
        <v>2001</v>
      </c>
      <c r="J109" s="1" t="str">
        <f>_xlfn.LET(
_xlpm.doi,IF(C109&lt;&gt;"",C109,_xlfn.TEXTAFTER(A109,"https://doi.org/")),
SUBSTITUTE(
SUBSTITUTE(
SUBSTITUTE(
SUBSTITUTE(
_xlpm.doi,
"/","%2F"),
":","%3A"),
"&lt;","%3C"),
"&gt;","%3E")
)</f>
        <v>10.1037%2F0735-7036.115.1.29</v>
      </c>
      <c r="K109" s="1" t="str">
        <f>TRIM(_xlfn.TEXTJOIN("_",FALSE(),F109,(SUBSTITUTE(SUBSTITUTE(D109," ",""), "_", ""))))</f>
        <v>Iwaniuk_etal_2001_Table4</v>
      </c>
      <c r="L109" s="1" t="str">
        <f>J109 &amp; "_" &amp; SUBSTITUTE(SUBSTITUTE(SUBSTITUTE(D109,CHAR(160),"")," ",""),"_","")</f>
        <v>10.1037%2F0735-7036.115.1.29_Table4</v>
      </c>
      <c r="M109" s="1" t="str">
        <f t="array" ref="M109">IFERROR(INDEX(FileList!$A$1:$A$1000,MATCH(TRUE(),EXACT(L109,IFERROR(_xlfn.TEXTBEFORE(FileList!$A$1:$A$1000,".tsv"),"")),0)),"notfound")</f>
        <v>10.1037%2F0735-7036.115.1.29_Table4.tsv</v>
      </c>
      <c r="N109" s="3" t="s">
        <v>431</v>
      </c>
      <c r="P109" s="3" t="s">
        <v>425</v>
      </c>
      <c r="Q109" s="3" t="s">
        <v>201</v>
      </c>
      <c r="T109" s="3" t="str">
        <f>IF(S109="N", R109, "write file name")</f>
        <v>write file name</v>
      </c>
      <c r="U109" s="3" t="s">
        <v>54</v>
      </c>
      <c r="V109" s="3" t="s">
        <v>41</v>
      </c>
      <c r="AH109" s="3" t="s">
        <v>426</v>
      </c>
      <c r="AI109" s="3" t="s">
        <v>427</v>
      </c>
      <c r="AJ109" s="3" t="s">
        <v>139</v>
      </c>
      <c r="AL109" s="3" t="s">
        <v>140</v>
      </c>
      <c r="AM109" s="3" t="s">
        <v>428</v>
      </c>
    </row>
    <row r="110" spans="1:39" ht="15.75" customHeight="1" x14ac:dyDescent="0.2">
      <c r="A110" s="3" t="s">
        <v>432</v>
      </c>
      <c r="D110" s="3" t="s">
        <v>433</v>
      </c>
      <c r="E110" s="1" t="str">
        <f>RIGHT(A110,1)</f>
        <v>x</v>
      </c>
      <c r="F110" s="1" t="str">
        <f>G110 &amp; IF(H110&lt;&gt;"", "_" &amp; H110, "_") &amp; IF(I110&lt;&gt;"", "_" &amp; I110, "_") &amp; IF(B110&lt;&gt;"", "_" &amp; B110, "")</f>
        <v>Iwaniuk_etal_1999</v>
      </c>
      <c r="G110" s="1" t="str">
        <f>SUBSTITUTE(SUBSTITUTE(_xlfn.TEXTBEFORE(A110,","), "-", ""), " ", "")</f>
        <v>Iwaniuk</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_xlfn.TEXTBEFORE(_xlfn.TEXTAFTER(A110, "("), ")")</f>
        <v>1999</v>
      </c>
      <c r="J110" s="1" t="str">
        <f>_xlfn.LET(
_xlpm.doi,IF(C110&lt;&gt;"",C110,_xlfn.TEXTAFTER(A110,"https://doi.org/")),
SUBSTITUTE(
SUBSTITUTE(
SUBSTITUTE(
SUBSTITUTE(
_xlpm.doi,
"/","%2F"),
":","%3A"),
"&lt;","%3C"),
"&gt;","%3E")
)</f>
        <v>10.1016%2Fs0166-4328(98)00151-x</v>
      </c>
      <c r="K110" s="1" t="str">
        <f>TRIM(_xlfn.TEXTJOIN("_",FALSE(),F110,(SUBSTITUTE(SUBSTITUTE(D110," ",""), "_", ""))))</f>
        <v>Iwaniuk_etal_1999_References</v>
      </c>
      <c r="L110" s="1" t="str">
        <f>J110 &amp; "_" &amp; SUBSTITUTE(SUBSTITUTE(SUBSTITUTE(D110,CHAR(160),"")," ",""),"_","")</f>
        <v>10.1016%2Fs0166-4328(98)00151-x_References</v>
      </c>
      <c r="M110" s="1" t="str">
        <f t="array" ref="M110">IFERROR(INDEX(FileList!$A$1:$A$1000,MATCH(TRUE(),EXACT(L110,IFERROR(_xlfn.TEXTBEFORE(FileList!$A$1:$A$1000,".tsv"),"")),0)),"notfound")</f>
        <v>notfound</v>
      </c>
      <c r="N110" s="3" t="s">
        <v>433</v>
      </c>
      <c r="P110" s="3" t="s">
        <v>334</v>
      </c>
      <c r="V110" s="3" t="s">
        <v>434</v>
      </c>
      <c r="W110" s="3" t="s">
        <v>205</v>
      </c>
      <c r="AI110" s="3" t="s">
        <v>435</v>
      </c>
      <c r="AJ110" s="3" t="s">
        <v>139</v>
      </c>
      <c r="AL110" s="3" t="s">
        <v>140</v>
      </c>
      <c r="AM110" s="3" t="s">
        <v>436</v>
      </c>
    </row>
    <row r="111" spans="1:39" ht="15.75" customHeight="1" x14ac:dyDescent="0.2">
      <c r="A111" s="3" t="s">
        <v>432</v>
      </c>
      <c r="D111" s="3" t="s">
        <v>76</v>
      </c>
      <c r="E111" s="1" t="str">
        <f>RIGHT(A111,1)</f>
        <v>x</v>
      </c>
      <c r="F111" s="1" t="str">
        <f>G111 &amp; IF(H111&lt;&gt;"", "_" &amp; H111, "_") &amp; IF(I111&lt;&gt;"", "_" &amp; I111, "_") &amp; IF(B111&lt;&gt;"", "_" &amp; B111, "")</f>
        <v>Iwaniuk_etal_1999</v>
      </c>
      <c r="G111" s="1" t="str">
        <f>SUBSTITUTE(SUBSTITUTE(_xlfn.TEXTBEFORE(A111,","), "-", ""), " ", "")</f>
        <v>Iwaniuk</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_xlfn.TEXTBEFORE(_xlfn.TEXTAFTER(A111, "("), ")")</f>
        <v>1999</v>
      </c>
      <c r="J111" s="1" t="str">
        <f>_xlfn.LET(
_xlpm.doi,IF(C111&lt;&gt;"",C111,_xlfn.TEXTAFTER(A111,"https://doi.org/")),
SUBSTITUTE(
SUBSTITUTE(
SUBSTITUTE(
SUBSTITUTE(
_xlpm.doi,
"/","%2F"),
":","%3A"),
"&lt;","%3C"),
"&gt;","%3E")
)</f>
        <v>10.1016%2Fs0166-4328(98)00151-x</v>
      </c>
      <c r="K111" s="1" t="str">
        <f>TRIM(_xlfn.TEXTJOIN("_",FALSE(),F111,(SUBSTITUTE(SUBSTITUTE(D111," ",""), "_", ""))))</f>
        <v>Iwaniuk_etal_1999_Table1</v>
      </c>
      <c r="L111" s="1" t="str">
        <f>J111 &amp; "_" &amp; SUBSTITUTE(SUBSTITUTE(SUBSTITUTE(D111,CHAR(160),"")," ",""),"_","")</f>
        <v>10.1016%2Fs0166-4328(98)00151-x_Table1</v>
      </c>
      <c r="M111" s="1" t="str">
        <f t="array" ref="M111">IFERROR(INDEX(FileList!$A$1:$A$1000,MATCH(TRUE(),EXACT(L111,IFERROR(_xlfn.TEXTBEFORE(FileList!$A$1:$A$1000,".tsv"),"")),0)),"notfound")</f>
        <v>10.1016%2Fs0166-4328(98)00151-x_Table1.tsv</v>
      </c>
      <c r="N111" s="3" t="s">
        <v>437</v>
      </c>
      <c r="P111" s="3" t="s">
        <v>334</v>
      </c>
      <c r="V111" s="3" t="s">
        <v>41</v>
      </c>
      <c r="W111" s="3" t="s">
        <v>205</v>
      </c>
      <c r="AI111" s="3" t="s">
        <v>435</v>
      </c>
      <c r="AJ111" s="3" t="s">
        <v>139</v>
      </c>
      <c r="AL111" s="3" t="s">
        <v>140</v>
      </c>
      <c r="AM111" s="3" t="s">
        <v>436</v>
      </c>
    </row>
    <row r="112" spans="1:39" ht="15.75" customHeight="1" x14ac:dyDescent="0.2">
      <c r="A112" s="4" t="s">
        <v>855</v>
      </c>
      <c r="D112" s="4" t="s">
        <v>1149</v>
      </c>
      <c r="E112" s="1" t="str">
        <f>RIGHT(A112,1)</f>
        <v>9</v>
      </c>
      <c r="F112" s="1" t="str">
        <f>G112 &amp; IF(H112&lt;&gt;"", "_" &amp; H112, "_") &amp; IF(I112&lt;&gt;"", "_" &amp; I112, "_") &amp; IF(B112&lt;&gt;"", "_" &amp; B112, "")</f>
        <v>Jacobs_etal_2018</v>
      </c>
      <c r="G112" s="1" t="str">
        <f>SUBSTITUTE(SUBSTITUTE(_xlfn.TEXTBEFORE(A112,","), "-", ""), " ", "")</f>
        <v>Jacobs</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_xlfn.TEXTBEFORE(_xlfn.TEXTAFTER(A112, "("), ")")</f>
        <v>2018</v>
      </c>
      <c r="J112" s="1" t="str">
        <f>_xlfn.LET(
_xlpm.doi,IF(C112&lt;&gt;"",C112,_xlfn.TEXTAFTER(A112,"https://doi.org/")),
SUBSTITUTE(
SUBSTITUTE(
SUBSTITUTE(
SUBSTITUTE(
_xlpm.doi,
"/","%2F"),
":","%3A"),
"&lt;","%3C"),
"&gt;","%3E")
)</f>
        <v>10.1002%2Fcne.24349</v>
      </c>
      <c r="K112" s="1" t="str">
        <f>TRIM(_xlfn.TEXTJOIN("_",FALSE(),F112,(SUBSTITUTE(SUBSTITUTE(D112," ",""), "_", ""))))</f>
        <v>Jacobs_etal_2018_xml:space="preserve"&gt;Table3</v>
      </c>
      <c r="L112" s="1" t="str">
        <f>J112 &amp; "_" &amp; SUBSTITUTE(SUBSTITUTE(SUBSTITUTE(D112,CHAR(160),"")," ",""),"_","")</f>
        <v>10.1002%2Fcne.24349_xml:space="preserve"&gt;Table3</v>
      </c>
      <c r="M112" s="1" t="str">
        <f t="array" ref="M112">IFERROR(INDEX(FileList!$A$1:$A$1000,MATCH(TRUE(),EXACT(L112,IFERROR(_xlfn.TEXTBEFORE(FileList!$A$1:$A$1000,".tsv"),"")),0)),"notfound")</f>
        <v>notfound</v>
      </c>
      <c r="P112" s="4" t="s">
        <v>1095</v>
      </c>
      <c r="R112" s="4" t="s">
        <v>1150</v>
      </c>
      <c r="T112" s="4" t="s">
        <v>1151</v>
      </c>
      <c r="U112" s="4" t="s">
        <v>1143</v>
      </c>
      <c r="V112" s="4" t="s">
        <v>1099</v>
      </c>
      <c r="Y112" s="4" t="s">
        <v>1152</v>
      </c>
      <c r="AB112" s="4" t="s">
        <v>1153</v>
      </c>
      <c r="AI112" s="4" t="s">
        <v>1154</v>
      </c>
      <c r="AJ112" s="4" t="s">
        <v>1155</v>
      </c>
      <c r="AK112" s="4" t="s">
        <v>1156</v>
      </c>
      <c r="AL112" s="4" t="s">
        <v>1156</v>
      </c>
      <c r="AM112" s="4" t="s">
        <v>1157</v>
      </c>
    </row>
    <row r="113" spans="1:39" ht="15.75" customHeight="1" x14ac:dyDescent="0.2">
      <c r="A113" s="4" t="s">
        <v>855</v>
      </c>
      <c r="D113" s="4" t="s">
        <v>69</v>
      </c>
      <c r="F113" t="s">
        <v>1231</v>
      </c>
      <c r="G113" t="s">
        <v>1232</v>
      </c>
      <c r="H113" t="s">
        <v>1219</v>
      </c>
      <c r="I113" t="s">
        <v>1233</v>
      </c>
      <c r="J113" t="s">
        <v>1234</v>
      </c>
      <c r="K113" t="s">
        <v>1235</v>
      </c>
      <c r="L113" t="s">
        <v>1236</v>
      </c>
      <c r="P113" s="4" t="s">
        <v>40</v>
      </c>
      <c r="R113" s="4" t="s">
        <v>1237</v>
      </c>
      <c r="T113" s="4" t="s">
        <v>1238</v>
      </c>
      <c r="U113" s="4" t="s">
        <v>54</v>
      </c>
      <c r="V113" s="4" t="s">
        <v>41</v>
      </c>
      <c r="Y113" s="4" t="s">
        <v>1239</v>
      </c>
      <c r="AB113" s="4" t="s">
        <v>1240</v>
      </c>
      <c r="AI113" s="4" t="s">
        <v>1241</v>
      </c>
      <c r="AJ113" s="4" t="s">
        <v>1242</v>
      </c>
      <c r="AK113" s="4" t="s">
        <v>62</v>
      </c>
      <c r="AL113" s="4" t="s">
        <v>62</v>
      </c>
      <c r="AM113" s="4" t="s">
        <v>1243</v>
      </c>
    </row>
    <row r="114" spans="1:39" ht="15.75" customHeight="1" x14ac:dyDescent="0.2">
      <c r="A114" s="4" t="s">
        <v>850</v>
      </c>
      <c r="E114" s="1" t="str">
        <f>RIGHT(A114,1)</f>
        <v>9</v>
      </c>
      <c r="F114" s="1" t="str">
        <f>G114 &amp; IF(H114&lt;&gt;"", "_" &amp; H114, "_") &amp; IF(I114&lt;&gt;"", "_" &amp; I114, "_") &amp; IF(B114&lt;&gt;"", "_" &amp; B114, "")</f>
        <v>Jacobs_etal_2015</v>
      </c>
      <c r="G114" s="1" t="str">
        <f>SUBSTITUTE(SUBSTITUTE(_xlfn.TEXTBEFORE(A114,","), "-", ""), " ", "")</f>
        <v>Jacobs</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_xlfn.TEXTBEFORE(_xlfn.TEXTAFTER(A114, "("), ")")</f>
        <v>2015</v>
      </c>
      <c r="J114" s="1" t="str">
        <f>_xlfn.LET(
_xlpm.doi,IF(C114&lt;&gt;"",C114,_xlfn.TEXTAFTER(A114,"https://doi.org/")),
SUBSTITUTE(
SUBSTITUTE(
SUBSTITUTE(
SUBSTITUTE(
_xlpm.doi,
"/","%2F"),
":","%3A"),
"&lt;","%3C"),
"&gt;","%3E")
)</f>
        <v>10.1007%2Fs00429-014-0830-9</v>
      </c>
      <c r="K114" s="1" t="str">
        <f>TRIM(_xlfn.TEXTJOIN("_",FALSE(),F114,(SUBSTITUTE(SUBSTITUTE(D114," ",""), "_", ""))))</f>
        <v>Jacobs_etal_2015_</v>
      </c>
      <c r="L114" s="1" t="str">
        <f>J114 &amp; "_" &amp; SUBSTITUTE(SUBSTITUTE(SUBSTITUTE(D114,CHAR(160),"")," ",""),"_","")</f>
        <v>10.1007%2Fs00429-014-0830-9_</v>
      </c>
      <c r="M114" s="1" t="str">
        <f t="array" ref="M114">IFERROR(INDEX(FileList!$A$1:$A$1000,MATCH(TRUE(),EXACT(L114,IFERROR(_xlfn.TEXTBEFORE(FileList!$A$1:$A$1000,".tsv"),"")),0)),"notfound")</f>
        <v>notfound</v>
      </c>
    </row>
    <row r="115" spans="1:39" ht="15.75" customHeight="1" x14ac:dyDescent="0.2">
      <c r="A115" s="3" t="s">
        <v>438</v>
      </c>
      <c r="D115" s="3" t="s">
        <v>76</v>
      </c>
      <c r="E115" s="1" t="str">
        <f>RIGHT(A115,1)</f>
        <v>8</v>
      </c>
      <c r="F115" s="1" t="str">
        <f>G115 &amp; IF(H115&lt;&gt;"", "_" &amp; H115, "_") &amp; IF(I115&lt;&gt;"", "_" &amp; I115, "_") &amp; IF(B115&lt;&gt;"", "_" &amp; B115, "")</f>
        <v>JardimMesseder_etal_2017</v>
      </c>
      <c r="G115" s="1" t="str">
        <f>SUBSTITUTE(SUBSTITUTE(_xlfn.TEXTBEFORE(A115,","), "-", ""), " ", "")</f>
        <v>JardimMesseder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_xlfn.TEXTBEFORE(_xlfn.TEXTAFTER(A115, "("), ")")</f>
        <v>2017</v>
      </c>
      <c r="J115" s="1" t="str">
        <f>_xlfn.LET(
_xlpm.doi,IF(C115&lt;&gt;"",C115,_xlfn.TEXTAFTER(A115,"https://doi.org/")),
SUBSTITUTE(
SUBSTITUTE(
SUBSTITUTE(
SUBSTITUTE(
_xlpm.doi,
"/","%2F"),
":","%3A"),
"&lt;","%3C"),
"&gt;","%3E")
)</f>
        <v>10.3389%2Ffnana.2017.00118</v>
      </c>
      <c r="K115" s="1" t="str">
        <f>TRIM(_xlfn.TEXTJOIN("_",FALSE(),F115,(SUBSTITUTE(SUBSTITUTE(D115," ",""), "_", ""))))</f>
        <v>JardimMesseder_etal_2017_Table1</v>
      </c>
      <c r="L115" s="1" t="str">
        <f>J115 &amp; "_" &amp; SUBSTITUTE(SUBSTITUTE(SUBSTITUTE(D115,CHAR(160),"")," ",""),"_","")</f>
        <v>10.3389%2Ffnana.2017.00118_Table1</v>
      </c>
      <c r="M115" s="1" t="str">
        <f t="array" ref="M115">IFERROR(INDEX(FileList!$A$1:$A$1000,MATCH(TRUE(),EXACT(L115,IFERROR(_xlfn.TEXTBEFORE(FileList!$A$1:$A$1000,".tsv"),"")),0)),"notfound")</f>
        <v>10.3389%2Ffnana.2017.00118_Table1.tsv</v>
      </c>
      <c r="N115" s="3" t="s">
        <v>439</v>
      </c>
      <c r="P115" s="3" t="s">
        <v>40</v>
      </c>
      <c r="Q115" s="3" t="s">
        <v>50</v>
      </c>
      <c r="R115" s="3" t="s">
        <v>440</v>
      </c>
      <c r="S115" s="3" t="s">
        <v>52</v>
      </c>
      <c r="T115" s="3" t="s">
        <v>441</v>
      </c>
      <c r="U115" s="3" t="s">
        <v>54</v>
      </c>
      <c r="V115" s="3" t="s">
        <v>41</v>
      </c>
      <c r="W115" s="3" t="s">
        <v>190</v>
      </c>
      <c r="X115" s="3" t="s">
        <v>442</v>
      </c>
      <c r="Y115" s="3" t="s">
        <v>57</v>
      </c>
      <c r="Z115" s="3" t="s">
        <v>57</v>
      </c>
      <c r="AG115" s="3" t="s">
        <v>58</v>
      </c>
      <c r="AH115" s="3" t="s">
        <v>443</v>
      </c>
      <c r="AI115" s="3" t="s">
        <v>278</v>
      </c>
      <c r="AJ115" s="3" t="s">
        <v>444</v>
      </c>
      <c r="AK115" s="3" t="s">
        <v>62</v>
      </c>
      <c r="AL115" s="3" t="s">
        <v>62</v>
      </c>
      <c r="AM115" s="3" t="s">
        <v>63</v>
      </c>
    </row>
    <row r="116" spans="1:39" ht="15.75" customHeight="1" x14ac:dyDescent="0.2">
      <c r="A116" s="3" t="s">
        <v>445</v>
      </c>
      <c r="D116" s="3" t="s">
        <v>118</v>
      </c>
      <c r="E116" s="1" t="str">
        <f>RIGHT(A116,1)</f>
        <v>4</v>
      </c>
      <c r="F116" s="1" t="str">
        <f>G116 &amp; IF(H116&lt;&gt;"", "_" &amp; H116, "_") &amp; IF(I116&lt;&gt;"", "_" &amp; I116, "_") &amp; IF(B116&lt;&gt;"", "_" &amp; B116, "")</f>
        <v>Johansen_etal_2024</v>
      </c>
      <c r="G116" s="1" t="str">
        <f>SUBSTITUTE(SUBSTITUTE(_xlfn.TEXTBEFORE(A116,","), "-", ""), " ", "")</f>
        <v>Johansen</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_xlfn.TEXTBEFORE(_xlfn.TEXTAFTER(A116, "("), ")")</f>
        <v>2024</v>
      </c>
      <c r="J116" s="1" t="str">
        <f>_xlfn.LET(
_xlpm.doi,IF(C116&lt;&gt;"",C116,_xlfn.TEXTAFTER(A116,"https://doi.org/")),
SUBSTITUTE(
SUBSTITUTE(
SUBSTITUTE(
SUBSTITUTE(
_xlpm.doi,
"/","%2F"),
":","%3A"),
"&lt;","%3C"),
"&gt;","%3E")
)</f>
        <v>10.1523%2FJNEUROSCI.1750-23.2024</v>
      </c>
      <c r="K116" s="1" t="str">
        <f>TRIM(_xlfn.TEXTJOIN("_",FALSE(),F116,(SUBSTITUTE(SUBSTITUTE(D116," ",""), "_", ""))))</f>
        <v>Johansen_etal_2024_Table2</v>
      </c>
      <c r="L116" s="1" t="str">
        <f>J116 &amp; "_" &amp; SUBSTITUTE(SUBSTITUTE(SUBSTITUTE(D116,CHAR(160),"")," ",""),"_","")</f>
        <v>10.1523%2FJNEUROSCI.1750-23.2024_Table2</v>
      </c>
      <c r="M116" s="1" t="str">
        <f t="array" ref="M116">IFERROR(INDEX(FileList!$A$1:$A$1000,MATCH(TRUE(),EXACT(L116,IFERROR(_xlfn.TEXTBEFORE(FileList!$A$1:$A$1000,".tsv"),"")),0)),"notfound")</f>
        <v>10.1523%2FJNEUROSCI.1750-23.2024_Table2.tsv</v>
      </c>
      <c r="N116" s="3" t="s">
        <v>446</v>
      </c>
      <c r="V116" s="3" t="s">
        <v>41</v>
      </c>
      <c r="AI116" s="3" t="s">
        <v>447</v>
      </c>
      <c r="AJ116" s="3" t="s">
        <v>448</v>
      </c>
      <c r="AL116" s="3" t="s">
        <v>62</v>
      </c>
      <c r="AM116" s="3" t="s">
        <v>449</v>
      </c>
    </row>
    <row r="117" spans="1:39" ht="15.75" customHeight="1" x14ac:dyDescent="0.2">
      <c r="A117" s="3" t="s">
        <v>450</v>
      </c>
      <c r="D117" s="3" t="s">
        <v>76</v>
      </c>
      <c r="E117" s="1" t="str">
        <f>RIGHT(A117,1)</f>
        <v>8</v>
      </c>
      <c r="F117" s="1" t="str">
        <f>G117 &amp; IF(H117&lt;&gt;"", "_" &amp; H117, "_") &amp; IF(I117&lt;&gt;"", "_" &amp; I117, "_") &amp; IF(B117&lt;&gt;"", "_" &amp; B117, "")</f>
        <v>Karbowski__2007</v>
      </c>
      <c r="G117" s="1" t="str">
        <f>SUBSTITUTE(SUBSTITUTE(_xlfn.TEXTBEFORE(A117,","), "-", ""), " ", "")</f>
        <v>Karbowski</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s="1" t="str">
        <f>_xlfn.TEXTBEFORE(_xlfn.TEXTAFTER(A117, "("), ")")</f>
        <v>2007</v>
      </c>
      <c r="J117" s="1" t="str">
        <f>_xlfn.LET(
_xlpm.doi,IF(C117&lt;&gt;"",C117,_xlfn.TEXTAFTER(A117,"https://doi.org/")),
SUBSTITUTE(
SUBSTITUTE(
SUBSTITUTE(
SUBSTITUTE(
_xlpm.doi,
"/","%2F"),
":","%3A"),
"&lt;","%3C"),
"&gt;","%3E")
)</f>
        <v>10.1186%2F1741-7007-5-18</v>
      </c>
      <c r="K117" s="1" t="str">
        <f>TRIM(_xlfn.TEXTJOIN("_",FALSE(),F117,(SUBSTITUTE(SUBSTITUTE(D117," ",""), "_", ""))))</f>
        <v>Karbowski__2007_Table1</v>
      </c>
      <c r="L117" s="1" t="str">
        <f>J117 &amp; "_" &amp; SUBSTITUTE(SUBSTITUTE(SUBSTITUTE(D117,CHAR(160),"")," ",""),"_","")</f>
        <v>10.1186%2F1741-7007-5-18_Table1</v>
      </c>
      <c r="M117" s="1" t="str">
        <f t="array" ref="M117">IFERROR(INDEX(FileList!$A$1:$A$1000,MATCH(TRUE(),EXACT(L117,IFERROR(_xlfn.TEXTBEFORE(FileList!$A$1:$A$1000,".tsv"),"")),0)),"notfound")</f>
        <v>notfound</v>
      </c>
      <c r="N117" s="3" t="s">
        <v>451</v>
      </c>
      <c r="V117" s="3" t="s">
        <v>41</v>
      </c>
      <c r="AG117" s="3" t="s">
        <v>452</v>
      </c>
      <c r="AI117" s="3" t="s">
        <v>453</v>
      </c>
      <c r="AJ117" s="3" t="s">
        <v>139</v>
      </c>
      <c r="AK117" s="3" t="s">
        <v>62</v>
      </c>
      <c r="AL117" s="3" t="s">
        <v>140</v>
      </c>
      <c r="AM117" s="3" t="s">
        <v>454</v>
      </c>
    </row>
    <row r="118" spans="1:39" ht="15.75" customHeight="1" x14ac:dyDescent="0.2">
      <c r="A118" s="3" t="s">
        <v>450</v>
      </c>
      <c r="D118" s="3" t="s">
        <v>197</v>
      </c>
      <c r="E118" s="1" t="str">
        <f>RIGHT(A118,1)</f>
        <v>8</v>
      </c>
      <c r="F118" s="1" t="str">
        <f>G118 &amp; IF(H118&lt;&gt;"", "_" &amp; H118, "_") &amp; IF(I118&lt;&gt;"", "_" &amp; I118, "_") &amp; IF(B118&lt;&gt;"", "_" &amp; B118, "")</f>
        <v>Karbowski__2007</v>
      </c>
      <c r="G118" s="1" t="str">
        <f>SUBSTITUTE(SUBSTITUTE(_xlfn.TEXTBEFORE(A118,","), "-", ""), " ", "")</f>
        <v>Karbowski</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s="1" t="str">
        <f>_xlfn.TEXTBEFORE(_xlfn.TEXTAFTER(A118, "("), ")")</f>
        <v>2007</v>
      </c>
      <c r="J118" s="1" t="str">
        <f>_xlfn.LET(
_xlpm.doi,IF(C118&lt;&gt;"",C118,_xlfn.TEXTAFTER(A118,"https://doi.org/")),
SUBSTITUTE(
SUBSTITUTE(
SUBSTITUTE(
SUBSTITUTE(
_xlpm.doi,
"/","%2F"),
":","%3A"),
"&lt;","%3C"),
"&gt;","%3E")
)</f>
        <v>10.1186%2F1741-7007-5-18</v>
      </c>
      <c r="K118" s="1" t="str">
        <f>TRIM(_xlfn.TEXTJOIN("_",FALSE(),F118,(SUBSTITUTE(SUBSTITUTE(D118," ",""), "_", ""))))</f>
        <v>Karbowski__2007_TableS1</v>
      </c>
      <c r="L118" s="1" t="str">
        <f>J118 &amp; "_" &amp; SUBSTITUTE(SUBSTITUTE(SUBSTITUTE(D118,CHAR(160),"")," ",""),"_","")</f>
        <v>10.1186%2F1741-7007-5-18_TableS1</v>
      </c>
      <c r="M118" s="1" t="str">
        <f t="array" ref="M118">IFERROR(INDEX(FileList!$A$1:$A$1000,MATCH(TRUE(),EXACT(L118,IFERROR(_xlfn.TEXTBEFORE(FileList!$A$1:$A$1000,".tsv"),"")),0)),"notfound")</f>
        <v>10.1186%2F1741-7007-5-18_TableS1.tsv</v>
      </c>
      <c r="N118" s="3" t="s">
        <v>455</v>
      </c>
      <c r="V118" s="3" t="s">
        <v>41</v>
      </c>
      <c r="AG118" s="3" t="s">
        <v>452</v>
      </c>
      <c r="AI118" s="3" t="s">
        <v>456</v>
      </c>
      <c r="AJ118" s="3" t="s">
        <v>139</v>
      </c>
      <c r="AK118" s="3" t="s">
        <v>457</v>
      </c>
      <c r="AL118" s="3" t="s">
        <v>140</v>
      </c>
      <c r="AM118" s="3" t="s">
        <v>458</v>
      </c>
    </row>
    <row r="119" spans="1:39" ht="15.75" customHeight="1" x14ac:dyDescent="0.2">
      <c r="A119" s="3" t="s">
        <v>450</v>
      </c>
      <c r="D119" s="3" t="s">
        <v>340</v>
      </c>
      <c r="E119" s="1" t="str">
        <f>RIGHT(A119,1)</f>
        <v>8</v>
      </c>
      <c r="F119" s="1" t="str">
        <f>G119 &amp; IF(H119&lt;&gt;"", "_" &amp; H119, "_") &amp; IF(I119&lt;&gt;"", "_" &amp; I119, "_") &amp; IF(B119&lt;&gt;"", "_" &amp; B119, "")</f>
        <v>Karbowski__2007</v>
      </c>
      <c r="G119" s="1" t="str">
        <f>SUBSTITUTE(SUBSTITUTE(_xlfn.TEXTBEFORE(A119,","), "-", ""), " ", "")</f>
        <v>Karbowski</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s="1" t="str">
        <f>_xlfn.TEXTBEFORE(_xlfn.TEXTAFTER(A119, "("), ")")</f>
        <v>2007</v>
      </c>
      <c r="J119" s="1" t="str">
        <f>_xlfn.LET(
_xlpm.doi,IF(C119&lt;&gt;"",C119,_xlfn.TEXTAFTER(A119,"https://doi.org/")),
SUBSTITUTE(
SUBSTITUTE(
SUBSTITUTE(
SUBSTITUTE(
_xlpm.doi,
"/","%2F"),
":","%3A"),
"&lt;","%3C"),
"&gt;","%3E")
)</f>
        <v>10.1186%2F1741-7007-5-18</v>
      </c>
      <c r="K119" s="1" t="str">
        <f>TRIM(_xlfn.TEXTJOIN("_",FALSE(),F119,(SUBSTITUTE(SUBSTITUTE(D119," ",""), "_", ""))))</f>
        <v>Karbowski__2007_TableS2</v>
      </c>
      <c r="L119" s="1" t="str">
        <f>J119 &amp; "_" &amp; SUBSTITUTE(SUBSTITUTE(SUBSTITUTE(D119,CHAR(160),"")," ",""),"_","")</f>
        <v>10.1186%2F1741-7007-5-18_TableS2</v>
      </c>
      <c r="M119" s="1" t="str">
        <f t="array" ref="M119">IFERROR(INDEX(FileList!$A$1:$A$1000,MATCH(TRUE(),EXACT(L119,IFERROR(_xlfn.TEXTBEFORE(FileList!$A$1:$A$1000,".tsv"),"")),0)),"notfound")</f>
        <v>10.1186%2F1741-7007-5-18_TableS2.tsv</v>
      </c>
      <c r="N119" s="3" t="s">
        <v>459</v>
      </c>
      <c r="V119" s="3" t="s">
        <v>41</v>
      </c>
      <c r="AG119" s="3" t="s">
        <v>452</v>
      </c>
      <c r="AI119" s="3" t="s">
        <v>460</v>
      </c>
      <c r="AJ119" s="3" t="s">
        <v>139</v>
      </c>
      <c r="AK119" s="3" t="s">
        <v>457</v>
      </c>
      <c r="AL119" s="3" t="s">
        <v>140</v>
      </c>
      <c r="AM119" s="3" t="s">
        <v>458</v>
      </c>
    </row>
    <row r="120" spans="1:39" ht="15.75" customHeight="1" x14ac:dyDescent="0.2">
      <c r="A120" s="3" t="s">
        <v>450</v>
      </c>
      <c r="D120" s="3" t="s">
        <v>418</v>
      </c>
      <c r="E120" s="1" t="str">
        <f>RIGHT(A120,1)</f>
        <v>8</v>
      </c>
      <c r="F120" s="1" t="str">
        <f>G120 &amp; IF(H120&lt;&gt;"", "_" &amp; H120, "_") &amp; IF(I120&lt;&gt;"", "_" &amp; I120, "_") &amp; IF(B120&lt;&gt;"", "_" &amp; B120, "")</f>
        <v>Karbowski__2007</v>
      </c>
      <c r="G120" s="1" t="str">
        <f>SUBSTITUTE(SUBSTITUTE(_xlfn.TEXTBEFORE(A120,","), "-", ""), " ", "")</f>
        <v>Karbowski</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s="1" t="str">
        <f>_xlfn.TEXTBEFORE(_xlfn.TEXTAFTER(A120, "("), ")")</f>
        <v>2007</v>
      </c>
      <c r="J120" s="1" t="str">
        <f>_xlfn.LET(
_xlpm.doi,IF(C120&lt;&gt;"",C120,_xlfn.TEXTAFTER(A120,"https://doi.org/")),
SUBSTITUTE(
SUBSTITUTE(
SUBSTITUTE(
SUBSTITUTE(
_xlpm.doi,
"/","%2F"),
":","%3A"),
"&lt;","%3C"),
"&gt;","%3E")
)</f>
        <v>10.1186%2F1741-7007-5-18</v>
      </c>
      <c r="K120" s="1" t="str">
        <f>TRIM(_xlfn.TEXTJOIN("_",FALSE(),F120,(SUBSTITUTE(SUBSTITUTE(D120," ",""), "_", ""))))</f>
        <v>Karbowski__2007_TableS3</v>
      </c>
      <c r="L120" s="1" t="str">
        <f>J120 &amp; "_" &amp; SUBSTITUTE(SUBSTITUTE(SUBSTITUTE(D120,CHAR(160),"")," ",""),"_","")</f>
        <v>10.1186%2F1741-7007-5-18_TableS3</v>
      </c>
      <c r="M120" s="1" t="str">
        <f t="array" ref="M120">IFERROR(INDEX(FileList!$A$1:$A$1000,MATCH(TRUE(),EXACT(L120,IFERROR(_xlfn.TEXTBEFORE(FileList!$A$1:$A$1000,".tsv"),"")),0)),"notfound")</f>
        <v>10.1186%2F1741-7007-5-18_TableS3.tsv</v>
      </c>
      <c r="N120" s="3" t="s">
        <v>461</v>
      </c>
      <c r="V120" s="3" t="s">
        <v>41</v>
      </c>
      <c r="AG120" s="3" t="s">
        <v>452</v>
      </c>
      <c r="AI120" s="3" t="s">
        <v>460</v>
      </c>
      <c r="AJ120" s="3" t="s">
        <v>139</v>
      </c>
      <c r="AK120" s="3" t="s">
        <v>457</v>
      </c>
      <c r="AL120" s="3" t="s">
        <v>140</v>
      </c>
      <c r="AM120" s="3" t="s">
        <v>458</v>
      </c>
    </row>
    <row r="121" spans="1:39" ht="15.75" customHeight="1" x14ac:dyDescent="0.2">
      <c r="A121" s="3" t="s">
        <v>450</v>
      </c>
      <c r="D121" s="3" t="s">
        <v>462</v>
      </c>
      <c r="E121" s="1" t="str">
        <f>RIGHT(A121,1)</f>
        <v>8</v>
      </c>
      <c r="F121" s="1" t="str">
        <f>G121 &amp; IF(H121&lt;&gt;"", "_" &amp; H121, "_") &amp; IF(I121&lt;&gt;"", "_" &amp; I121, "_") &amp; IF(B121&lt;&gt;"", "_" &amp; B121, "")</f>
        <v>Karbowski__2007</v>
      </c>
      <c r="G121" s="1" t="str">
        <f>SUBSTITUTE(SUBSTITUTE(_xlfn.TEXTBEFORE(A121,","), "-", ""), " ", "")</f>
        <v>Karbowski</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
      </c>
      <c r="I121" s="1" t="str">
        <f>_xlfn.TEXTBEFORE(_xlfn.TEXTAFTER(A121, "("), ")")</f>
        <v>2007</v>
      </c>
      <c r="J121" s="1" t="str">
        <f>_xlfn.LET(
_xlpm.doi,IF(C121&lt;&gt;"",C121,_xlfn.TEXTAFTER(A121,"https://doi.org/")),
SUBSTITUTE(
SUBSTITUTE(
SUBSTITUTE(
SUBSTITUTE(
_xlpm.doi,
"/","%2F"),
":","%3A"),
"&lt;","%3C"),
"&gt;","%3E")
)</f>
        <v>10.1186%2F1741-7007-5-18</v>
      </c>
      <c r="K121" s="1" t="str">
        <f>TRIM(_xlfn.TEXTJOIN("_",FALSE(),F121,(SUBSTITUTE(SUBSTITUTE(D121," ",""), "_", ""))))</f>
        <v>Karbowski__2007_TableS4</v>
      </c>
      <c r="L121" s="1" t="str">
        <f>J121 &amp; "_" &amp; SUBSTITUTE(SUBSTITUTE(SUBSTITUTE(D121,CHAR(160),"")," ",""),"_","")</f>
        <v>10.1186%2F1741-7007-5-18_TableS4</v>
      </c>
      <c r="M121" s="1" t="str">
        <f t="array" ref="M121">IFERROR(INDEX(FileList!$A$1:$A$1000,MATCH(TRUE(),EXACT(L121,IFERROR(_xlfn.TEXTBEFORE(FileList!$A$1:$A$1000,".tsv"),"")),0)),"notfound")</f>
        <v>10.1186%2F1741-7007-5-18_TableS4.tsv</v>
      </c>
      <c r="N121" s="3" t="s">
        <v>463</v>
      </c>
      <c r="V121" s="3" t="s">
        <v>41</v>
      </c>
      <c r="AG121" s="3" t="s">
        <v>452</v>
      </c>
      <c r="AI121" s="3" t="s">
        <v>460</v>
      </c>
      <c r="AJ121" s="3" t="s">
        <v>139</v>
      </c>
      <c r="AK121" s="3" t="s">
        <v>457</v>
      </c>
      <c r="AL121" s="3" t="s">
        <v>140</v>
      </c>
      <c r="AM121" s="3" t="s">
        <v>458</v>
      </c>
    </row>
    <row r="122" spans="1:39" ht="15.75" customHeight="1" x14ac:dyDescent="0.2">
      <c r="A122" s="3" t="s">
        <v>450</v>
      </c>
      <c r="D122" s="3" t="s">
        <v>464</v>
      </c>
      <c r="E122" s="1" t="str">
        <f>RIGHT(A122,1)</f>
        <v>8</v>
      </c>
      <c r="F122" s="1" t="str">
        <f>G122 &amp; IF(H122&lt;&gt;"", "_" &amp; H122, "_") &amp; IF(I122&lt;&gt;"", "_" &amp; I122, "_") &amp; IF(B122&lt;&gt;"", "_" &amp; B122, "")</f>
        <v>Karbowski__2007</v>
      </c>
      <c r="G122" s="1" t="str">
        <f>SUBSTITUTE(SUBSTITUTE(_xlfn.TEXTBEFORE(A122,","), "-", ""), " ", "")</f>
        <v>Karbowski</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 t="str">
        <f>_xlfn.TEXTBEFORE(_xlfn.TEXTAFTER(A122, "("), ")")</f>
        <v>2007</v>
      </c>
      <c r="J122" s="1" t="str">
        <f>_xlfn.LET(
_xlpm.doi,IF(C122&lt;&gt;"",C122,_xlfn.TEXTAFTER(A122,"https://doi.org/")),
SUBSTITUTE(
SUBSTITUTE(
SUBSTITUTE(
SUBSTITUTE(
_xlpm.doi,
"/","%2F"),
":","%3A"),
"&lt;","%3C"),
"&gt;","%3E")
)</f>
        <v>10.1186%2F1741-7007-5-18</v>
      </c>
      <c r="K122" s="1" t="str">
        <f>TRIM(_xlfn.TEXTJOIN("_",FALSE(),F122,(SUBSTITUTE(SUBSTITUTE(D122," ",""), "_", ""))))</f>
        <v>Karbowski__2007_TableS5</v>
      </c>
      <c r="L122" s="1" t="str">
        <f>J122 &amp; "_" &amp; SUBSTITUTE(SUBSTITUTE(SUBSTITUTE(D122,CHAR(160),"")," ",""),"_","")</f>
        <v>10.1186%2F1741-7007-5-18_TableS5</v>
      </c>
      <c r="M122" s="1" t="str">
        <f t="array" ref="M122">IFERROR(INDEX(FileList!$A$1:$A$1000,MATCH(TRUE(),EXACT(L122,IFERROR(_xlfn.TEXTBEFORE(FileList!$A$1:$A$1000,".tsv"),"")),0)),"notfound")</f>
        <v>10.1186%2F1741-7007-5-18_TableS5.tsv</v>
      </c>
      <c r="N122" s="3" t="s">
        <v>465</v>
      </c>
      <c r="V122" s="3" t="s">
        <v>41</v>
      </c>
      <c r="AG122" s="3" t="s">
        <v>452</v>
      </c>
      <c r="AI122" s="3" t="s">
        <v>460</v>
      </c>
      <c r="AJ122" s="3" t="s">
        <v>139</v>
      </c>
      <c r="AK122" s="3" t="s">
        <v>457</v>
      </c>
      <c r="AL122" s="3" t="s">
        <v>140</v>
      </c>
      <c r="AM122" s="3" t="s">
        <v>458</v>
      </c>
    </row>
    <row r="123" spans="1:39" ht="15.75" customHeight="1" x14ac:dyDescent="0.2">
      <c r="A123" s="3" t="s">
        <v>450</v>
      </c>
      <c r="D123" s="3" t="s">
        <v>466</v>
      </c>
      <c r="E123" s="1" t="str">
        <f>RIGHT(A123,1)</f>
        <v>8</v>
      </c>
      <c r="F123" s="1" t="str">
        <f>G123 &amp; IF(H123&lt;&gt;"", "_" &amp; H123, "_") &amp; IF(I123&lt;&gt;"", "_" &amp; I123, "_") &amp; IF(B123&lt;&gt;"", "_" &amp; B123, "")</f>
        <v>Karbowski__2007</v>
      </c>
      <c r="G123" s="1" t="str">
        <f>SUBSTITUTE(SUBSTITUTE(_xlfn.TEXTBEFORE(A123,","), "-", ""), " ", "")</f>
        <v>Karbowski</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 t="str">
        <f>_xlfn.TEXTBEFORE(_xlfn.TEXTAFTER(A123, "("), ")")</f>
        <v>2007</v>
      </c>
      <c r="J123" s="1" t="str">
        <f>_xlfn.LET(
_xlpm.doi,IF(C123&lt;&gt;"",C123,_xlfn.TEXTAFTER(A123,"https://doi.org/")),
SUBSTITUTE(
SUBSTITUTE(
SUBSTITUTE(
SUBSTITUTE(
_xlpm.doi,
"/","%2F"),
":","%3A"),
"&lt;","%3C"),
"&gt;","%3E")
)</f>
        <v>10.1186%2F1741-7007-5-18</v>
      </c>
      <c r="K123" s="1" t="str">
        <f>TRIM(_xlfn.TEXTJOIN("_",FALSE(),F123,(SUBSTITUTE(SUBSTITUTE(D123," ",""), "_", ""))))</f>
        <v>Karbowski__2007_TableS6</v>
      </c>
      <c r="L123" s="1" t="str">
        <f>J123 &amp; "_" &amp; SUBSTITUTE(SUBSTITUTE(SUBSTITUTE(D123,CHAR(160),"")," ",""),"_","")</f>
        <v>10.1186%2F1741-7007-5-18_TableS6</v>
      </c>
      <c r="M123" s="1" t="str">
        <f t="array" ref="M123">IFERROR(INDEX(FileList!$A$1:$A$1000,MATCH(TRUE(),EXACT(L123,IFERROR(_xlfn.TEXTBEFORE(FileList!$A$1:$A$1000,".tsv"),"")),0)),"notfound")</f>
        <v>10.1186%2F1741-7007-5-18_TableS6.tsv</v>
      </c>
      <c r="N123" s="3" t="s">
        <v>467</v>
      </c>
      <c r="V123" s="3" t="s">
        <v>41</v>
      </c>
      <c r="AG123" s="3" t="s">
        <v>452</v>
      </c>
      <c r="AI123" s="3" t="s">
        <v>460</v>
      </c>
      <c r="AJ123" s="3" t="s">
        <v>139</v>
      </c>
      <c r="AK123" s="3" t="s">
        <v>457</v>
      </c>
      <c r="AL123" s="3" t="s">
        <v>140</v>
      </c>
      <c r="AM123" s="3" t="s">
        <v>458</v>
      </c>
    </row>
    <row r="124" spans="1:39" ht="15.75" customHeight="1" x14ac:dyDescent="0.2">
      <c r="A124" s="3" t="s">
        <v>450</v>
      </c>
      <c r="D124" s="3" t="s">
        <v>468</v>
      </c>
      <c r="E124" s="1" t="str">
        <f>RIGHT(A124,1)</f>
        <v>8</v>
      </c>
      <c r="F124" s="1" t="str">
        <f>G124 &amp; IF(H124&lt;&gt;"", "_" &amp; H124, "_") &amp; IF(I124&lt;&gt;"", "_" &amp; I124, "_") &amp; IF(B124&lt;&gt;"", "_" &amp; B124, "")</f>
        <v>Karbowski__2007</v>
      </c>
      <c r="G124" s="1" t="str">
        <f>SUBSTITUTE(SUBSTITUTE(_xlfn.TEXTBEFORE(A124,","), "-", ""), " ", "")</f>
        <v>Karbowski</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 t="str">
        <f>_xlfn.TEXTBEFORE(_xlfn.TEXTAFTER(A124, "("), ")")</f>
        <v>2007</v>
      </c>
      <c r="J124" s="1" t="str">
        <f>_xlfn.LET(
_xlpm.doi,IF(C124&lt;&gt;"",C124,_xlfn.TEXTAFTER(A124,"https://doi.org/")),
SUBSTITUTE(
SUBSTITUTE(
SUBSTITUTE(
SUBSTITUTE(
_xlpm.doi,
"/","%2F"),
":","%3A"),
"&lt;","%3C"),
"&gt;","%3E")
)</f>
        <v>10.1186%2F1741-7007-5-18</v>
      </c>
      <c r="K124" s="1" t="str">
        <f>TRIM(_xlfn.TEXTJOIN("_",FALSE(),F124,(SUBSTITUTE(SUBSTITUTE(D124," ",""), "_", ""))))</f>
        <v>Karbowski__2007_TableS7</v>
      </c>
      <c r="L124" s="1" t="str">
        <f>J124 &amp; "_" &amp; SUBSTITUTE(SUBSTITUTE(SUBSTITUTE(D124,CHAR(160),"")," ",""),"_","")</f>
        <v>10.1186%2F1741-7007-5-18_TableS7</v>
      </c>
      <c r="M124" s="1" t="str">
        <f t="array" ref="M124">IFERROR(INDEX(FileList!$A$1:$A$1000,MATCH(TRUE(),EXACT(L124,IFERROR(_xlfn.TEXTBEFORE(FileList!$A$1:$A$1000,".tsv"),"")),0)),"notfound")</f>
        <v>10.1186%2F1741-7007-5-18_TableS7.tsv</v>
      </c>
      <c r="N124" s="3" t="s">
        <v>469</v>
      </c>
      <c r="V124" s="3" t="s">
        <v>41</v>
      </c>
      <c r="AG124" s="3" t="s">
        <v>452</v>
      </c>
      <c r="AI124" s="3" t="s">
        <v>460</v>
      </c>
      <c r="AJ124" s="3" t="s">
        <v>139</v>
      </c>
      <c r="AK124" s="3" t="s">
        <v>457</v>
      </c>
      <c r="AL124" s="3" t="s">
        <v>140</v>
      </c>
      <c r="AM124" s="3" t="s">
        <v>458</v>
      </c>
    </row>
    <row r="125" spans="1:39" ht="15.75" customHeight="1" x14ac:dyDescent="0.2">
      <c r="A125" s="3" t="s">
        <v>450</v>
      </c>
      <c r="D125" s="3" t="s">
        <v>470</v>
      </c>
      <c r="E125" s="1" t="str">
        <f>RIGHT(A125,1)</f>
        <v>8</v>
      </c>
      <c r="F125" s="1" t="str">
        <f>G125 &amp; IF(H125&lt;&gt;"", "_" &amp; H125, "_") &amp; IF(I125&lt;&gt;"", "_" &amp; I125, "_") &amp; IF(B125&lt;&gt;"", "_" &amp; B125, "")</f>
        <v>Karbowski__2007</v>
      </c>
      <c r="G125" s="1" t="str">
        <f>SUBSTITUTE(SUBSTITUTE(_xlfn.TEXTBEFORE(A125,","), "-", ""), " ", "")</f>
        <v>Karbowski</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s="1" t="str">
        <f>_xlfn.TEXTBEFORE(_xlfn.TEXTAFTER(A125, "("), ")")</f>
        <v>2007</v>
      </c>
      <c r="J125" s="1" t="str">
        <f>_xlfn.LET(
_xlpm.doi,IF(C125&lt;&gt;"",C125,_xlfn.TEXTAFTER(A125,"https://doi.org/")),
SUBSTITUTE(
SUBSTITUTE(
SUBSTITUTE(
SUBSTITUTE(
_xlpm.doi,
"/","%2F"),
":","%3A"),
"&lt;","%3C"),
"&gt;","%3E")
)</f>
        <v>10.1186%2F1741-7007-5-18</v>
      </c>
      <c r="K125" s="1" t="str">
        <f>TRIM(_xlfn.TEXTJOIN("_",FALSE(),F125,(SUBSTITUTE(SUBSTITUTE(D125," ",""), "_", ""))))</f>
        <v>Karbowski__2007_TableS8</v>
      </c>
      <c r="L125" s="1" t="str">
        <f>J125 &amp; "_" &amp; SUBSTITUTE(SUBSTITUTE(SUBSTITUTE(D125,CHAR(160),"")," ",""),"_","")</f>
        <v>10.1186%2F1741-7007-5-18_TableS8</v>
      </c>
      <c r="M125" s="1" t="str">
        <f t="array" ref="M125">IFERROR(INDEX(FileList!$A$1:$A$1000,MATCH(TRUE(),EXACT(L125,IFERROR(_xlfn.TEXTBEFORE(FileList!$A$1:$A$1000,".tsv"),"")),0)),"notfound")</f>
        <v>10.1186%2F1741-7007-5-18_TableS8.tsv</v>
      </c>
      <c r="N125" s="3" t="s">
        <v>471</v>
      </c>
      <c r="V125" s="3" t="s">
        <v>41</v>
      </c>
      <c r="AG125" s="3" t="s">
        <v>452</v>
      </c>
      <c r="AI125" s="3" t="s">
        <v>460</v>
      </c>
      <c r="AJ125" s="3" t="s">
        <v>139</v>
      </c>
      <c r="AK125" s="3" t="s">
        <v>457</v>
      </c>
      <c r="AL125" s="3" t="s">
        <v>140</v>
      </c>
      <c r="AM125" s="3" t="s">
        <v>458</v>
      </c>
    </row>
    <row r="126" spans="1:39" ht="15.75" customHeight="1" x14ac:dyDescent="0.2">
      <c r="A126" s="3" t="s">
        <v>450</v>
      </c>
      <c r="D126" s="3" t="s">
        <v>472</v>
      </c>
      <c r="E126" s="1" t="str">
        <f>RIGHT(A126,1)</f>
        <v>8</v>
      </c>
      <c r="F126" s="1" t="str">
        <f>G126 &amp; IF(H126&lt;&gt;"", "_" &amp; H126, "_") &amp; IF(I126&lt;&gt;"", "_" &amp; I126, "_") &amp; IF(B126&lt;&gt;"", "_" &amp; B126, "")</f>
        <v>Karbowski__2007</v>
      </c>
      <c r="G126" s="1" t="str">
        <f>SUBSTITUTE(SUBSTITUTE(_xlfn.TEXTBEFORE(A126,","), "-", ""), " ", "")</f>
        <v>Karbowski</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s="1" t="str">
        <f>_xlfn.TEXTBEFORE(_xlfn.TEXTAFTER(A126, "("), ")")</f>
        <v>2007</v>
      </c>
      <c r="J126" s="1" t="str">
        <f>_xlfn.LET(
_xlpm.doi,IF(C126&lt;&gt;"",C126,_xlfn.TEXTAFTER(A126,"https://doi.org/")),
SUBSTITUTE(
SUBSTITUTE(
SUBSTITUTE(
SUBSTITUTE(
_xlpm.doi,
"/","%2F"),
":","%3A"),
"&lt;","%3C"),
"&gt;","%3E")
)</f>
        <v>10.1186%2F1741-7007-5-18</v>
      </c>
      <c r="K126" s="1" t="str">
        <f>TRIM(_xlfn.TEXTJOIN("_",FALSE(),F126,(SUBSTITUTE(SUBSTITUTE(D126," ",""), "_", ""))))</f>
        <v>Karbowski__2007_TableS9</v>
      </c>
      <c r="L126" s="1" t="str">
        <f>J126 &amp; "_" &amp; SUBSTITUTE(SUBSTITUTE(SUBSTITUTE(D126,CHAR(160),"")," ",""),"_","")</f>
        <v>10.1186%2F1741-7007-5-18_TableS9</v>
      </c>
      <c r="M126" s="1" t="str">
        <f t="array" ref="M126">IFERROR(INDEX(FileList!$A$1:$A$1000,MATCH(TRUE(),EXACT(L126,IFERROR(_xlfn.TEXTBEFORE(FileList!$A$1:$A$1000,".tsv"),"")),0)),"notfound")</f>
        <v>10.1186%2F1741-7007-5-18_TableS9.tsv</v>
      </c>
      <c r="N126" s="3" t="s">
        <v>473</v>
      </c>
      <c r="V126" s="3" t="s">
        <v>41</v>
      </c>
      <c r="AG126" s="3" t="s">
        <v>452</v>
      </c>
      <c r="AI126" s="3" t="s">
        <v>460</v>
      </c>
      <c r="AJ126" s="3" t="s">
        <v>139</v>
      </c>
      <c r="AK126" s="3" t="s">
        <v>457</v>
      </c>
      <c r="AL126" s="3" t="s">
        <v>140</v>
      </c>
      <c r="AM126" s="3" t="s">
        <v>458</v>
      </c>
    </row>
    <row r="127" spans="1:39" ht="15.75" customHeight="1" x14ac:dyDescent="0.2">
      <c r="A127" s="3" t="s">
        <v>450</v>
      </c>
      <c r="D127" s="3" t="s">
        <v>474</v>
      </c>
      <c r="E127" s="1" t="str">
        <f>RIGHT(A127,1)</f>
        <v>8</v>
      </c>
      <c r="F127" s="1" t="str">
        <f>G127 &amp; IF(H127&lt;&gt;"", "_" &amp; H127, "_") &amp; IF(I127&lt;&gt;"", "_" &amp; I127, "_") &amp; IF(B127&lt;&gt;"", "_" &amp; B127, "")</f>
        <v>Karbowski__2007</v>
      </c>
      <c r="G127" s="1" t="str">
        <f>SUBSTITUTE(SUBSTITUTE(_xlfn.TEXTBEFORE(A127,","), "-", ""), " ", "")</f>
        <v>Karbowski</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s="1" t="str">
        <f>_xlfn.TEXTBEFORE(_xlfn.TEXTAFTER(A127, "("), ")")</f>
        <v>2007</v>
      </c>
      <c r="J127" s="1" t="str">
        <f>_xlfn.LET(
_xlpm.doi,IF(C127&lt;&gt;"",C127,_xlfn.TEXTAFTER(A127,"https://doi.org/")),
SUBSTITUTE(
SUBSTITUTE(
SUBSTITUTE(
SUBSTITUTE(
_xlpm.doi,
"/","%2F"),
":","%3A"),
"&lt;","%3C"),
"&gt;","%3E")
)</f>
        <v>10.1186%2F1741-7007-5-18</v>
      </c>
      <c r="K127" s="1" t="str">
        <f>TRIM(_xlfn.TEXTJOIN("_",FALSE(),F127,(SUBSTITUTE(SUBSTITUTE(D127," ",""), "_", ""))))</f>
        <v>Karbowski__2007_TableS10</v>
      </c>
      <c r="L127" s="1" t="str">
        <f>J127 &amp; "_" &amp; SUBSTITUTE(SUBSTITUTE(SUBSTITUTE(D127,CHAR(160),"")," ",""),"_","")</f>
        <v>10.1186%2F1741-7007-5-18_TableS10</v>
      </c>
      <c r="M127" s="1" t="str">
        <f t="array" ref="M127">IFERROR(INDEX(FileList!$A$1:$A$1000,MATCH(TRUE(),EXACT(L127,IFERROR(_xlfn.TEXTBEFORE(FileList!$A$1:$A$1000,".tsv"),"")),0)),"notfound")</f>
        <v>10.1186%2F1741-7007-5-18_TableS10.tsv</v>
      </c>
      <c r="N127" s="3" t="s">
        <v>475</v>
      </c>
      <c r="V127" s="3" t="s">
        <v>41</v>
      </c>
      <c r="AG127" s="3" t="s">
        <v>452</v>
      </c>
      <c r="AI127" s="3" t="s">
        <v>460</v>
      </c>
      <c r="AJ127" s="3" t="s">
        <v>139</v>
      </c>
      <c r="AK127" s="3" t="s">
        <v>457</v>
      </c>
      <c r="AL127" s="3" t="s">
        <v>140</v>
      </c>
      <c r="AM127" s="3" t="s">
        <v>458</v>
      </c>
    </row>
    <row r="128" spans="1:39" ht="15.75" customHeight="1" x14ac:dyDescent="0.2">
      <c r="A128" s="3" t="s">
        <v>450</v>
      </c>
      <c r="D128" s="3" t="s">
        <v>476</v>
      </c>
      <c r="E128" s="1" t="str">
        <f>RIGHT(A128,1)</f>
        <v>8</v>
      </c>
      <c r="F128" s="1" t="str">
        <f>G128 &amp; IF(H128&lt;&gt;"", "_" &amp; H128, "_") &amp; IF(I128&lt;&gt;"", "_" &amp; I128, "_") &amp; IF(B128&lt;&gt;"", "_" &amp; B128, "")</f>
        <v>Karbowski__2007</v>
      </c>
      <c r="G128" s="1" t="str">
        <f>SUBSTITUTE(SUBSTITUTE(_xlfn.TEXTBEFORE(A128,","), "-", ""), " ", "")</f>
        <v>Karbowski</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s="1" t="str">
        <f>_xlfn.TEXTBEFORE(_xlfn.TEXTAFTER(A128, "("), ")")</f>
        <v>2007</v>
      </c>
      <c r="J128" s="1" t="str">
        <f>_xlfn.LET(
_xlpm.doi,IF(C128&lt;&gt;"",C128,_xlfn.TEXTAFTER(A128,"https://doi.org/")),
SUBSTITUTE(
SUBSTITUTE(
SUBSTITUTE(
SUBSTITUTE(
_xlpm.doi,
"/","%2F"),
":","%3A"),
"&lt;","%3C"),
"&gt;","%3E")
)</f>
        <v>10.1186%2F1741-7007-5-18</v>
      </c>
      <c r="K128" s="1" t="str">
        <f>TRIM(_xlfn.TEXTJOIN("_",FALSE(),F128,(SUBSTITUTE(SUBSTITUTE(D128," ",""), "_", ""))))</f>
        <v>Karbowski__2007_TableS11</v>
      </c>
      <c r="L128" s="1" t="str">
        <f>J128 &amp; "_" &amp; SUBSTITUTE(SUBSTITUTE(SUBSTITUTE(D128,CHAR(160),"")," ",""),"_","")</f>
        <v>10.1186%2F1741-7007-5-18_TableS11</v>
      </c>
      <c r="M128" s="1" t="str">
        <f t="array" ref="M128">IFERROR(INDEX(FileList!$A$1:$A$1000,MATCH(TRUE(),EXACT(L128,IFERROR(_xlfn.TEXTBEFORE(FileList!$A$1:$A$1000,".tsv"),"")),0)),"notfound")</f>
        <v>10.1186%2F1741-7007-5-18_TableS11.tsv</v>
      </c>
      <c r="N128" s="3" t="s">
        <v>477</v>
      </c>
      <c r="V128" s="3" t="s">
        <v>41</v>
      </c>
      <c r="AG128" s="3" t="s">
        <v>452</v>
      </c>
      <c r="AI128" s="3" t="s">
        <v>460</v>
      </c>
      <c r="AJ128" s="3" t="s">
        <v>139</v>
      </c>
      <c r="AK128" s="3" t="s">
        <v>457</v>
      </c>
      <c r="AL128" s="3" t="s">
        <v>140</v>
      </c>
      <c r="AM128" s="3" t="s">
        <v>458</v>
      </c>
    </row>
    <row r="129" spans="1:39" ht="15.75" customHeight="1" x14ac:dyDescent="0.2">
      <c r="A129" s="3" t="s">
        <v>450</v>
      </c>
      <c r="D129" s="3" t="s">
        <v>478</v>
      </c>
      <c r="E129" s="1" t="str">
        <f>RIGHT(A129,1)</f>
        <v>8</v>
      </c>
      <c r="F129" s="1" t="str">
        <f>G129 &amp; IF(H129&lt;&gt;"", "_" &amp; H129, "_") &amp; IF(I129&lt;&gt;"", "_" &amp; I129, "_") &amp; IF(B129&lt;&gt;"", "_" &amp; B129, "")</f>
        <v>Karbowski__2007</v>
      </c>
      <c r="G129" s="1" t="str">
        <f>SUBSTITUTE(SUBSTITUTE(_xlfn.TEXTBEFORE(A129,","), "-", ""), " ", "")</f>
        <v>Karbowski</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s="1" t="str">
        <f>_xlfn.TEXTBEFORE(_xlfn.TEXTAFTER(A129, "("), ")")</f>
        <v>2007</v>
      </c>
      <c r="J129" s="1" t="str">
        <f>_xlfn.LET(
_xlpm.doi,IF(C129&lt;&gt;"",C129,_xlfn.TEXTAFTER(A129,"https://doi.org/")),
SUBSTITUTE(
SUBSTITUTE(
SUBSTITUTE(
SUBSTITUTE(
_xlpm.doi,
"/","%2F"),
":","%3A"),
"&lt;","%3C"),
"&gt;","%3E")
)</f>
        <v>10.1186%2F1741-7007-5-18</v>
      </c>
      <c r="K129" s="1" t="str">
        <f>TRIM(_xlfn.TEXTJOIN("_",FALSE(),F129,(SUBSTITUTE(SUBSTITUTE(D129," ",""), "_", ""))))</f>
        <v>Karbowski__2007_TableS12</v>
      </c>
      <c r="L129" s="1" t="str">
        <f>J129 &amp; "_" &amp; SUBSTITUTE(SUBSTITUTE(SUBSTITUTE(D129,CHAR(160),"")," ",""),"_","")</f>
        <v>10.1186%2F1741-7007-5-18_TableS12</v>
      </c>
      <c r="M129" s="1" t="str">
        <f t="array" ref="M129">IFERROR(INDEX(FileList!$A$1:$A$1000,MATCH(TRUE(),EXACT(L129,IFERROR(_xlfn.TEXTBEFORE(FileList!$A$1:$A$1000,".tsv"),"")),0)),"notfound")</f>
        <v>10.1186%2F1741-7007-5-18_TableS12.tsv</v>
      </c>
      <c r="N129" s="3" t="s">
        <v>479</v>
      </c>
      <c r="V129" s="3" t="s">
        <v>41</v>
      </c>
      <c r="AG129" s="3" t="s">
        <v>452</v>
      </c>
      <c r="AI129" s="3" t="s">
        <v>460</v>
      </c>
      <c r="AJ129" s="3" t="s">
        <v>139</v>
      </c>
      <c r="AK129" s="3" t="s">
        <v>457</v>
      </c>
      <c r="AL129" s="3" t="s">
        <v>140</v>
      </c>
      <c r="AM129" s="3" t="s">
        <v>458</v>
      </c>
    </row>
    <row r="130" spans="1:39" ht="15.75" customHeight="1" x14ac:dyDescent="0.2">
      <c r="A130" s="3" t="s">
        <v>450</v>
      </c>
      <c r="D130" s="3" t="s">
        <v>480</v>
      </c>
      <c r="E130" s="1" t="str">
        <f>RIGHT(A130,1)</f>
        <v>8</v>
      </c>
      <c r="F130" s="1" t="str">
        <f>G130 &amp; IF(H130&lt;&gt;"", "_" &amp; H130, "_") &amp; IF(I130&lt;&gt;"", "_" &amp; I130, "_") &amp; IF(B130&lt;&gt;"", "_" &amp; B130, "")</f>
        <v>Karbowski__2007</v>
      </c>
      <c r="G130" s="1" t="str">
        <f>SUBSTITUTE(SUBSTITUTE(_xlfn.TEXTBEFORE(A130,","), "-", ""), " ", "")</f>
        <v>Karbowski</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s="1" t="str">
        <f>_xlfn.TEXTBEFORE(_xlfn.TEXTAFTER(A130, "("), ")")</f>
        <v>2007</v>
      </c>
      <c r="J130" s="1" t="str">
        <f>_xlfn.LET(
_xlpm.doi,IF(C130&lt;&gt;"",C130,_xlfn.TEXTAFTER(A130,"https://doi.org/")),
SUBSTITUTE(
SUBSTITUTE(
SUBSTITUTE(
SUBSTITUTE(
_xlpm.doi,
"/","%2F"),
":","%3A"),
"&lt;","%3C"),
"&gt;","%3E")
)</f>
        <v>10.1186%2F1741-7007-5-18</v>
      </c>
      <c r="K130" s="1" t="str">
        <f>TRIM(_xlfn.TEXTJOIN("_",FALSE(),F130,(SUBSTITUTE(SUBSTITUTE(D130," ",""), "_", ""))))</f>
        <v>Karbowski__2007_TableS13</v>
      </c>
      <c r="L130" s="1" t="str">
        <f>J130 &amp; "_" &amp; SUBSTITUTE(SUBSTITUTE(SUBSTITUTE(D130,CHAR(160),"")," ",""),"_","")</f>
        <v>10.1186%2F1741-7007-5-18_TableS13</v>
      </c>
      <c r="M130" s="1" t="str">
        <f t="array" ref="M130">IFERROR(INDEX(FileList!$A$1:$A$1000,MATCH(TRUE(),EXACT(L130,IFERROR(_xlfn.TEXTBEFORE(FileList!$A$1:$A$1000,".tsv"),"")),0)),"notfound")</f>
        <v>10.1186%2F1741-7007-5-18_TableS13.tsv</v>
      </c>
      <c r="N130" s="3" t="s">
        <v>481</v>
      </c>
      <c r="V130" s="3" t="s">
        <v>41</v>
      </c>
      <c r="AG130" s="3" t="s">
        <v>452</v>
      </c>
      <c r="AI130" s="3" t="s">
        <v>460</v>
      </c>
      <c r="AJ130" s="3" t="s">
        <v>139</v>
      </c>
      <c r="AK130" s="3" t="s">
        <v>457</v>
      </c>
      <c r="AL130" s="3" t="s">
        <v>140</v>
      </c>
      <c r="AM130" s="3" t="s">
        <v>458</v>
      </c>
    </row>
    <row r="131" spans="1:39" ht="15.75" customHeight="1" x14ac:dyDescent="0.2">
      <c r="A131" s="3" t="s">
        <v>450</v>
      </c>
      <c r="D131" s="3" t="s">
        <v>482</v>
      </c>
      <c r="E131" s="1" t="str">
        <f>RIGHT(A131,1)</f>
        <v>8</v>
      </c>
      <c r="F131" s="1" t="str">
        <f>G131 &amp; IF(H131&lt;&gt;"", "_" &amp; H131, "_") &amp; IF(I131&lt;&gt;"", "_" &amp; I131, "_") &amp; IF(B131&lt;&gt;"", "_" &amp; B131, "")</f>
        <v>Karbowski__2007</v>
      </c>
      <c r="G131" s="1" t="str">
        <f>SUBSTITUTE(SUBSTITUTE(_xlfn.TEXTBEFORE(A131,","), "-", ""), " ", "")</f>
        <v>Karbowski</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_xlfn.TEXTBEFORE(_xlfn.TEXTAFTER(A131, "("), ")")</f>
        <v>2007</v>
      </c>
      <c r="J131" s="1" t="str">
        <f>_xlfn.LET(
_xlpm.doi,IF(C131&lt;&gt;"",C131,_xlfn.TEXTAFTER(A131,"https://doi.org/")),
SUBSTITUTE(
SUBSTITUTE(
SUBSTITUTE(
SUBSTITUTE(
_xlpm.doi,
"/","%2F"),
":","%3A"),
"&lt;","%3C"),
"&gt;","%3E")
)</f>
        <v>10.1186%2F1741-7007-5-18</v>
      </c>
      <c r="K131" s="1" t="str">
        <f>TRIM(_xlfn.TEXTJOIN("_",FALSE(),F131,(SUBSTITUTE(SUBSTITUTE(D131," ",""), "_", ""))))</f>
        <v>Karbowski__2007_TableS14</v>
      </c>
      <c r="L131" s="1" t="str">
        <f>J131 &amp; "_" &amp; SUBSTITUTE(SUBSTITUTE(SUBSTITUTE(D131,CHAR(160),"")," ",""),"_","")</f>
        <v>10.1186%2F1741-7007-5-18_TableS14</v>
      </c>
      <c r="M131" s="1" t="str">
        <f t="array" ref="M131">IFERROR(INDEX(FileList!$A$1:$A$1000,MATCH(TRUE(),EXACT(L131,IFERROR(_xlfn.TEXTBEFORE(FileList!$A$1:$A$1000,".tsv"),"")),0)),"notfound")</f>
        <v>10.1186%2F1741-7007-5-18_TableS14.tsv</v>
      </c>
      <c r="N131" s="3" t="s">
        <v>483</v>
      </c>
      <c r="V131" s="3" t="s">
        <v>41</v>
      </c>
      <c r="AG131" s="3" t="s">
        <v>452</v>
      </c>
      <c r="AI131" s="3" t="s">
        <v>460</v>
      </c>
      <c r="AJ131" s="3" t="s">
        <v>139</v>
      </c>
      <c r="AK131" s="3" t="s">
        <v>457</v>
      </c>
      <c r="AL131" s="3" t="s">
        <v>140</v>
      </c>
      <c r="AM131" s="3" t="s">
        <v>458</v>
      </c>
    </row>
    <row r="132" spans="1:39" ht="15" customHeight="1" x14ac:dyDescent="0.2">
      <c r="A132" s="3" t="s">
        <v>450</v>
      </c>
      <c r="D132" s="3" t="s">
        <v>484</v>
      </c>
      <c r="E132" s="1" t="str">
        <f>RIGHT(A132,1)</f>
        <v>8</v>
      </c>
      <c r="F132" s="1" t="str">
        <f>G132 &amp; IF(H132&lt;&gt;"", "_" &amp; H132, "_") &amp; IF(I132&lt;&gt;"", "_" &amp; I132, "_") &amp; IF(B132&lt;&gt;"", "_" &amp; B132, "")</f>
        <v>Karbowski__2007</v>
      </c>
      <c r="G132" s="1" t="str">
        <f>SUBSTITUTE(SUBSTITUTE(_xlfn.TEXTBEFORE(A132,","), "-", ""), " ", "")</f>
        <v>Karbowski</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_xlfn.TEXTBEFORE(_xlfn.TEXTAFTER(A132, "("), ")")</f>
        <v>2007</v>
      </c>
      <c r="J132" s="1" t="str">
        <f>_xlfn.LET(
_xlpm.doi,IF(C132&lt;&gt;"",C132,_xlfn.TEXTAFTER(A132,"https://doi.org/")),
SUBSTITUTE(
SUBSTITUTE(
SUBSTITUTE(
SUBSTITUTE(
_xlpm.doi,
"/","%2F"),
":","%3A"),
"&lt;","%3C"),
"&gt;","%3E")
)</f>
        <v>10.1186%2F1741-7007-5-18</v>
      </c>
      <c r="K132" s="1" t="str">
        <f>TRIM(_xlfn.TEXTJOIN("_",FALSE(),F132,(SUBSTITUTE(SUBSTITUTE(D132," ",""), "_", ""))))</f>
        <v>Karbowski__2007_TableS15</v>
      </c>
      <c r="L132" s="1" t="str">
        <f>J132 &amp; "_" &amp; SUBSTITUTE(SUBSTITUTE(SUBSTITUTE(D132,CHAR(160),"")," ",""),"_","")</f>
        <v>10.1186%2F1741-7007-5-18_TableS15</v>
      </c>
      <c r="M132" s="1" t="str">
        <f t="array" ref="M132">IFERROR(INDEX(FileList!$A$1:$A$1000,MATCH(TRUE(),EXACT(L132,IFERROR(_xlfn.TEXTBEFORE(FileList!$A$1:$A$1000,".tsv"),"")),0)),"notfound")</f>
        <v>10.1186%2F1741-7007-5-18_TableS15.tsv</v>
      </c>
      <c r="N132" s="3" t="s">
        <v>485</v>
      </c>
      <c r="V132" s="3" t="s">
        <v>41</v>
      </c>
      <c r="AG132" s="3" t="s">
        <v>452</v>
      </c>
      <c r="AI132" s="3" t="s">
        <v>460</v>
      </c>
      <c r="AJ132" s="3" t="s">
        <v>139</v>
      </c>
      <c r="AK132" s="3" t="s">
        <v>457</v>
      </c>
      <c r="AL132" s="3" t="s">
        <v>140</v>
      </c>
      <c r="AM132" s="3" t="s">
        <v>458</v>
      </c>
    </row>
    <row r="133" spans="1:39" ht="15" customHeight="1" x14ac:dyDescent="0.2">
      <c r="A133" s="3" t="s">
        <v>450</v>
      </c>
      <c r="D133" s="3" t="s">
        <v>486</v>
      </c>
      <c r="E133" s="1" t="str">
        <f>RIGHT(A133,1)</f>
        <v>8</v>
      </c>
      <c r="F133" s="1" t="str">
        <f>G133 &amp; IF(H133&lt;&gt;"", "_" &amp; H133, "_") &amp; IF(I133&lt;&gt;"", "_" &amp; I133, "_") &amp; IF(B133&lt;&gt;"", "_" &amp; B133, "")</f>
        <v>Karbowski__2007</v>
      </c>
      <c r="G133" s="1" t="str">
        <f>SUBSTITUTE(SUBSTITUTE(_xlfn.TEXTBEFORE(A133,","), "-", ""), " ", "")</f>
        <v>Karbowski</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s="1" t="str">
        <f>_xlfn.TEXTBEFORE(_xlfn.TEXTAFTER(A133, "("), ")")</f>
        <v>2007</v>
      </c>
      <c r="J133" s="1" t="str">
        <f>_xlfn.LET(
_xlpm.doi,IF(C133&lt;&gt;"",C133,_xlfn.TEXTAFTER(A133,"https://doi.org/")),
SUBSTITUTE(
SUBSTITUTE(
SUBSTITUTE(
SUBSTITUTE(
_xlpm.doi,
"/","%2F"),
":","%3A"),
"&lt;","%3C"),
"&gt;","%3E")
)</f>
        <v>10.1186%2F1741-7007-5-18</v>
      </c>
      <c r="K133" s="1" t="str">
        <f>TRIM(_xlfn.TEXTJOIN("_",FALSE(),F133,(SUBSTITUTE(SUBSTITUTE(D133," ",""), "_", ""))))</f>
        <v>Karbowski__2007_TableS16</v>
      </c>
      <c r="L133" s="1" t="str">
        <f>J133 &amp; "_" &amp; SUBSTITUTE(SUBSTITUTE(SUBSTITUTE(D133,CHAR(160),"")," ",""),"_","")</f>
        <v>10.1186%2F1741-7007-5-18_TableS16</v>
      </c>
      <c r="M133" s="1" t="str">
        <f t="array" ref="M133">IFERROR(INDEX(FileList!$A$1:$A$1000,MATCH(TRUE(),EXACT(L133,IFERROR(_xlfn.TEXTBEFORE(FileList!$A$1:$A$1000,".tsv"),"")),0)),"notfound")</f>
        <v>10.1186%2F1741-7007-5-18_TableS16.tsv</v>
      </c>
      <c r="N133" s="3" t="s">
        <v>487</v>
      </c>
      <c r="V133" s="3" t="s">
        <v>41</v>
      </c>
      <c r="AG133" s="3" t="s">
        <v>452</v>
      </c>
      <c r="AI133" s="3" t="s">
        <v>460</v>
      </c>
      <c r="AJ133" s="3" t="s">
        <v>139</v>
      </c>
      <c r="AK133" s="3" t="s">
        <v>457</v>
      </c>
      <c r="AL133" s="3" t="s">
        <v>140</v>
      </c>
      <c r="AM133" s="3" t="s">
        <v>458</v>
      </c>
    </row>
    <row r="134" spans="1:39" ht="15" customHeight="1" x14ac:dyDescent="0.2">
      <c r="A134" s="3" t="s">
        <v>450</v>
      </c>
      <c r="D134" s="3" t="s">
        <v>488</v>
      </c>
      <c r="E134" s="1" t="str">
        <f>RIGHT(A134,1)</f>
        <v>8</v>
      </c>
      <c r="F134" s="1" t="str">
        <f>G134 &amp; IF(H134&lt;&gt;"", "_" &amp; H134, "_") &amp; IF(I134&lt;&gt;"", "_" &amp; I134, "_") &amp; IF(B134&lt;&gt;"", "_" &amp; B134, "")</f>
        <v>Karbowski__2007</v>
      </c>
      <c r="G134" s="1" t="str">
        <f>SUBSTITUTE(SUBSTITUTE(_xlfn.TEXTBEFORE(A134,","), "-", ""), " ", "")</f>
        <v>Karbowski</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s="1" t="str">
        <f>_xlfn.TEXTBEFORE(_xlfn.TEXTAFTER(A134, "("), ")")</f>
        <v>2007</v>
      </c>
      <c r="J134" s="1" t="str">
        <f>_xlfn.LET(
_xlpm.doi,IF(C134&lt;&gt;"",C134,_xlfn.TEXTAFTER(A134,"https://doi.org/")),
SUBSTITUTE(
SUBSTITUTE(
SUBSTITUTE(
SUBSTITUTE(
_xlpm.doi,
"/","%2F"),
":","%3A"),
"&lt;","%3C"),
"&gt;","%3E")
)</f>
        <v>10.1186%2F1741-7007-5-18</v>
      </c>
      <c r="K134" s="1" t="str">
        <f>TRIM(_xlfn.TEXTJOIN("_",FALSE(),F134,(SUBSTITUTE(SUBSTITUTE(D134," ",""), "_", ""))))</f>
        <v>Karbowski__2007_TableS17</v>
      </c>
      <c r="L134" s="1" t="str">
        <f>J134 &amp; "_" &amp; SUBSTITUTE(SUBSTITUTE(SUBSTITUTE(D134,CHAR(160),"")," ",""),"_","")</f>
        <v>10.1186%2F1741-7007-5-18_TableS17</v>
      </c>
      <c r="M134" s="1" t="str">
        <f t="array" ref="M134">IFERROR(INDEX(FileList!$A$1:$A$1000,MATCH(TRUE(),EXACT(L134,IFERROR(_xlfn.TEXTBEFORE(FileList!$A$1:$A$1000,".tsv"),"")),0)),"notfound")</f>
        <v>10.1186%2F1741-7007-5-18_TableS17.tsv</v>
      </c>
      <c r="N134" s="3" t="s">
        <v>489</v>
      </c>
      <c r="V134" s="3" t="s">
        <v>41</v>
      </c>
      <c r="AG134" s="3" t="s">
        <v>452</v>
      </c>
      <c r="AI134" s="3" t="s">
        <v>460</v>
      </c>
      <c r="AJ134" s="3" t="s">
        <v>139</v>
      </c>
      <c r="AK134" s="3" t="s">
        <v>457</v>
      </c>
      <c r="AL134" s="3" t="s">
        <v>140</v>
      </c>
      <c r="AM134" s="3" t="s">
        <v>458</v>
      </c>
    </row>
    <row r="135" spans="1:39" ht="15" customHeight="1" x14ac:dyDescent="0.2">
      <c r="A135" s="3" t="s">
        <v>450</v>
      </c>
      <c r="D135" s="3" t="s">
        <v>490</v>
      </c>
      <c r="E135" s="1" t="str">
        <f>RIGHT(A135,1)</f>
        <v>8</v>
      </c>
      <c r="F135" s="1" t="str">
        <f>G135 &amp; IF(H135&lt;&gt;"", "_" &amp; H135, "_") &amp; IF(I135&lt;&gt;"", "_" &amp; I135, "_") &amp; IF(B135&lt;&gt;"", "_" &amp; B135, "")</f>
        <v>Karbowski__2007</v>
      </c>
      <c r="G135" s="1" t="str">
        <f>SUBSTITUTE(SUBSTITUTE(_xlfn.TEXTBEFORE(A135,","), "-", ""), " ", "")</f>
        <v>Karbowski</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s="1" t="str">
        <f>_xlfn.TEXTBEFORE(_xlfn.TEXTAFTER(A135, "("), ")")</f>
        <v>2007</v>
      </c>
      <c r="J135" s="1" t="str">
        <f>_xlfn.LET(
_xlpm.doi,IF(C135&lt;&gt;"",C135,_xlfn.TEXTAFTER(A135,"https://doi.org/")),
SUBSTITUTE(
SUBSTITUTE(
SUBSTITUTE(
SUBSTITUTE(
_xlpm.doi,
"/","%2F"),
":","%3A"),
"&lt;","%3C"),
"&gt;","%3E")
)</f>
        <v>10.1186%2F1741-7007-5-18</v>
      </c>
      <c r="K135" s="1" t="str">
        <f>TRIM(_xlfn.TEXTJOIN("_",FALSE(),F135,(SUBSTITUTE(SUBSTITUTE(D135," ",""), "_", ""))))</f>
        <v>Karbowski__2007_TableS18</v>
      </c>
      <c r="L135" s="1" t="str">
        <f>J135 &amp; "_" &amp; SUBSTITUTE(SUBSTITUTE(SUBSTITUTE(D135,CHAR(160),"")," ",""),"_","")</f>
        <v>10.1186%2F1741-7007-5-18_TableS18</v>
      </c>
      <c r="M135" s="1" t="str">
        <f t="array" ref="M135">IFERROR(INDEX(FileList!$A$1:$A$1000,MATCH(TRUE(),EXACT(L135,IFERROR(_xlfn.TEXTBEFORE(FileList!$A$1:$A$1000,".tsv"),"")),0)),"notfound")</f>
        <v>10.1186%2F1741-7007-5-18_TableS18.tsv</v>
      </c>
      <c r="N135" s="3" t="s">
        <v>491</v>
      </c>
      <c r="V135" s="3" t="s">
        <v>41</v>
      </c>
      <c r="AG135" s="3" t="s">
        <v>452</v>
      </c>
      <c r="AI135" s="3" t="s">
        <v>460</v>
      </c>
      <c r="AJ135" s="3" t="s">
        <v>139</v>
      </c>
      <c r="AK135" s="3" t="s">
        <v>457</v>
      </c>
      <c r="AL135" s="3" t="s">
        <v>140</v>
      </c>
      <c r="AM135" s="3" t="s">
        <v>458</v>
      </c>
    </row>
    <row r="136" spans="1:39" ht="15" customHeight="1" x14ac:dyDescent="0.2">
      <c r="A136" s="3" t="s">
        <v>450</v>
      </c>
      <c r="D136" s="3" t="s">
        <v>492</v>
      </c>
      <c r="E136" s="1" t="str">
        <f>RIGHT(A136,1)</f>
        <v>8</v>
      </c>
      <c r="F136" s="1" t="str">
        <f>G136 &amp; IF(H136&lt;&gt;"", "_" &amp; H136, "_") &amp; IF(I136&lt;&gt;"", "_" &amp; I136, "_") &amp; IF(B136&lt;&gt;"", "_" &amp; B136, "")</f>
        <v>Karbowski__2007</v>
      </c>
      <c r="G136" s="1" t="str">
        <f>SUBSTITUTE(SUBSTITUTE(_xlfn.TEXTBEFORE(A136,","), "-", ""), " ", "")</f>
        <v>Karbowski</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s="1" t="str">
        <f>_xlfn.TEXTBEFORE(_xlfn.TEXTAFTER(A136, "("), ")")</f>
        <v>2007</v>
      </c>
      <c r="J136" s="1" t="str">
        <f>_xlfn.LET(
_xlpm.doi,IF(C136&lt;&gt;"",C136,_xlfn.TEXTAFTER(A136,"https://doi.org/")),
SUBSTITUTE(
SUBSTITUTE(
SUBSTITUTE(
SUBSTITUTE(
_xlpm.doi,
"/","%2F"),
":","%3A"),
"&lt;","%3C"),
"&gt;","%3E")
)</f>
        <v>10.1186%2F1741-7007-5-18</v>
      </c>
      <c r="K136" s="1" t="str">
        <f>TRIM(_xlfn.TEXTJOIN("_",FALSE(),F136,(SUBSTITUTE(SUBSTITUTE(D136," ",""), "_", ""))))</f>
        <v>Karbowski__2007_TableS19</v>
      </c>
      <c r="L136" s="1" t="str">
        <f>J136 &amp; "_" &amp; SUBSTITUTE(SUBSTITUTE(SUBSTITUTE(D136,CHAR(160),"")," ",""),"_","")</f>
        <v>10.1186%2F1741-7007-5-18_TableS19</v>
      </c>
      <c r="M136" s="1" t="str">
        <f t="array" ref="M136">IFERROR(INDEX(FileList!$A$1:$A$1000,MATCH(TRUE(),EXACT(L136,IFERROR(_xlfn.TEXTBEFORE(FileList!$A$1:$A$1000,".tsv"),"")),0)),"notfound")</f>
        <v>10.1186%2F1741-7007-5-18_TableS19.tsv</v>
      </c>
      <c r="N136" s="3" t="s">
        <v>493</v>
      </c>
      <c r="V136" s="3" t="s">
        <v>41</v>
      </c>
      <c r="AG136" s="3" t="s">
        <v>452</v>
      </c>
      <c r="AI136" s="3" t="s">
        <v>460</v>
      </c>
      <c r="AJ136" s="3" t="s">
        <v>139</v>
      </c>
      <c r="AK136" s="3" t="s">
        <v>457</v>
      </c>
      <c r="AL136" s="3" t="s">
        <v>140</v>
      </c>
      <c r="AM136" s="3" t="s">
        <v>458</v>
      </c>
    </row>
    <row r="137" spans="1:39" ht="15" customHeight="1" x14ac:dyDescent="0.2">
      <c r="A137" s="3" t="s">
        <v>450</v>
      </c>
      <c r="D137" s="3" t="s">
        <v>494</v>
      </c>
      <c r="E137" s="1" t="str">
        <f>RIGHT(A137,1)</f>
        <v>8</v>
      </c>
      <c r="F137" s="1" t="str">
        <f>G137 &amp; IF(H137&lt;&gt;"", "_" &amp; H137, "_") &amp; IF(I137&lt;&gt;"", "_" &amp; I137, "_") &amp; IF(B137&lt;&gt;"", "_" &amp; B137, "")</f>
        <v>Karbowski__2007</v>
      </c>
      <c r="G137" s="1" t="str">
        <f>SUBSTITUTE(SUBSTITUTE(_xlfn.TEXTBEFORE(A137,","), "-", ""), " ", "")</f>
        <v>Karbowski</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
      </c>
      <c r="I137" s="1" t="str">
        <f>_xlfn.TEXTBEFORE(_xlfn.TEXTAFTER(A137, "("), ")")</f>
        <v>2007</v>
      </c>
      <c r="J137" s="1" t="str">
        <f>_xlfn.LET(
_xlpm.doi,IF(C137&lt;&gt;"",C137,_xlfn.TEXTAFTER(A137,"https://doi.org/")),
SUBSTITUTE(
SUBSTITUTE(
SUBSTITUTE(
SUBSTITUTE(
_xlpm.doi,
"/","%2F"),
":","%3A"),
"&lt;","%3C"),
"&gt;","%3E")
)</f>
        <v>10.1186%2F1741-7007-5-18</v>
      </c>
      <c r="K137" s="1" t="str">
        <f>TRIM(_xlfn.TEXTJOIN("_",FALSE(),F137,(SUBSTITUTE(SUBSTITUTE(D137," ",""), "_", ""))))</f>
        <v>Karbowski__2007_TableS20</v>
      </c>
      <c r="L137" s="1" t="str">
        <f>J137 &amp; "_" &amp; SUBSTITUTE(SUBSTITUTE(SUBSTITUTE(D137,CHAR(160),"")," ",""),"_","")</f>
        <v>10.1186%2F1741-7007-5-18_TableS20</v>
      </c>
      <c r="M137" s="1" t="str">
        <f t="array" ref="M137">IFERROR(INDEX(FileList!$A$1:$A$1000,MATCH(TRUE(),EXACT(L137,IFERROR(_xlfn.TEXTBEFORE(FileList!$A$1:$A$1000,".tsv"),"")),0)),"notfound")</f>
        <v>10.1186%2F1741-7007-5-18_TableS20.tsv</v>
      </c>
      <c r="N137" s="3" t="s">
        <v>495</v>
      </c>
      <c r="V137" s="3" t="s">
        <v>41</v>
      </c>
      <c r="AG137" s="3" t="s">
        <v>452</v>
      </c>
      <c r="AI137" s="3" t="s">
        <v>460</v>
      </c>
      <c r="AJ137" s="3" t="s">
        <v>139</v>
      </c>
      <c r="AK137" s="3" t="s">
        <v>457</v>
      </c>
      <c r="AL137" s="3" t="s">
        <v>140</v>
      </c>
      <c r="AM137" s="3" t="s">
        <v>458</v>
      </c>
    </row>
    <row r="138" spans="1:39" ht="15" customHeight="1" x14ac:dyDescent="0.2">
      <c r="A138" s="3" t="s">
        <v>450</v>
      </c>
      <c r="D138" s="3" t="s">
        <v>496</v>
      </c>
      <c r="E138" s="1" t="str">
        <f>RIGHT(A138,1)</f>
        <v>8</v>
      </c>
      <c r="F138" s="1" t="str">
        <f>G138 &amp; IF(H138&lt;&gt;"", "_" &amp; H138, "_") &amp; IF(I138&lt;&gt;"", "_" &amp; I138, "_") &amp; IF(B138&lt;&gt;"", "_" &amp; B138, "")</f>
        <v>Karbowski__2007</v>
      </c>
      <c r="G138" s="1" t="str">
        <f>SUBSTITUTE(SUBSTITUTE(_xlfn.TEXTBEFORE(A138,","), "-", ""), " ", "")</f>
        <v>Karbowski</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
      </c>
      <c r="I138" s="1" t="str">
        <f>_xlfn.TEXTBEFORE(_xlfn.TEXTAFTER(A138, "("), ")")</f>
        <v>2007</v>
      </c>
      <c r="J138" s="1" t="str">
        <f>_xlfn.LET(
_xlpm.doi,IF(C138&lt;&gt;"",C138,_xlfn.TEXTAFTER(A138,"https://doi.org/")),
SUBSTITUTE(
SUBSTITUTE(
SUBSTITUTE(
SUBSTITUTE(
_xlpm.doi,
"/","%2F"),
":","%3A"),
"&lt;","%3C"),
"&gt;","%3E")
)</f>
        <v>10.1186%2F1741-7007-5-18</v>
      </c>
      <c r="K138" s="1" t="str">
        <f>TRIM(_xlfn.TEXTJOIN("_",FALSE(),F138,(SUBSTITUTE(SUBSTITUTE(D138," ",""), "_", ""))))</f>
        <v>Karbowski__2007_TableS21</v>
      </c>
      <c r="L138" s="1" t="str">
        <f>J138 &amp; "_" &amp; SUBSTITUTE(SUBSTITUTE(SUBSTITUTE(D138,CHAR(160),"")," ",""),"_","")</f>
        <v>10.1186%2F1741-7007-5-18_TableS21</v>
      </c>
      <c r="M138" s="1" t="str">
        <f t="array" ref="M138">IFERROR(INDEX(FileList!$A$1:$A$1000,MATCH(TRUE(),EXACT(L138,IFERROR(_xlfn.TEXTBEFORE(FileList!$A$1:$A$1000,".tsv"),"")),0)),"notfound")</f>
        <v>10.1186%2F1741-7007-5-18_TableS21.tsv</v>
      </c>
      <c r="N138" s="3" t="s">
        <v>497</v>
      </c>
      <c r="V138" s="3" t="s">
        <v>41</v>
      </c>
      <c r="AG138" s="3" t="s">
        <v>452</v>
      </c>
      <c r="AI138" s="3" t="s">
        <v>460</v>
      </c>
      <c r="AJ138" s="3" t="s">
        <v>139</v>
      </c>
      <c r="AK138" s="3" t="s">
        <v>457</v>
      </c>
      <c r="AL138" s="3" t="s">
        <v>140</v>
      </c>
      <c r="AM138" s="3" t="s">
        <v>458</v>
      </c>
    </row>
    <row r="139" spans="1:39" ht="15" customHeight="1" x14ac:dyDescent="0.2">
      <c r="A139" s="3" t="s">
        <v>450</v>
      </c>
      <c r="D139" s="3" t="s">
        <v>498</v>
      </c>
      <c r="E139" s="1" t="str">
        <f>RIGHT(A139,1)</f>
        <v>8</v>
      </c>
      <c r="F139" s="1" t="str">
        <f>G139 &amp; IF(H139&lt;&gt;"", "_" &amp; H139, "_") &amp; IF(I139&lt;&gt;"", "_" &amp; I139, "_") &amp; IF(B139&lt;&gt;"", "_" &amp; B139, "")</f>
        <v>Karbowski__2007</v>
      </c>
      <c r="G139" s="1" t="str">
        <f>SUBSTITUTE(SUBSTITUTE(_xlfn.TEXTBEFORE(A139,","), "-", ""), " ", "")</f>
        <v>Karbowski</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
      </c>
      <c r="I139" s="1" t="str">
        <f>_xlfn.TEXTBEFORE(_xlfn.TEXTAFTER(A139, "("), ")")</f>
        <v>2007</v>
      </c>
      <c r="J139" s="1" t="str">
        <f>_xlfn.LET(
_xlpm.doi,IF(C139&lt;&gt;"",C139,_xlfn.TEXTAFTER(A139,"https://doi.org/")),
SUBSTITUTE(
SUBSTITUTE(
SUBSTITUTE(
SUBSTITUTE(
_xlpm.doi,
"/","%2F"),
":","%3A"),
"&lt;","%3C"),
"&gt;","%3E")
)</f>
        <v>10.1186%2F1741-7007-5-18</v>
      </c>
      <c r="K139" s="1" t="str">
        <f>TRIM(_xlfn.TEXTJOIN("_",FALSE(),F139,(SUBSTITUTE(SUBSTITUTE(D139," ",""), "_", ""))))</f>
        <v>Karbowski__2007_TableS22</v>
      </c>
      <c r="L139" s="1" t="str">
        <f>J139 &amp; "_" &amp; SUBSTITUTE(SUBSTITUTE(SUBSTITUTE(D139,CHAR(160),"")," ",""),"_","")</f>
        <v>10.1186%2F1741-7007-5-18_TableS22</v>
      </c>
      <c r="M139" s="1" t="str">
        <f t="array" ref="M139">IFERROR(INDEX(FileList!$A$1:$A$1000,MATCH(TRUE(),EXACT(L139,IFERROR(_xlfn.TEXTBEFORE(FileList!$A$1:$A$1000,".tsv"),"")),0)),"notfound")</f>
        <v>10.1186%2F1741-7007-5-18_TableS22.tsv</v>
      </c>
      <c r="N139" s="3" t="s">
        <v>499</v>
      </c>
      <c r="V139" s="3" t="s">
        <v>41</v>
      </c>
      <c r="AG139" s="3" t="s">
        <v>452</v>
      </c>
      <c r="AI139" s="3" t="s">
        <v>460</v>
      </c>
      <c r="AJ139" s="3" t="s">
        <v>139</v>
      </c>
      <c r="AK139" s="3" t="s">
        <v>457</v>
      </c>
      <c r="AL139" s="3" t="s">
        <v>140</v>
      </c>
      <c r="AM139" s="3" t="s">
        <v>458</v>
      </c>
    </row>
    <row r="140" spans="1:39" ht="15" customHeight="1" x14ac:dyDescent="0.2">
      <c r="A140" s="3" t="s">
        <v>450</v>
      </c>
      <c r="D140" s="3" t="s">
        <v>500</v>
      </c>
      <c r="E140" s="1" t="str">
        <f>RIGHT(A140,1)</f>
        <v>8</v>
      </c>
      <c r="F140" s="1" t="str">
        <f>G140 &amp; IF(H140&lt;&gt;"", "_" &amp; H140, "_") &amp; IF(I140&lt;&gt;"", "_" &amp; I140, "_") &amp; IF(B140&lt;&gt;"", "_" &amp; B140, "")</f>
        <v>Karbowski__2007</v>
      </c>
      <c r="G140" s="1" t="str">
        <f>SUBSTITUTE(SUBSTITUTE(_xlfn.TEXTBEFORE(A140,","), "-", ""), " ", "")</f>
        <v>Karbowski</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
      </c>
      <c r="I140" s="1" t="str">
        <f>_xlfn.TEXTBEFORE(_xlfn.TEXTAFTER(A140, "("), ")")</f>
        <v>2007</v>
      </c>
      <c r="J140" s="1" t="str">
        <f>_xlfn.LET(
_xlpm.doi,IF(C140&lt;&gt;"",C140,_xlfn.TEXTAFTER(A140,"https://doi.org/")),
SUBSTITUTE(
SUBSTITUTE(
SUBSTITUTE(
SUBSTITUTE(
_xlpm.doi,
"/","%2F"),
":","%3A"),
"&lt;","%3C"),
"&gt;","%3E")
)</f>
        <v>10.1186%2F1741-7007-5-18</v>
      </c>
      <c r="K140" s="1" t="str">
        <f>TRIM(_xlfn.TEXTJOIN("_",FALSE(),F140,(SUBSTITUTE(SUBSTITUTE(D140," ",""), "_", ""))))</f>
        <v>Karbowski__2007_TableS23</v>
      </c>
      <c r="L140" s="1" t="str">
        <f>J140 &amp; "_" &amp; SUBSTITUTE(SUBSTITUTE(SUBSTITUTE(D140,CHAR(160),"")," ",""),"_","")</f>
        <v>10.1186%2F1741-7007-5-18_TableS23</v>
      </c>
      <c r="M140" s="1" t="str">
        <f t="array" ref="M140">IFERROR(INDEX(FileList!$A$1:$A$1000,MATCH(TRUE(),EXACT(L140,IFERROR(_xlfn.TEXTBEFORE(FileList!$A$1:$A$1000,".tsv"),"")),0)),"notfound")</f>
        <v>10.1186%2F1741-7007-5-18_TableS23.tsv</v>
      </c>
      <c r="N140" s="3" t="s">
        <v>501</v>
      </c>
      <c r="V140" s="3" t="s">
        <v>41</v>
      </c>
      <c r="AG140" s="3" t="s">
        <v>452</v>
      </c>
      <c r="AI140" s="3" t="s">
        <v>460</v>
      </c>
      <c r="AJ140" s="3" t="s">
        <v>139</v>
      </c>
      <c r="AK140" s="3" t="s">
        <v>457</v>
      </c>
      <c r="AL140" s="3" t="s">
        <v>140</v>
      </c>
      <c r="AM140" s="3" t="s">
        <v>458</v>
      </c>
    </row>
    <row r="141" spans="1:39" ht="15" customHeight="1" x14ac:dyDescent="0.2">
      <c r="A141" s="3" t="s">
        <v>502</v>
      </c>
      <c r="D141" s="3" t="s">
        <v>48</v>
      </c>
      <c r="E141" s="1" t="str">
        <f>RIGHT(A141,1)</f>
        <v>9</v>
      </c>
      <c r="F141" s="1" t="str">
        <f>G141 &amp; IF(H141&lt;&gt;"", "_" &amp; H141, "_") &amp; IF(I141&lt;&gt;"", "_" &amp; I141, "_") &amp; IF(B141&lt;&gt;"", "_" &amp; B141, "")</f>
        <v>Karl_etal_2024</v>
      </c>
      <c r="G141" s="1" t="str">
        <f>SUBSTITUTE(SUBSTITUTE(_xlfn.TEXTBEFORE(A141,","), "-", ""), " ", "")</f>
        <v>Karl</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_xlfn.TEXTBEFORE(_xlfn.TEXTAFTER(A141, "("), ")")</f>
        <v>2024</v>
      </c>
      <c r="J141" s="1" t="str">
        <f>_xlfn.LET(
_xlpm.doi,IF(C141&lt;&gt;"",C141,_xlfn.TEXTAFTER(A141,"https://doi.org/")),
SUBSTITUTE(
SUBSTITUTE(
SUBSTITUTE(
SUBSTITUTE(
_xlpm.doi,
"/","%2F"),
":","%3A"),
"&lt;","%3C"),
"&gt;","%3E")
)</f>
        <v>10.1002%2Fcne.25669</v>
      </c>
      <c r="K141" s="1" t="str">
        <f>TRIM(_xlfn.TEXTJOIN("_",FALSE(),F141,(SUBSTITUTE(SUBSTITUTE(D141," ",""), "_", ""))))</f>
        <v>Karl_etal_2024_TABLE1</v>
      </c>
      <c r="L141" s="1" t="str">
        <f>J141 &amp; "_" &amp; SUBSTITUTE(SUBSTITUTE(SUBSTITUTE(D141,CHAR(160),"")," ",""),"_","")</f>
        <v>10.1002%2Fcne.25669_TABLE1</v>
      </c>
      <c r="M141" s="1" t="str">
        <f t="array" ref="M141">IFERROR(INDEX(FileList!$A$1:$A$1000,MATCH(TRUE(),EXACT(L141,IFERROR(_xlfn.TEXTBEFORE(FileList!$A$1:$A$1000,".tsv"),"")),0)),"notfound")</f>
        <v>10.1002%2Fcne.25669_TABLE1.tsv</v>
      </c>
      <c r="N141" s="3" t="s">
        <v>503</v>
      </c>
      <c r="P141" s="3" t="s">
        <v>40</v>
      </c>
      <c r="U141" s="3" t="s">
        <v>54</v>
      </c>
      <c r="V141" s="3" t="s">
        <v>41</v>
      </c>
      <c r="W141" s="3" t="s">
        <v>205</v>
      </c>
      <c r="AI141" s="3" t="s">
        <v>504</v>
      </c>
      <c r="AJ141" s="3" t="s">
        <v>139</v>
      </c>
      <c r="AK141" s="3" t="s">
        <v>62</v>
      </c>
      <c r="AL141" s="3" t="s">
        <v>62</v>
      </c>
      <c r="AM141" s="3" t="s">
        <v>504</v>
      </c>
    </row>
    <row r="142" spans="1:39" ht="15" customHeight="1" x14ac:dyDescent="0.2">
      <c r="A142" s="3" t="s">
        <v>505</v>
      </c>
      <c r="C142" s="3" t="s">
        <v>506</v>
      </c>
      <c r="D142" s="3" t="s">
        <v>507</v>
      </c>
      <c r="E142" s="1" t="str">
        <f>RIGHT(A142,1)</f>
        <v>.</v>
      </c>
      <c r="F142" s="1" t="str">
        <f>G142 &amp; IF(H142&lt;&gt;"", "_" &amp; H142, "_") &amp; IF(I142&lt;&gt;"", "_" &amp; I142, "_") &amp; IF(B142&lt;&gt;"", "_" &amp; B142, "")</f>
        <v>Kaufman__2004</v>
      </c>
      <c r="G142" s="1" t="str">
        <f>SUBSTITUTE(SUBSTITUTE(_xlfn.TEXTBEFORE(A142,","), "-", ""), " ", "")</f>
        <v>Kaufman</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
      </c>
      <c r="I142" s="1" t="str">
        <f>_xlfn.TEXTBEFORE(_xlfn.TEXTAFTER(A142, "("), ")")</f>
        <v>2004</v>
      </c>
      <c r="J142" s="1" t="str">
        <f>_xlfn.LET(
_xlpm.doi,IF(C142&lt;&gt;"",C142,_xlfn.TEXTAFTER(A142,"https://doi.org/")),
SUBSTITUTE(
SUBSTITUTE(
SUBSTITUTE(
SUBSTITUTE(
_xlpm.doi,
"/","%2F"),
":","%3A"),
"&lt;","%3C"),
"&gt;","%3E")
)</f>
        <v>UMI%3A3147447</v>
      </c>
      <c r="K142" s="1" t="str">
        <f>TRIM(_xlfn.TEXTJOIN("_",FALSE(),F142,(SUBSTITUTE(SUBSTITUTE(D142," ",""), "_", ""))))</f>
        <v>Kaufman__2004_TableA1</v>
      </c>
      <c r="L142" s="1" t="str">
        <f>J142 &amp; "_" &amp; SUBSTITUTE(SUBSTITUTE(SUBSTITUTE(D142,CHAR(160),"")," ",""),"_","")</f>
        <v>UMI%3A3147447_TableA1</v>
      </c>
      <c r="M142" s="1" t="str">
        <f t="array" ref="M142">IFERROR(INDEX(FileList!$A$1:$A$1000,MATCH(TRUE(),EXACT(L142,IFERROR(_xlfn.TEXTBEFORE(FileList!$A$1:$A$1000,".tsv"),"")),0)),"notfound")</f>
        <v>UMI%3A3147447_TableA1.tsv</v>
      </c>
      <c r="N142" s="3" t="s">
        <v>508</v>
      </c>
      <c r="P142" s="3" t="s">
        <v>165</v>
      </c>
      <c r="R142" s="3" t="s">
        <v>509</v>
      </c>
      <c r="T142" s="3" t="s">
        <v>510</v>
      </c>
      <c r="V142" s="3" t="s">
        <v>41</v>
      </c>
      <c r="AB142" s="3" t="s">
        <v>511</v>
      </c>
      <c r="AI142" s="3" t="s">
        <v>512</v>
      </c>
      <c r="AJ142" s="3" t="s">
        <v>139</v>
      </c>
      <c r="AK142" s="3" t="s">
        <v>62</v>
      </c>
      <c r="AL142" s="3" t="s">
        <v>140</v>
      </c>
      <c r="AM142" s="3" t="s">
        <v>513</v>
      </c>
    </row>
    <row r="143" spans="1:39" ht="15" customHeight="1" x14ac:dyDescent="0.2">
      <c r="A143" s="3" t="s">
        <v>505</v>
      </c>
      <c r="C143" s="3" t="s">
        <v>506</v>
      </c>
      <c r="D143" s="3" t="s">
        <v>514</v>
      </c>
      <c r="E143" s="1" t="str">
        <f>RIGHT(A143,1)</f>
        <v>.</v>
      </c>
      <c r="F143" s="1" t="str">
        <f>G143 &amp; IF(H143&lt;&gt;"", "_" &amp; H143, "_") &amp; IF(I143&lt;&gt;"", "_" &amp; I143, "_") &amp; IF(B143&lt;&gt;"", "_" &amp; B143, "")</f>
        <v>Kaufman__2004</v>
      </c>
      <c r="G143" s="1" t="str">
        <f>SUBSTITUTE(SUBSTITUTE(_xlfn.TEXTBEFORE(A143,","), "-", ""), " ", "")</f>
        <v>Kaufman</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
      </c>
      <c r="I143" s="1" t="str">
        <f>_xlfn.TEXTBEFORE(_xlfn.TEXTAFTER(A143, "("), ")")</f>
        <v>2004</v>
      </c>
      <c r="J143" s="1" t="str">
        <f>_xlfn.LET(
_xlpm.doi,IF(C143&lt;&gt;"",C143,_xlfn.TEXTAFTER(A143,"https://doi.org/")),
SUBSTITUTE(
SUBSTITUTE(
SUBSTITUTE(
SUBSTITUTE(
_xlpm.doi,
"/","%2F"),
":","%3A"),
"&lt;","%3C"),
"&gt;","%3E")
)</f>
        <v>UMI%3A3147447</v>
      </c>
      <c r="K143" s="1" t="str">
        <f>TRIM(_xlfn.TEXTJOIN("_",FALSE(),F143,(SUBSTITUTE(SUBSTITUTE(D143," ",""), "_", ""))))</f>
        <v>Kaufman__2004_TableA2</v>
      </c>
      <c r="L143" s="1" t="str">
        <f>J143 &amp; "_" &amp; SUBSTITUTE(SUBSTITUTE(SUBSTITUTE(D143,CHAR(160),"")," ",""),"_","")</f>
        <v>UMI%3A3147447_TableA2</v>
      </c>
      <c r="M143" s="1" t="str">
        <f t="array" ref="M143">IFERROR(INDEX(FileList!$A$1:$A$1000,MATCH(TRUE(),EXACT(L143,IFERROR(_xlfn.TEXTBEFORE(FileList!$A$1:$A$1000,".tsv"),"")),0)),"notfound")</f>
        <v>UMI%3A3147447_TableA2.tsv</v>
      </c>
      <c r="N143" s="3" t="s">
        <v>515</v>
      </c>
      <c r="P143" s="3" t="s">
        <v>165</v>
      </c>
      <c r="R143" s="3" t="s">
        <v>516</v>
      </c>
      <c r="T143" s="3" t="s">
        <v>517</v>
      </c>
      <c r="V143" s="3" t="s">
        <v>41</v>
      </c>
      <c r="AB143" s="3" t="s">
        <v>511</v>
      </c>
      <c r="AI143" s="3" t="s">
        <v>512</v>
      </c>
      <c r="AJ143" s="3" t="s">
        <v>139</v>
      </c>
      <c r="AK143" s="3" t="s">
        <v>62</v>
      </c>
      <c r="AL143" s="3" t="s">
        <v>140</v>
      </c>
      <c r="AM143" s="3" t="s">
        <v>513</v>
      </c>
    </row>
    <row r="144" spans="1:39" ht="15" customHeight="1" x14ac:dyDescent="0.2">
      <c r="A144" s="3" t="s">
        <v>505</v>
      </c>
      <c r="C144" s="3" t="s">
        <v>506</v>
      </c>
      <c r="D144" s="3" t="s">
        <v>518</v>
      </c>
      <c r="E144" s="1" t="str">
        <f>RIGHT(A144,1)</f>
        <v>.</v>
      </c>
      <c r="F144" s="1" t="str">
        <f>G144 &amp; IF(H144&lt;&gt;"", "_" &amp; H144, "_") &amp; IF(I144&lt;&gt;"", "_" &amp; I144, "_") &amp; IF(B144&lt;&gt;"", "_" &amp; B144, "")</f>
        <v>Kaufman__2004</v>
      </c>
      <c r="G144" s="1" t="str">
        <f>SUBSTITUTE(SUBSTITUTE(_xlfn.TEXTBEFORE(A144,","), "-", ""), " ", "")</f>
        <v>Kaufman</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
      </c>
      <c r="I144" s="1" t="str">
        <f>_xlfn.TEXTBEFORE(_xlfn.TEXTAFTER(A144, "("), ")")</f>
        <v>2004</v>
      </c>
      <c r="J144" s="1" t="str">
        <f>_xlfn.LET(
_xlpm.doi,IF(C144&lt;&gt;"",C144,_xlfn.TEXTAFTER(A144,"https://doi.org/")),
SUBSTITUTE(
SUBSTITUTE(
SUBSTITUTE(
SUBSTITUTE(
_xlpm.doi,
"/","%2F"),
":","%3A"),
"&lt;","%3C"),
"&gt;","%3E")
)</f>
        <v>UMI%3A3147447</v>
      </c>
      <c r="K144" s="1" t="str">
        <f>TRIM(_xlfn.TEXTJOIN("_",FALSE(),F144,(SUBSTITUTE(SUBSTITUTE(D144," ",""), "_", ""))))</f>
        <v>Kaufman__2004_TableA3</v>
      </c>
      <c r="L144" s="1" t="str">
        <f>J144 &amp; "_" &amp; SUBSTITUTE(SUBSTITUTE(SUBSTITUTE(D144,CHAR(160),"")," ",""),"_","")</f>
        <v>UMI%3A3147447_TableA3</v>
      </c>
      <c r="M144" s="1" t="str">
        <f t="array" ref="M144">IFERROR(INDEX(FileList!$A$1:$A$1000,MATCH(TRUE(),EXACT(L144,IFERROR(_xlfn.TEXTBEFORE(FileList!$A$1:$A$1000,".tsv"),"")),0)),"notfound")</f>
        <v>UMI%3A3147447_TableA3.tsv</v>
      </c>
      <c r="N144" s="3" t="s">
        <v>519</v>
      </c>
      <c r="P144" s="3" t="s">
        <v>165</v>
      </c>
      <c r="R144" s="3" t="s">
        <v>520</v>
      </c>
      <c r="T144" s="3" t="s">
        <v>521</v>
      </c>
      <c r="V144" s="3" t="s">
        <v>41</v>
      </c>
      <c r="AB144" s="3" t="s">
        <v>511</v>
      </c>
      <c r="AI144" s="3" t="s">
        <v>512</v>
      </c>
      <c r="AJ144" s="3" t="s">
        <v>139</v>
      </c>
      <c r="AK144" s="3" t="s">
        <v>62</v>
      </c>
      <c r="AL144" s="3" t="s">
        <v>140</v>
      </c>
      <c r="AM144" s="3" t="s">
        <v>513</v>
      </c>
    </row>
    <row r="145" spans="1:39" ht="15" customHeight="1" x14ac:dyDescent="0.2">
      <c r="A145" s="3" t="s">
        <v>505</v>
      </c>
      <c r="C145" s="3" t="s">
        <v>506</v>
      </c>
      <c r="D145" s="3" t="s">
        <v>522</v>
      </c>
      <c r="E145" s="1" t="str">
        <f>RIGHT(A145,1)</f>
        <v>.</v>
      </c>
      <c r="F145" s="1" t="str">
        <f>G145 &amp; IF(H145&lt;&gt;"", "_" &amp; H145, "_") &amp; IF(I145&lt;&gt;"", "_" &amp; I145, "_") &amp; IF(B145&lt;&gt;"", "_" &amp; B145, "")</f>
        <v>Kaufman__2004</v>
      </c>
      <c r="G145" s="1" t="str">
        <f>SUBSTITUTE(SUBSTITUTE(_xlfn.TEXTBEFORE(A145,","), "-", ""), " ", "")</f>
        <v>Kaufman</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
      </c>
      <c r="I145" s="1" t="str">
        <f>_xlfn.TEXTBEFORE(_xlfn.TEXTAFTER(A145, "("), ")")</f>
        <v>2004</v>
      </c>
      <c r="J145" s="1" t="str">
        <f>_xlfn.LET(
_xlpm.doi,IF(C145&lt;&gt;"",C145,_xlfn.TEXTAFTER(A145,"https://doi.org/")),
SUBSTITUTE(
SUBSTITUTE(
SUBSTITUTE(
SUBSTITUTE(
_xlpm.doi,
"/","%2F"),
":","%3A"),
"&lt;","%3C"),
"&gt;","%3E")
)</f>
        <v>UMI%3A3147447</v>
      </c>
      <c r="K145" s="1" t="str">
        <f>TRIM(_xlfn.TEXTJOIN("_",FALSE(),F145,(SUBSTITUTE(SUBSTITUTE(D145," ",""), "_", ""))))</f>
        <v>Kaufman__2004_TableA4</v>
      </c>
      <c r="L145" s="1" t="str">
        <f>J145 &amp; "_" &amp; SUBSTITUTE(SUBSTITUTE(SUBSTITUTE(D145,CHAR(160),"")," ",""),"_","")</f>
        <v>UMI%3A3147447_TableA4</v>
      </c>
      <c r="M145" s="1" t="str">
        <f t="array" ref="M145">IFERROR(INDEX(FileList!$A$1:$A$1000,MATCH(TRUE(),EXACT(L145,IFERROR(_xlfn.TEXTBEFORE(FileList!$A$1:$A$1000,".tsv"),"")),0)),"notfound")</f>
        <v>UMI%3A3147447_TableA4.tsv</v>
      </c>
      <c r="N145" s="3" t="s">
        <v>523</v>
      </c>
      <c r="P145" s="3" t="s">
        <v>165</v>
      </c>
      <c r="R145" s="3" t="s">
        <v>524</v>
      </c>
      <c r="T145" s="3" t="s">
        <v>525</v>
      </c>
      <c r="V145" s="3" t="s">
        <v>41</v>
      </c>
      <c r="AB145" s="3" t="s">
        <v>511</v>
      </c>
      <c r="AI145" s="3" t="s">
        <v>512</v>
      </c>
      <c r="AJ145" s="3" t="s">
        <v>139</v>
      </c>
      <c r="AK145" s="3" t="s">
        <v>62</v>
      </c>
      <c r="AL145" s="3" t="s">
        <v>140</v>
      </c>
      <c r="AM145" s="3" t="s">
        <v>513</v>
      </c>
    </row>
    <row r="146" spans="1:39" ht="15" customHeight="1" x14ac:dyDescent="0.2">
      <c r="A146" s="3" t="s">
        <v>505</v>
      </c>
      <c r="C146" s="3" t="s">
        <v>506</v>
      </c>
      <c r="D146" s="3" t="s">
        <v>526</v>
      </c>
      <c r="E146" s="1" t="str">
        <f>RIGHT(A146,1)</f>
        <v>.</v>
      </c>
      <c r="F146" s="1" t="str">
        <f>G146 &amp; IF(H146&lt;&gt;"", "_" &amp; H146, "_") &amp; IF(I146&lt;&gt;"", "_" &amp; I146, "_") &amp; IF(B146&lt;&gt;"", "_" &amp; B146, "")</f>
        <v>Kaufman__2004</v>
      </c>
      <c r="G146" s="1" t="str">
        <f>SUBSTITUTE(SUBSTITUTE(_xlfn.TEXTBEFORE(A146,","), "-", ""), " ", "")</f>
        <v>Kaufman</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s="1" t="str">
        <f>_xlfn.TEXTBEFORE(_xlfn.TEXTAFTER(A146, "("), ")")</f>
        <v>2004</v>
      </c>
      <c r="J146" s="1" t="str">
        <f>_xlfn.LET(
_xlpm.doi,IF(C146&lt;&gt;"",C146,_xlfn.TEXTAFTER(A146,"https://doi.org/")),
SUBSTITUTE(
SUBSTITUTE(
SUBSTITUTE(
SUBSTITUTE(
_xlpm.doi,
"/","%2F"),
":","%3A"),
"&lt;","%3C"),
"&gt;","%3E")
)</f>
        <v>UMI%3A3147447</v>
      </c>
      <c r="K146" s="1" t="str">
        <f>TRIM(_xlfn.TEXTJOIN("_",FALSE(),F146,(SUBSTITUTE(SUBSTITUTE(D146," ",""), "_", ""))))</f>
        <v>Kaufman__2004_TableA5</v>
      </c>
      <c r="L146" s="1" t="str">
        <f>J146 &amp; "_" &amp; SUBSTITUTE(SUBSTITUTE(SUBSTITUTE(D146,CHAR(160),"")," ",""),"_","")</f>
        <v>UMI%3A3147447_TableA5</v>
      </c>
      <c r="M146" s="1" t="str">
        <f t="array" ref="M146">IFERROR(INDEX(FileList!$A$1:$A$1000,MATCH(TRUE(),EXACT(L146,IFERROR(_xlfn.TEXTBEFORE(FileList!$A$1:$A$1000,".tsv"),"")),0)),"notfound")</f>
        <v>UMI%3A3147447_TableA5.tsv</v>
      </c>
      <c r="N146" s="3" t="s">
        <v>527</v>
      </c>
      <c r="P146" s="3" t="s">
        <v>165</v>
      </c>
      <c r="R146" s="3" t="s">
        <v>528</v>
      </c>
      <c r="T146" s="3" t="s">
        <v>529</v>
      </c>
      <c r="V146" s="3" t="s">
        <v>41</v>
      </c>
      <c r="AB146" s="3" t="s">
        <v>511</v>
      </c>
      <c r="AI146" s="3" t="s">
        <v>512</v>
      </c>
      <c r="AJ146" s="3" t="s">
        <v>139</v>
      </c>
      <c r="AK146" s="3" t="s">
        <v>62</v>
      </c>
      <c r="AL146" s="3" t="s">
        <v>140</v>
      </c>
      <c r="AM146" s="3" t="s">
        <v>513</v>
      </c>
    </row>
    <row r="147" spans="1:39" ht="15" customHeight="1" x14ac:dyDescent="0.2">
      <c r="A147" s="3" t="s">
        <v>505</v>
      </c>
      <c r="C147" s="3" t="s">
        <v>506</v>
      </c>
      <c r="D147" s="3" t="s">
        <v>530</v>
      </c>
      <c r="E147" s="1" t="str">
        <f>RIGHT(A147,1)</f>
        <v>.</v>
      </c>
      <c r="F147" s="1" t="str">
        <f>G147 &amp; IF(H147&lt;&gt;"", "_" &amp; H147, "_") &amp; IF(I147&lt;&gt;"", "_" &amp; I147, "_") &amp; IF(B147&lt;&gt;"", "_" &amp; B147, "")</f>
        <v>Kaufman__2004</v>
      </c>
      <c r="G147" s="1" t="str">
        <f>SUBSTITUTE(SUBSTITUTE(_xlfn.TEXTBEFORE(A147,","), "-", ""), " ", "")</f>
        <v>Kaufman</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s="1" t="str">
        <f>_xlfn.TEXTBEFORE(_xlfn.TEXTAFTER(A147, "("), ")")</f>
        <v>2004</v>
      </c>
      <c r="J147" s="1" t="str">
        <f>_xlfn.LET(
_xlpm.doi,IF(C147&lt;&gt;"",C147,_xlfn.TEXTAFTER(A147,"https://doi.org/")),
SUBSTITUTE(
SUBSTITUTE(
SUBSTITUTE(
SUBSTITUTE(
_xlpm.doi,
"/","%2F"),
":","%3A"),
"&lt;","%3C"),
"&gt;","%3E")
)</f>
        <v>UMI%3A3147447</v>
      </c>
      <c r="K147" s="1" t="str">
        <f>TRIM(_xlfn.TEXTJOIN("_",FALSE(),F147,(SUBSTITUTE(SUBSTITUTE(D147," ",""), "_", ""))))</f>
        <v>Kaufman__2004_TableA6</v>
      </c>
      <c r="L147" s="1" t="str">
        <f>J147 &amp; "_" &amp; SUBSTITUTE(SUBSTITUTE(SUBSTITUTE(D147,CHAR(160),"")," ",""),"_","")</f>
        <v>UMI%3A3147447_TableA6</v>
      </c>
      <c r="M147" s="1" t="str">
        <f t="array" ref="M147">IFERROR(INDEX(FileList!$A$1:$A$1000,MATCH(TRUE(),EXACT(L147,IFERROR(_xlfn.TEXTBEFORE(FileList!$A$1:$A$1000,".tsv"),"")),0)),"notfound")</f>
        <v>UMI%3A3147447_TableA6.tsv</v>
      </c>
      <c r="N147" s="3" t="s">
        <v>531</v>
      </c>
      <c r="P147" s="3" t="s">
        <v>165</v>
      </c>
      <c r="R147" s="3" t="s">
        <v>532</v>
      </c>
      <c r="T147" s="3" t="s">
        <v>533</v>
      </c>
      <c r="V147" s="3" t="s">
        <v>41</v>
      </c>
      <c r="AB147" s="3" t="s">
        <v>511</v>
      </c>
      <c r="AI147" s="3" t="s">
        <v>512</v>
      </c>
      <c r="AJ147" s="3" t="s">
        <v>139</v>
      </c>
      <c r="AK147" s="3" t="s">
        <v>62</v>
      </c>
      <c r="AL147" s="3" t="s">
        <v>140</v>
      </c>
      <c r="AM147" s="3" t="s">
        <v>513</v>
      </c>
    </row>
    <row r="148" spans="1:39" ht="15" customHeight="1" x14ac:dyDescent="0.2">
      <c r="A148" s="3" t="s">
        <v>505</v>
      </c>
      <c r="C148" s="3" t="s">
        <v>506</v>
      </c>
      <c r="D148" s="3" t="s">
        <v>534</v>
      </c>
      <c r="E148" s="1" t="str">
        <f>RIGHT(A148,1)</f>
        <v>.</v>
      </c>
      <c r="F148" s="1" t="str">
        <f>G148 &amp; IF(H148&lt;&gt;"", "_" &amp; H148, "_") &amp; IF(I148&lt;&gt;"", "_" &amp; I148, "_") &amp; IF(B148&lt;&gt;"", "_" &amp; B148, "")</f>
        <v>Kaufman__2004</v>
      </c>
      <c r="G148" s="1" t="str">
        <f>SUBSTITUTE(SUBSTITUTE(_xlfn.TEXTBEFORE(A148,","), "-", ""), " ", "")</f>
        <v>Kaufman</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s="1" t="str">
        <f>_xlfn.TEXTBEFORE(_xlfn.TEXTAFTER(A148, "("), ")")</f>
        <v>2004</v>
      </c>
      <c r="J148" s="1" t="str">
        <f>_xlfn.LET(
_xlpm.doi,IF(C148&lt;&gt;"",C148,_xlfn.TEXTAFTER(A148,"https://doi.org/")),
SUBSTITUTE(
SUBSTITUTE(
SUBSTITUTE(
SUBSTITUTE(
_xlpm.doi,
"/","%2F"),
":","%3A"),
"&lt;","%3C"),
"&gt;","%3E")
)</f>
        <v>UMI%3A3147447</v>
      </c>
      <c r="K148" s="1" t="str">
        <f>TRIM(_xlfn.TEXTJOIN("_",FALSE(),F148,(SUBSTITUTE(SUBSTITUTE(D148," ",""), "_", ""))))</f>
        <v>Kaufman__2004_TableA7</v>
      </c>
      <c r="L148" s="1" t="str">
        <f>J148 &amp; "_" &amp; SUBSTITUTE(SUBSTITUTE(SUBSTITUTE(D148,CHAR(160),"")," ",""),"_","")</f>
        <v>UMI%3A3147447_TableA7</v>
      </c>
      <c r="M148" s="1" t="str">
        <f t="array" ref="M148">IFERROR(INDEX(FileList!$A$1:$A$1000,MATCH(TRUE(),EXACT(L148,IFERROR(_xlfn.TEXTBEFORE(FileList!$A$1:$A$1000,".tsv"),"")),0)),"notfound")</f>
        <v>UMI%3A3147447_TableA7.tsv</v>
      </c>
      <c r="N148" s="3" t="s">
        <v>535</v>
      </c>
      <c r="P148" s="3" t="s">
        <v>165</v>
      </c>
      <c r="R148" s="3" t="s">
        <v>536</v>
      </c>
      <c r="T148" s="3" t="s">
        <v>537</v>
      </c>
      <c r="V148" s="3" t="s">
        <v>41</v>
      </c>
      <c r="AB148" s="3" t="s">
        <v>511</v>
      </c>
      <c r="AI148" s="3" t="s">
        <v>512</v>
      </c>
      <c r="AJ148" s="3" t="s">
        <v>139</v>
      </c>
      <c r="AK148" s="3" t="s">
        <v>62</v>
      </c>
      <c r="AL148" s="3" t="s">
        <v>140</v>
      </c>
      <c r="AM148" s="3" t="s">
        <v>513</v>
      </c>
    </row>
    <row r="149" spans="1:39" ht="15" customHeight="1" x14ac:dyDescent="0.2">
      <c r="A149" s="3" t="s">
        <v>505</v>
      </c>
      <c r="C149" s="3" t="s">
        <v>506</v>
      </c>
      <c r="D149" s="3" t="s">
        <v>538</v>
      </c>
      <c r="E149" s="1" t="str">
        <f>RIGHT(A149,1)</f>
        <v>.</v>
      </c>
      <c r="F149" s="1" t="str">
        <f>G149 &amp; IF(H149&lt;&gt;"", "_" &amp; H149, "_") &amp; IF(I149&lt;&gt;"", "_" &amp; I149, "_") &amp; IF(B149&lt;&gt;"", "_" &amp; B149, "")</f>
        <v>Kaufman__2004</v>
      </c>
      <c r="G149" s="1" t="str">
        <f>SUBSTITUTE(SUBSTITUTE(_xlfn.TEXTBEFORE(A149,","), "-", ""), " ", "")</f>
        <v>Kaufman</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 t="str">
        <f>_xlfn.TEXTBEFORE(_xlfn.TEXTAFTER(A149, "("), ")")</f>
        <v>2004</v>
      </c>
      <c r="J149" s="1" t="str">
        <f>_xlfn.LET(
_xlpm.doi,IF(C149&lt;&gt;"",C149,_xlfn.TEXTAFTER(A149,"https://doi.org/")),
SUBSTITUTE(
SUBSTITUTE(
SUBSTITUTE(
SUBSTITUTE(
_xlpm.doi,
"/","%2F"),
":","%3A"),
"&lt;","%3C"),
"&gt;","%3E")
)</f>
        <v>UMI%3A3147447</v>
      </c>
      <c r="K149" s="1" t="str">
        <f>TRIM(_xlfn.TEXTJOIN("_",FALSE(),F149,(SUBSTITUTE(SUBSTITUTE(D149," ",""), "_", ""))))</f>
        <v>Kaufman__2004_TableA8</v>
      </c>
      <c r="L149" s="1" t="str">
        <f>J149 &amp; "_" &amp; SUBSTITUTE(SUBSTITUTE(SUBSTITUTE(D149,CHAR(160),"")," ",""),"_","")</f>
        <v>UMI%3A3147447_TableA8</v>
      </c>
      <c r="M149" s="1" t="str">
        <f t="array" ref="M149">IFERROR(INDEX(FileList!$A$1:$A$1000,MATCH(TRUE(),EXACT(L149,IFERROR(_xlfn.TEXTBEFORE(FileList!$A$1:$A$1000,".tsv"),"")),0)),"notfound")</f>
        <v>UMI%3A3147447_TableA8.tsv</v>
      </c>
      <c r="N149" s="3" t="s">
        <v>539</v>
      </c>
      <c r="P149" s="3" t="s">
        <v>165</v>
      </c>
      <c r="R149" s="3" t="s">
        <v>540</v>
      </c>
      <c r="T149" s="3" t="s">
        <v>541</v>
      </c>
      <c r="V149" s="3" t="s">
        <v>41</v>
      </c>
      <c r="AB149" s="3" t="s">
        <v>511</v>
      </c>
      <c r="AI149" s="3" t="s">
        <v>512</v>
      </c>
      <c r="AJ149" s="3" t="s">
        <v>139</v>
      </c>
      <c r="AK149" s="3" t="s">
        <v>62</v>
      </c>
      <c r="AL149" s="3" t="s">
        <v>140</v>
      </c>
      <c r="AM149" s="3" t="s">
        <v>513</v>
      </c>
    </row>
    <row r="150" spans="1:39" ht="15" customHeight="1" x14ac:dyDescent="0.2">
      <c r="A150" s="3" t="s">
        <v>505</v>
      </c>
      <c r="C150" s="3" t="s">
        <v>506</v>
      </c>
      <c r="D150" s="3" t="s">
        <v>542</v>
      </c>
      <c r="E150" s="1" t="str">
        <f>RIGHT(A150,1)</f>
        <v>.</v>
      </c>
      <c r="F150" s="1" t="str">
        <f>G150 &amp; IF(H150&lt;&gt;"", "_" &amp; H150, "_") &amp; IF(I150&lt;&gt;"", "_" &amp; I150, "_") &amp; IF(B150&lt;&gt;"", "_" &amp; B150, "")</f>
        <v>Kaufman__2004</v>
      </c>
      <c r="G150" s="1" t="str">
        <f>SUBSTITUTE(SUBSTITUTE(_xlfn.TEXTBEFORE(A150,","), "-", ""), " ", "")</f>
        <v>Kaufman</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 t="str">
        <f>_xlfn.TEXTBEFORE(_xlfn.TEXTAFTER(A150, "("), ")")</f>
        <v>2004</v>
      </c>
      <c r="J150" s="1" t="str">
        <f>_xlfn.LET(
_xlpm.doi,IF(C150&lt;&gt;"",C150,_xlfn.TEXTAFTER(A150,"https://doi.org/")),
SUBSTITUTE(
SUBSTITUTE(
SUBSTITUTE(
SUBSTITUTE(
_xlpm.doi,
"/","%2F"),
":","%3A"),
"&lt;","%3C"),
"&gt;","%3E")
)</f>
        <v>UMI%3A3147447</v>
      </c>
      <c r="K150" s="1" t="str">
        <f>TRIM(_xlfn.TEXTJOIN("_",FALSE(),F150,(SUBSTITUTE(SUBSTITUTE(D150," ",""), "_", ""))))</f>
        <v>Kaufman__2004_TableA9</v>
      </c>
      <c r="L150" s="1" t="str">
        <f>J150 &amp; "_" &amp; SUBSTITUTE(SUBSTITUTE(SUBSTITUTE(D150,CHAR(160),"")," ",""),"_","")</f>
        <v>UMI%3A3147447_TableA9</v>
      </c>
      <c r="M150" s="1" t="str">
        <f t="array" ref="M150">IFERROR(INDEX(FileList!$A$1:$A$1000,MATCH(TRUE(),EXACT(L150,IFERROR(_xlfn.TEXTBEFORE(FileList!$A$1:$A$1000,".tsv"),"")),0)),"notfound")</f>
        <v>UMI%3A3147447_TableA9.tsv</v>
      </c>
      <c r="N150" s="3" t="s">
        <v>543</v>
      </c>
      <c r="P150" s="3" t="s">
        <v>165</v>
      </c>
      <c r="R150" s="3" t="s">
        <v>544</v>
      </c>
      <c r="T150" s="3" t="s">
        <v>545</v>
      </c>
      <c r="V150" s="3" t="s">
        <v>41</v>
      </c>
      <c r="AB150" s="3" t="s">
        <v>511</v>
      </c>
      <c r="AI150" s="3" t="s">
        <v>512</v>
      </c>
      <c r="AJ150" s="3" t="s">
        <v>139</v>
      </c>
      <c r="AK150" s="3" t="s">
        <v>62</v>
      </c>
      <c r="AL150" s="3" t="s">
        <v>140</v>
      </c>
      <c r="AM150" s="3" t="s">
        <v>513</v>
      </c>
    </row>
    <row r="151" spans="1:39" ht="15" customHeight="1" x14ac:dyDescent="0.2">
      <c r="A151" s="3" t="s">
        <v>505</v>
      </c>
      <c r="C151" s="3" t="s">
        <v>506</v>
      </c>
      <c r="D151" s="3" t="s">
        <v>546</v>
      </c>
      <c r="E151" s="1" t="str">
        <f>RIGHT(A151,1)</f>
        <v>.</v>
      </c>
      <c r="F151" s="1" t="str">
        <f>G151 &amp; IF(H151&lt;&gt;"", "_" &amp; H151, "_") &amp; IF(I151&lt;&gt;"", "_" &amp; I151, "_") &amp; IF(B151&lt;&gt;"", "_" &amp; B151, "")</f>
        <v>Kaufman__2004</v>
      </c>
      <c r="G151" s="1" t="str">
        <f>SUBSTITUTE(SUBSTITUTE(_xlfn.TEXTBEFORE(A151,","), "-", ""), " ", "")</f>
        <v>Kaufman</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_xlfn.TEXTBEFORE(_xlfn.TEXTAFTER(A151, "("), ")")</f>
        <v>2004</v>
      </c>
      <c r="J151" s="1" t="str">
        <f>_xlfn.LET(
_xlpm.doi,IF(C151&lt;&gt;"",C151,_xlfn.TEXTAFTER(A151,"https://doi.org/")),
SUBSTITUTE(
SUBSTITUTE(
SUBSTITUTE(
SUBSTITUTE(
_xlpm.doi,
"/","%2F"),
":","%3A"),
"&lt;","%3C"),
"&gt;","%3E")
)</f>
        <v>UMI%3A3147447</v>
      </c>
      <c r="K151" s="1" t="str">
        <f>TRIM(_xlfn.TEXTJOIN("_",FALSE(),F151,(SUBSTITUTE(SUBSTITUTE(D151," ",""), "_", ""))))</f>
        <v>Kaufman__2004_TableA10</v>
      </c>
      <c r="L151" s="1" t="str">
        <f>J151 &amp; "_" &amp; SUBSTITUTE(SUBSTITUTE(SUBSTITUTE(D151,CHAR(160),"")," ",""),"_","")</f>
        <v>UMI%3A3147447_TableA10</v>
      </c>
      <c r="M151" s="1" t="str">
        <f t="array" ref="M151">IFERROR(INDEX(FileList!$A$1:$A$1000,MATCH(TRUE(),EXACT(L151,IFERROR(_xlfn.TEXTBEFORE(FileList!$A$1:$A$1000,".tsv"),"")),0)),"notfound")</f>
        <v>UMI%3A3147447_TableA10.tsv</v>
      </c>
      <c r="N151" s="3" t="s">
        <v>547</v>
      </c>
      <c r="P151" s="3" t="s">
        <v>165</v>
      </c>
      <c r="R151" s="3" t="s">
        <v>548</v>
      </c>
      <c r="T151" s="3" t="s">
        <v>549</v>
      </c>
      <c r="V151" s="3" t="s">
        <v>41</v>
      </c>
      <c r="AB151" s="3" t="s">
        <v>511</v>
      </c>
      <c r="AI151" s="3" t="s">
        <v>512</v>
      </c>
      <c r="AJ151" s="3" t="s">
        <v>139</v>
      </c>
      <c r="AK151" s="3" t="s">
        <v>62</v>
      </c>
      <c r="AL151" s="3" t="s">
        <v>140</v>
      </c>
      <c r="AM151" s="3" t="s">
        <v>513</v>
      </c>
    </row>
    <row r="152" spans="1:39" ht="15" customHeight="1" x14ac:dyDescent="0.2">
      <c r="A152" s="3" t="s">
        <v>505</v>
      </c>
      <c r="C152" s="3" t="s">
        <v>506</v>
      </c>
      <c r="D152" s="3" t="s">
        <v>550</v>
      </c>
      <c r="E152" s="1" t="str">
        <f>RIGHT(A152,1)</f>
        <v>.</v>
      </c>
      <c r="F152" s="1" t="str">
        <f>G152 &amp; IF(H152&lt;&gt;"", "_" &amp; H152, "_") &amp; IF(I152&lt;&gt;"", "_" &amp; I152, "_") &amp; IF(B152&lt;&gt;"", "_" &amp; B152, "")</f>
        <v>Kaufman__2004</v>
      </c>
      <c r="G152" s="1" t="str">
        <f>SUBSTITUTE(SUBSTITUTE(_xlfn.TEXTBEFORE(A152,","), "-", ""), " ", "")</f>
        <v>Kaufman</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_xlfn.TEXTBEFORE(_xlfn.TEXTAFTER(A152, "("), ")")</f>
        <v>2004</v>
      </c>
      <c r="J152" s="1" t="str">
        <f>_xlfn.LET(
_xlpm.doi,IF(C152&lt;&gt;"",C152,_xlfn.TEXTAFTER(A152,"https://doi.org/")),
SUBSTITUTE(
SUBSTITUTE(
SUBSTITUTE(
SUBSTITUTE(
_xlpm.doi,
"/","%2F"),
":","%3A"),
"&lt;","%3C"),
"&gt;","%3E")
)</f>
        <v>UMI%3A3147447</v>
      </c>
      <c r="K152" s="1" t="str">
        <f>TRIM(_xlfn.TEXTJOIN("_",FALSE(),F152,(SUBSTITUTE(SUBSTITUTE(D152," ",""), "_", ""))))</f>
        <v>Kaufman__2004_TableA11</v>
      </c>
      <c r="L152" s="1" t="str">
        <f>J152 &amp; "_" &amp; SUBSTITUTE(SUBSTITUTE(SUBSTITUTE(D152,CHAR(160),"")," ",""),"_","")</f>
        <v>UMI%3A3147447_TableA11</v>
      </c>
      <c r="M152" s="1" t="str">
        <f t="array" ref="M152">IFERROR(INDEX(FileList!$A$1:$A$1000,MATCH(TRUE(),EXACT(L152,IFERROR(_xlfn.TEXTBEFORE(FileList!$A$1:$A$1000,".tsv"),"")),0)),"notfound")</f>
        <v>UMI%3A3147447_TableA11.tsv</v>
      </c>
      <c r="N152" s="3" t="s">
        <v>551</v>
      </c>
      <c r="P152" s="3" t="s">
        <v>165</v>
      </c>
      <c r="R152" s="3" t="s">
        <v>552</v>
      </c>
      <c r="T152" s="3" t="s">
        <v>553</v>
      </c>
      <c r="V152" s="3" t="s">
        <v>41</v>
      </c>
      <c r="AB152" s="3" t="s">
        <v>511</v>
      </c>
      <c r="AI152" s="3" t="s">
        <v>512</v>
      </c>
      <c r="AJ152" s="3" t="s">
        <v>139</v>
      </c>
      <c r="AK152" s="3" t="s">
        <v>62</v>
      </c>
      <c r="AL152" s="3" t="s">
        <v>140</v>
      </c>
      <c r="AM152" s="3" t="s">
        <v>513</v>
      </c>
    </row>
    <row r="153" spans="1:39" ht="15" customHeight="1" x14ac:dyDescent="0.2">
      <c r="A153" s="3" t="s">
        <v>505</v>
      </c>
      <c r="C153" s="3" t="s">
        <v>506</v>
      </c>
      <c r="D153" s="3" t="s">
        <v>554</v>
      </c>
      <c r="E153" s="1" t="str">
        <f>RIGHT(A153,1)</f>
        <v>.</v>
      </c>
      <c r="F153" s="1" t="str">
        <f>G153 &amp; IF(H153&lt;&gt;"", "_" &amp; H153, "_") &amp; IF(I153&lt;&gt;"", "_" &amp; I153, "_") &amp; IF(B153&lt;&gt;"", "_" &amp; B153, "")</f>
        <v>Kaufman__2004</v>
      </c>
      <c r="G153" s="1" t="str">
        <f>SUBSTITUTE(SUBSTITUTE(_xlfn.TEXTBEFORE(A153,","), "-", ""), " ", "")</f>
        <v>Kaufman</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 t="str">
        <f>_xlfn.TEXTBEFORE(_xlfn.TEXTAFTER(A153, "("), ")")</f>
        <v>2004</v>
      </c>
      <c r="J153" s="1" t="str">
        <f>_xlfn.LET(
_xlpm.doi,IF(C153&lt;&gt;"",C153,_xlfn.TEXTAFTER(A153,"https://doi.org/")),
SUBSTITUTE(
SUBSTITUTE(
SUBSTITUTE(
SUBSTITUTE(
_xlpm.doi,
"/","%2F"),
":","%3A"),
"&lt;","%3C"),
"&gt;","%3E")
)</f>
        <v>UMI%3A3147447</v>
      </c>
      <c r="K153" s="1" t="str">
        <f>TRIM(_xlfn.TEXTJOIN("_",FALSE(),F153,(SUBSTITUTE(SUBSTITUTE(D153," ",""), "_", ""))))</f>
        <v>Kaufman__2004_TableA12</v>
      </c>
      <c r="L153" s="1" t="str">
        <f>J153 &amp; "_" &amp; SUBSTITUTE(SUBSTITUTE(SUBSTITUTE(D153,CHAR(160),"")," ",""),"_","")</f>
        <v>UMI%3A3147447_TableA12</v>
      </c>
      <c r="M153" s="1" t="str">
        <f t="array" ref="M153">IFERROR(INDEX(FileList!$A$1:$A$1000,MATCH(TRUE(),EXACT(L153,IFERROR(_xlfn.TEXTBEFORE(FileList!$A$1:$A$1000,".tsv"),"")),0)),"notfound")</f>
        <v>UMI%3A3147447_TableA12.tsv</v>
      </c>
      <c r="N153" s="3" t="s">
        <v>555</v>
      </c>
      <c r="P153" s="3" t="s">
        <v>165</v>
      </c>
      <c r="R153" s="3" t="s">
        <v>556</v>
      </c>
      <c r="T153" s="3" t="s">
        <v>557</v>
      </c>
      <c r="V153" s="3" t="s">
        <v>41</v>
      </c>
      <c r="AB153" s="3" t="s">
        <v>511</v>
      </c>
      <c r="AI153" s="3" t="s">
        <v>512</v>
      </c>
      <c r="AJ153" s="3" t="s">
        <v>139</v>
      </c>
      <c r="AK153" s="3" t="s">
        <v>62</v>
      </c>
      <c r="AL153" s="3" t="s">
        <v>140</v>
      </c>
      <c r="AM153" s="3" t="s">
        <v>513</v>
      </c>
    </row>
    <row r="154" spans="1:39" ht="15" customHeight="1" x14ac:dyDescent="0.2">
      <c r="A154" s="3" t="s">
        <v>505</v>
      </c>
      <c r="C154" s="3" t="s">
        <v>506</v>
      </c>
      <c r="D154" s="3" t="s">
        <v>558</v>
      </c>
      <c r="E154" s="1" t="str">
        <f>RIGHT(A154,1)</f>
        <v>.</v>
      </c>
      <c r="F154" s="1" t="str">
        <f>G154 &amp; IF(H154&lt;&gt;"", "_" &amp; H154, "_") &amp; IF(I154&lt;&gt;"", "_" &amp; I154, "_") &amp; IF(B154&lt;&gt;"", "_" &amp; B154, "")</f>
        <v>Kaufman__2004</v>
      </c>
      <c r="G154" s="1" t="str">
        <f>SUBSTITUTE(SUBSTITUTE(_xlfn.TEXTBEFORE(A154,","), "-", ""), " ", "")</f>
        <v>Kaufman</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 t="str">
        <f>_xlfn.TEXTBEFORE(_xlfn.TEXTAFTER(A154, "("), ")")</f>
        <v>2004</v>
      </c>
      <c r="J154" s="1" t="str">
        <f>_xlfn.LET(
_xlpm.doi,IF(C154&lt;&gt;"",C154,_xlfn.TEXTAFTER(A154,"https://doi.org/")),
SUBSTITUTE(
SUBSTITUTE(
SUBSTITUTE(
SUBSTITUTE(
_xlpm.doi,
"/","%2F"),
":","%3A"),
"&lt;","%3C"),
"&gt;","%3E")
)</f>
        <v>UMI%3A3147447</v>
      </c>
      <c r="K154" s="1" t="str">
        <f>TRIM(_xlfn.TEXTJOIN("_",FALSE(),F154,(SUBSTITUTE(SUBSTITUTE(D154," ",""), "_", ""))))</f>
        <v>Kaufman__2004_TableA13</v>
      </c>
      <c r="L154" s="1" t="str">
        <f>J154 &amp; "_" &amp; SUBSTITUTE(SUBSTITUTE(SUBSTITUTE(D154,CHAR(160),"")," ",""),"_","")</f>
        <v>UMI%3A3147447_TableA13</v>
      </c>
      <c r="M154" s="1" t="str">
        <f t="array" ref="M154">IFERROR(INDEX(FileList!$A$1:$A$1000,MATCH(TRUE(),EXACT(L154,IFERROR(_xlfn.TEXTBEFORE(FileList!$A$1:$A$1000,".tsv"),"")),0)),"notfound")</f>
        <v>UMI%3A3147447_TableA13.tsv</v>
      </c>
      <c r="N154" s="3" t="s">
        <v>559</v>
      </c>
      <c r="P154" s="3" t="s">
        <v>165</v>
      </c>
      <c r="R154" s="3" t="s">
        <v>560</v>
      </c>
      <c r="T154" s="3" t="s">
        <v>561</v>
      </c>
      <c r="V154" s="3" t="s">
        <v>41</v>
      </c>
      <c r="AB154" s="3" t="s">
        <v>511</v>
      </c>
      <c r="AI154" s="3" t="s">
        <v>512</v>
      </c>
      <c r="AJ154" s="3" t="s">
        <v>139</v>
      </c>
      <c r="AK154" s="3" t="s">
        <v>62</v>
      </c>
      <c r="AL154" s="3" t="s">
        <v>140</v>
      </c>
      <c r="AM154" s="3" t="s">
        <v>513</v>
      </c>
    </row>
    <row r="155" spans="1:39" ht="15" customHeight="1" x14ac:dyDescent="0.2">
      <c r="A155" s="3" t="s">
        <v>505</v>
      </c>
      <c r="C155" s="3" t="s">
        <v>506</v>
      </c>
      <c r="D155" s="3" t="s">
        <v>562</v>
      </c>
      <c r="E155" s="1" t="str">
        <f>RIGHT(A155,1)</f>
        <v>.</v>
      </c>
      <c r="F155" s="1" t="str">
        <f>G155 &amp; IF(H155&lt;&gt;"", "_" &amp; H155, "_") &amp; IF(I155&lt;&gt;"", "_" &amp; I155, "_") &amp; IF(B155&lt;&gt;"", "_" &amp; B155, "")</f>
        <v>Kaufman__2004</v>
      </c>
      <c r="G155" s="1" t="str">
        <f>SUBSTITUTE(SUBSTITUTE(_xlfn.TEXTBEFORE(A155,","), "-", ""), " ", "")</f>
        <v>Kaufman</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_xlfn.TEXTBEFORE(_xlfn.TEXTAFTER(A155, "("), ")")</f>
        <v>2004</v>
      </c>
      <c r="J155" s="1" t="str">
        <f>_xlfn.LET(
_xlpm.doi,IF(C155&lt;&gt;"",C155,_xlfn.TEXTAFTER(A155,"https://doi.org/")),
SUBSTITUTE(
SUBSTITUTE(
SUBSTITUTE(
SUBSTITUTE(
_xlpm.doi,
"/","%2F"),
":","%3A"),
"&lt;","%3C"),
"&gt;","%3E")
)</f>
        <v>UMI%3A3147447</v>
      </c>
      <c r="K155" s="1" t="str">
        <f>TRIM(_xlfn.TEXTJOIN("_",FALSE(),F155,(SUBSTITUTE(SUBSTITUTE(D155," ",""), "_", ""))))</f>
        <v>Kaufman__2004_TableA14</v>
      </c>
      <c r="L155" s="1" t="str">
        <f>J155 &amp; "_" &amp; SUBSTITUTE(SUBSTITUTE(SUBSTITUTE(D155,CHAR(160),"")," ",""),"_","")</f>
        <v>UMI%3A3147447_TableA14</v>
      </c>
      <c r="M155" s="1" t="str">
        <f t="array" ref="M155">IFERROR(INDEX(FileList!$A$1:$A$1000,MATCH(TRUE(),EXACT(L155,IFERROR(_xlfn.TEXTBEFORE(FileList!$A$1:$A$1000,".tsv"),"")),0)),"notfound")</f>
        <v>UMI%3A3147447_TableA14.tsv</v>
      </c>
      <c r="N155" s="3" t="s">
        <v>563</v>
      </c>
      <c r="P155" s="3" t="s">
        <v>165</v>
      </c>
      <c r="R155" s="3" t="s">
        <v>564</v>
      </c>
      <c r="T155" s="3" t="s">
        <v>565</v>
      </c>
      <c r="V155" s="3" t="s">
        <v>41</v>
      </c>
      <c r="AB155" s="3" t="s">
        <v>511</v>
      </c>
      <c r="AI155" s="3" t="s">
        <v>512</v>
      </c>
      <c r="AJ155" s="3" t="s">
        <v>139</v>
      </c>
      <c r="AK155" s="3" t="s">
        <v>62</v>
      </c>
      <c r="AL155" s="3" t="s">
        <v>140</v>
      </c>
      <c r="AM155" s="3" t="s">
        <v>513</v>
      </c>
    </row>
    <row r="156" spans="1:39" ht="15" customHeight="1" x14ac:dyDescent="0.2">
      <c r="A156" s="3" t="s">
        <v>505</v>
      </c>
      <c r="C156" s="3" t="s">
        <v>506</v>
      </c>
      <c r="D156" s="3" t="s">
        <v>566</v>
      </c>
      <c r="E156" s="1" t="str">
        <f>RIGHT(A156,1)</f>
        <v>.</v>
      </c>
      <c r="F156" s="1" t="str">
        <f>G156 &amp; IF(H156&lt;&gt;"", "_" &amp; H156, "_") &amp; IF(I156&lt;&gt;"", "_" &amp; I156, "_") &amp; IF(B156&lt;&gt;"", "_" &amp; B156, "")</f>
        <v>Kaufman__2004</v>
      </c>
      <c r="G156" s="1" t="str">
        <f>SUBSTITUTE(SUBSTITUTE(_xlfn.TEXTBEFORE(A156,","), "-", ""), " ", "")</f>
        <v>Kaufman</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_xlfn.TEXTBEFORE(_xlfn.TEXTAFTER(A156, "("), ")")</f>
        <v>2004</v>
      </c>
      <c r="J156" s="1" t="str">
        <f>_xlfn.LET(
_xlpm.doi,IF(C156&lt;&gt;"",C156,_xlfn.TEXTAFTER(A156,"https://doi.org/")),
SUBSTITUTE(
SUBSTITUTE(
SUBSTITUTE(
SUBSTITUTE(
_xlpm.doi,
"/","%2F"),
":","%3A"),
"&lt;","%3C"),
"&gt;","%3E")
)</f>
        <v>UMI%3A3147447</v>
      </c>
      <c r="K156" s="1" t="str">
        <f>TRIM(_xlfn.TEXTJOIN("_",FALSE(),F156,(SUBSTITUTE(SUBSTITUTE(D156," ",""), "_", ""))))</f>
        <v>Kaufman__2004_TableA15</v>
      </c>
      <c r="L156" s="1" t="str">
        <f>J156 &amp; "_" &amp; SUBSTITUTE(SUBSTITUTE(SUBSTITUTE(D156,CHAR(160),"")," ",""),"_","")</f>
        <v>UMI%3A3147447_TableA15</v>
      </c>
      <c r="M156" s="1" t="str">
        <f t="array" ref="M156">IFERROR(INDEX(FileList!$A$1:$A$1000,MATCH(TRUE(),EXACT(L156,IFERROR(_xlfn.TEXTBEFORE(FileList!$A$1:$A$1000,".tsv"),"")),0)),"notfound")</f>
        <v>UMI%3A3147447_TableA15.tsv</v>
      </c>
      <c r="N156" s="3" t="s">
        <v>567</v>
      </c>
      <c r="P156" s="3" t="s">
        <v>165</v>
      </c>
      <c r="R156" s="3" t="s">
        <v>568</v>
      </c>
      <c r="T156" s="3" t="s">
        <v>569</v>
      </c>
      <c r="V156" s="3" t="s">
        <v>41</v>
      </c>
      <c r="AB156" s="3" t="s">
        <v>511</v>
      </c>
      <c r="AI156" s="3" t="s">
        <v>512</v>
      </c>
      <c r="AJ156" s="3" t="s">
        <v>139</v>
      </c>
      <c r="AK156" s="3" t="s">
        <v>62</v>
      </c>
      <c r="AL156" s="3" t="s">
        <v>140</v>
      </c>
      <c r="AM156" s="3" t="s">
        <v>513</v>
      </c>
    </row>
    <row r="157" spans="1:39" ht="15" customHeight="1" x14ac:dyDescent="0.2">
      <c r="A157" s="3" t="s">
        <v>840</v>
      </c>
      <c r="D157" s="3" t="s">
        <v>76</v>
      </c>
      <c r="E157" s="1" t="str">
        <f>RIGHT(A157,1)</f>
        <v>8</v>
      </c>
      <c r="F157" s="1" t="str">
        <f>G157 &amp; IF(H157&lt;&gt;"", "_" &amp; H157, "_") &amp; IF(I157&lt;&gt;"", "_" &amp; I157, "_") &amp; IF(B157&lt;&gt;"", "_" &amp; B157, "")</f>
        <v>Kazu_etal_2014</v>
      </c>
      <c r="G157" s="1" t="str">
        <f>SUBSTITUTE(SUBSTITUTE(_xlfn.TEXTBEFORE(A157,","), "-", ""), " ", "")</f>
        <v>Kazu</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 t="str">
        <f>_xlfn.TEXTBEFORE(_xlfn.TEXTAFTER(A157, "("), ")")</f>
        <v>2014</v>
      </c>
      <c r="J157" s="1" t="str">
        <f>_xlfn.LET(
_xlpm.doi,IF(C157&lt;&gt;"",C157,_xlfn.TEXTAFTER(A157,"https://doi.org/")),
SUBSTITUTE(
SUBSTITUTE(
SUBSTITUTE(
SUBSTITUTE(
_xlpm.doi,
"/","%2F"),
":","%3A"),
"&lt;","%3C"),
"&gt;","%3E")
)</f>
        <v>10.3389%2Ffnana.2014.00128</v>
      </c>
      <c r="K157" s="1" t="str">
        <f>TRIM(_xlfn.TEXTJOIN("_",FALSE(),F157,(SUBSTITUTE(SUBSTITUTE(D157," ",""), "_", ""))))</f>
        <v>Kazu_etal_2014_Table1</v>
      </c>
      <c r="L157" s="1" t="str">
        <f>J157 &amp; "_" &amp; SUBSTITUTE(SUBSTITUTE(SUBSTITUTE(D157,CHAR(160),"")," ",""),"_","")</f>
        <v>10.3389%2Ffnana.2014.00128_Table1</v>
      </c>
      <c r="M157" s="1" t="str">
        <f t="array" ref="M157">IFERROR(INDEX(FileList!$A$1:$A$1000,MATCH(TRUE(),EXACT(L157,IFERROR(_xlfn.TEXTBEFORE(FileList!$A$1:$A$1000,".tsv"),"")),0)),"notfound")</f>
        <v>notfound</v>
      </c>
      <c r="P157" s="4" t="s">
        <v>40</v>
      </c>
      <c r="R157" s="4" t="s">
        <v>1158</v>
      </c>
      <c r="T157" s="4" t="s">
        <v>1159</v>
      </c>
      <c r="U157" s="4" t="s">
        <v>54</v>
      </c>
      <c r="V157" s="4" t="s">
        <v>41</v>
      </c>
      <c r="Y157" s="4" t="s">
        <v>57</v>
      </c>
      <c r="AB157" s="4" t="s">
        <v>1160</v>
      </c>
      <c r="AI157" s="4" t="s">
        <v>1161</v>
      </c>
      <c r="AJ157" s="4" t="s">
        <v>1162</v>
      </c>
      <c r="AK157" s="4" t="s">
        <v>62</v>
      </c>
      <c r="AL157" s="4" t="s">
        <v>62</v>
      </c>
      <c r="AM157" s="4" t="s">
        <v>63</v>
      </c>
    </row>
    <row r="158" spans="1:39" ht="15" customHeight="1" x14ac:dyDescent="0.2">
      <c r="A158" s="3" t="s">
        <v>875</v>
      </c>
      <c r="D158" s="3" t="s">
        <v>48</v>
      </c>
      <c r="E158" s="1" t="str">
        <f>RIGHT(A158,1)</f>
        <v>9</v>
      </c>
      <c r="F158" s="1" t="str">
        <f>G158 &amp; IF(H158&lt;&gt;"", "_" &amp; H158, "_") &amp; IF(I158&lt;&gt;"", "_" &amp; I158, "_") &amp; IF(B158&lt;&gt;"", "_" &amp; B158, "")</f>
        <v>Kazu_etal_2015</v>
      </c>
      <c r="G158" s="1" t="str">
        <f>SUBSTITUTE(SUBSTITUTE(_xlfn.TEXTBEFORE(A158,","), "-", ""), " ", "")</f>
        <v>Kazu</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 t="str">
        <f>_xlfn.TEXTBEFORE(_xlfn.TEXTAFTER(A158, "("), ")")</f>
        <v>2015</v>
      </c>
      <c r="J158" s="1" t="str">
        <f>_xlfn.LET(
_xlpm.doi,IF(C158&lt;&gt;"",C158,_xlfn.TEXTAFTER(A158,"https://doi.org/")),
SUBSTITUTE(
SUBSTITUTE(
SUBSTITUTE(
SUBSTITUTE(
_xlpm.doi,
"/","%2F"),
":","%3A"),
"&lt;","%3C"),
"&gt;","%3E")
)</f>
        <v>10.3389%2Ffnana.2015.00039</v>
      </c>
      <c r="K158" s="1" t="str">
        <f>TRIM(_xlfn.TEXTJOIN("_",FALSE(),F158,(SUBSTITUTE(SUBSTITUTE(D158," ",""), "_", ""))))</f>
        <v>Kazu_etal_2015_TABLE1</v>
      </c>
      <c r="L158" s="1" t="str">
        <f>J158 &amp; "_" &amp; SUBSTITUTE(SUBSTITUTE(SUBSTITUTE(D158,CHAR(160),"")," ",""),"_","")</f>
        <v>10.3389%2Ffnana.2015.00039_TABLE1</v>
      </c>
      <c r="M158" s="1" t="str">
        <f t="array" ref="M158">IFERROR(INDEX(FileList!$A$1:$A$1000,MATCH(TRUE(),EXACT(L158,IFERROR(_xlfn.TEXTBEFORE(FileList!$A$1:$A$1000,".tsv"),"")),0)),"notfound")</f>
        <v>notfound</v>
      </c>
      <c r="N158" s="3" t="s">
        <v>1244</v>
      </c>
    </row>
    <row r="159" spans="1:39" ht="15" customHeight="1" x14ac:dyDescent="0.2">
      <c r="A159" s="3" t="s">
        <v>570</v>
      </c>
      <c r="C159" s="3"/>
      <c r="D159" s="3" t="s">
        <v>571</v>
      </c>
      <c r="E159" s="1" t="str">
        <f>RIGHT(A159,1)</f>
        <v>0</v>
      </c>
      <c r="F159" s="1" t="str">
        <f>G159 &amp; IF(H159&lt;&gt;"", "_" &amp; H159, "_") &amp; IF(I159&lt;&gt;"", "_" &amp; I159, "_") &amp; IF(B159&lt;&gt;"", "_" &amp; B159, "")</f>
        <v>Kochiyama_etal_2018</v>
      </c>
      <c r="G159" s="1" t="str">
        <f>SUBSTITUTE(SUBSTITUTE(_xlfn.TEXTBEFORE(A159,","), "-", ""), " ", "")</f>
        <v>Kochiyama</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 t="str">
        <f>_xlfn.TEXTBEFORE(_xlfn.TEXTAFTER(A159, "("), ")")</f>
        <v>2018</v>
      </c>
      <c r="J159" s="1" t="str">
        <f>_xlfn.LET(
_xlpm.doi,IF(C159&lt;&gt;"",C159,_xlfn.TEXTAFTER(A159,"https://doi.org/")),
SUBSTITUTE(
SUBSTITUTE(
SUBSTITUTE(
SUBSTITUTE(
_xlpm.doi,
"/","%2F"),
":","%3A"),
"&lt;","%3C"),
"&gt;","%3E")
)</f>
        <v>10.1038%2Fs41598-018-24331-0</v>
      </c>
      <c r="K159" s="1" t="str">
        <f>TRIM(_xlfn.TEXTJOIN("_",FALSE(),F159,(SUBSTITUTE(SUBSTITUTE(D159," ",""), "_", ""))))</f>
        <v>Kochiyama_etal_2018_ExtendedDataFigure4</v>
      </c>
      <c r="L159" s="1" t="str">
        <f>J159 &amp; "_" &amp; SUBSTITUTE(SUBSTITUTE(SUBSTITUTE(D159,CHAR(160),"")," ",""),"_","")</f>
        <v>10.1038%2Fs41598-018-24331-0_ExtendedDataFigure4</v>
      </c>
      <c r="M159" s="1" t="str">
        <f t="array" ref="M159">IFERROR(INDEX(FileList!$A$1:$A$1000,MATCH(TRUE(),EXACT(L159,IFERROR(_xlfn.TEXTBEFORE(FileList!$A$1:$A$1000,".tsv"),"")),0)),"notfound")</f>
        <v>10.1038%2Fs41598-018-24331-0_ExtendedDataFigure4.tsv</v>
      </c>
      <c r="N159" s="3" t="s">
        <v>860</v>
      </c>
      <c r="O159" s="3" t="s">
        <v>572</v>
      </c>
      <c r="V159" s="3" t="s">
        <v>573</v>
      </c>
    </row>
    <row r="160" spans="1:39" ht="15" customHeight="1" x14ac:dyDescent="0.2">
      <c r="A160" s="3" t="s">
        <v>570</v>
      </c>
      <c r="C160" s="3"/>
      <c r="D160" s="3" t="s">
        <v>574</v>
      </c>
      <c r="E160" s="1" t="str">
        <f>RIGHT(A160,1)</f>
        <v>0</v>
      </c>
      <c r="F160" s="1" t="str">
        <f>G160 &amp; IF(H160&lt;&gt;"", "_" &amp; H160, "_") &amp; IF(I160&lt;&gt;"", "_" &amp; I160, "_") &amp; IF(B160&lt;&gt;"", "_" &amp; B160, "")</f>
        <v>Kochiyama_etal_2018</v>
      </c>
      <c r="G160" s="1" t="str">
        <f>SUBSTITUTE(SUBSTITUTE(_xlfn.TEXTBEFORE(A160,","), "-", ""), " ", "")</f>
        <v>Kochiyama</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 t="str">
        <f>_xlfn.TEXTBEFORE(_xlfn.TEXTAFTER(A160, "("), ")")</f>
        <v>2018</v>
      </c>
      <c r="J160" s="1" t="str">
        <f>_xlfn.LET(
_xlpm.doi,IF(C160&lt;&gt;"",C160,_xlfn.TEXTAFTER(A160,"https://doi.org/")),
SUBSTITUTE(
SUBSTITUTE(
SUBSTITUTE(
SUBSTITUTE(
_xlpm.doi,
"/","%2F"),
":","%3A"),
"&lt;","%3C"),
"&gt;","%3E")
)</f>
        <v>10.1038%2Fs41598-018-24331-0</v>
      </c>
      <c r="K160" s="1" t="str">
        <f>TRIM(_xlfn.TEXTJOIN("_",FALSE(),F160,(SUBSTITUTE(SUBSTITUTE(D160," ",""), "_", ""))))</f>
        <v>Kochiyama_etal_2018_ExtendedDataTable1</v>
      </c>
      <c r="L160" s="1" t="str">
        <f>J160 &amp; "_" &amp; SUBSTITUTE(SUBSTITUTE(SUBSTITUTE(D160,CHAR(160),"")," ",""),"_","")</f>
        <v>10.1038%2Fs41598-018-24331-0_ExtendedDataTable1</v>
      </c>
      <c r="M160" s="1" t="str">
        <f t="array" ref="M160">IFERROR(INDEX(FileList!$A$1:$A$1000,MATCH(TRUE(),EXACT(L160,IFERROR(_xlfn.TEXTBEFORE(FileList!$A$1:$A$1000,".tsv"),"")),0)),"notfound")</f>
        <v>10.1038%2Fs41598-018-24331-0_ExtendedDataTable1.tsv</v>
      </c>
      <c r="N160" s="3" t="s">
        <v>861</v>
      </c>
      <c r="V160" s="3" t="s">
        <v>41</v>
      </c>
    </row>
    <row r="161" spans="1:39" ht="15" customHeight="1" x14ac:dyDescent="0.2">
      <c r="A161" s="3" t="s">
        <v>570</v>
      </c>
      <c r="C161" s="3"/>
      <c r="D161" s="3" t="s">
        <v>575</v>
      </c>
      <c r="E161" s="1" t="str">
        <f>RIGHT(A161,1)</f>
        <v>0</v>
      </c>
      <c r="F161" s="1" t="str">
        <f>G161 &amp; IF(H161&lt;&gt;"", "_" &amp; H161, "_") &amp; IF(I161&lt;&gt;"", "_" &amp; I161, "_") &amp; IF(B161&lt;&gt;"", "_" &amp; B161, "")</f>
        <v>Kochiyama_etal_2018</v>
      </c>
      <c r="G161" s="1" t="str">
        <f>SUBSTITUTE(SUBSTITUTE(_xlfn.TEXTBEFORE(A161,","), "-", ""), " ", "")</f>
        <v>Kochiyama</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_xlfn.TEXTBEFORE(_xlfn.TEXTAFTER(A161, "("), ")")</f>
        <v>2018</v>
      </c>
      <c r="J161" s="1" t="str">
        <f>_xlfn.LET(
_xlpm.doi,IF(C161&lt;&gt;"",C161,_xlfn.TEXTAFTER(A161,"https://doi.org/")),
SUBSTITUTE(
SUBSTITUTE(
SUBSTITUTE(
SUBSTITUTE(
_xlpm.doi,
"/","%2F"),
":","%3A"),
"&lt;","%3C"),
"&gt;","%3E")
)</f>
        <v>10.1038%2Fs41598-018-24331-0</v>
      </c>
      <c r="K161" s="1" t="str">
        <f>TRIM(_xlfn.TEXTJOIN("_",FALSE(),F161,(SUBSTITUTE(SUBSTITUTE(D161," ",""), "_", ""))))</f>
        <v>Kochiyama_etal_2018_ExtendedDataTable3</v>
      </c>
      <c r="L161" s="1" t="str">
        <f>J161 &amp; "_" &amp; SUBSTITUTE(SUBSTITUTE(SUBSTITUTE(D161,CHAR(160),"")," ",""),"_","")</f>
        <v>10.1038%2Fs41598-018-24331-0_ExtendedDataTable3</v>
      </c>
      <c r="M161" s="1" t="str">
        <f t="array" ref="M161">IFERROR(INDEX(FileList!$A$1:$A$1000,MATCH(TRUE(),EXACT(L161,IFERROR(_xlfn.TEXTBEFORE(FileList!$A$1:$A$1000,".tsv"),"")),0)),"notfound")</f>
        <v>10.1038%2Fs41598-018-24331-0_ExtendedDataTable3.tsv</v>
      </c>
      <c r="N161" s="3" t="s">
        <v>862</v>
      </c>
      <c r="V161" s="3" t="s">
        <v>41</v>
      </c>
    </row>
    <row r="162" spans="1:39" ht="15" customHeight="1" x14ac:dyDescent="0.2">
      <c r="A162" s="3" t="s">
        <v>570</v>
      </c>
      <c r="C162" s="3"/>
      <c r="D162" s="3" t="s">
        <v>576</v>
      </c>
      <c r="E162" s="1" t="str">
        <f>RIGHT(A162,1)</f>
        <v>0</v>
      </c>
      <c r="F162" s="1" t="str">
        <f>G162 &amp; IF(H162&lt;&gt;"", "_" &amp; H162, "_") &amp; IF(I162&lt;&gt;"", "_" &amp; I162, "_") &amp; IF(B162&lt;&gt;"", "_" &amp; B162, "")</f>
        <v>Kochiyama_etal_2018</v>
      </c>
      <c r="G162" s="1" t="str">
        <f>SUBSTITUTE(SUBSTITUTE(_xlfn.TEXTBEFORE(A162,","), "-", ""), " ", "")</f>
        <v>Kochiyama</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 t="str">
        <f>_xlfn.TEXTBEFORE(_xlfn.TEXTAFTER(A162, "("), ")")</f>
        <v>2018</v>
      </c>
      <c r="J162" s="1" t="str">
        <f>_xlfn.LET(
_xlpm.doi,IF(C162&lt;&gt;"",C162,_xlfn.TEXTAFTER(A162,"https://doi.org/")),
SUBSTITUTE(
SUBSTITUTE(
SUBSTITUTE(
SUBSTITUTE(
_xlpm.doi,
"/","%2F"),
":","%3A"),
"&lt;","%3C"),
"&gt;","%3E")
)</f>
        <v>10.1038%2Fs41598-018-24331-0</v>
      </c>
      <c r="K162" s="1" t="str">
        <f>TRIM(_xlfn.TEXTJOIN("_",FALSE(),F162,(SUBSTITUTE(SUBSTITUTE(D162," ",""), "_", ""))))</f>
        <v>Kochiyama_etal_2018_Figure3legend</v>
      </c>
      <c r="L162" s="1" t="str">
        <f>J162 &amp; "_" &amp; SUBSTITUTE(SUBSTITUTE(SUBSTITUTE(D162,CHAR(160),"")," ",""),"_","")</f>
        <v>10.1038%2Fs41598-018-24331-0_Figure3legend</v>
      </c>
      <c r="M162" s="1" t="str">
        <f t="array" ref="M162">IFERROR(INDEX(FileList!$A$1:$A$1000,MATCH(TRUE(),EXACT(L162,IFERROR(_xlfn.TEXTBEFORE(FileList!$A$1:$A$1000,".tsv"),"")),0)),"notfound")</f>
        <v>10.1038%2Fs41598-018-24331-0_Figure3legend.tsv</v>
      </c>
      <c r="N162" s="3" t="s">
        <v>577</v>
      </c>
      <c r="O162" s="3" t="s">
        <v>578</v>
      </c>
      <c r="V162" s="3" t="s">
        <v>579</v>
      </c>
    </row>
    <row r="163" spans="1:39" ht="15" customHeight="1" x14ac:dyDescent="0.2">
      <c r="A163" s="3" t="s">
        <v>570</v>
      </c>
      <c r="C163" s="3"/>
      <c r="D163" s="3" t="s">
        <v>580</v>
      </c>
      <c r="E163" s="1" t="str">
        <f>RIGHT(A163,1)</f>
        <v>0</v>
      </c>
      <c r="F163" s="1" t="str">
        <f>G163 &amp; IF(H163&lt;&gt;"", "_" &amp; H163, "_") &amp; IF(I163&lt;&gt;"", "_" &amp; I163, "_") &amp; IF(B163&lt;&gt;"", "_" &amp; B163, "")</f>
        <v>Kochiyama_etal_2018</v>
      </c>
      <c r="G163" s="1" t="str">
        <f>SUBSTITUTE(SUBSTITUTE(_xlfn.TEXTBEFORE(A163,","), "-", ""), " ", "")</f>
        <v>Kochiyama</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 t="str">
        <f>_xlfn.TEXTBEFORE(_xlfn.TEXTAFTER(A163, "("), ")")</f>
        <v>2018</v>
      </c>
      <c r="J163" s="1" t="str">
        <f>_xlfn.LET(
_xlpm.doi,IF(C163&lt;&gt;"",C163,_xlfn.TEXTAFTER(A163,"https://doi.org/")),
SUBSTITUTE(
SUBSTITUTE(
SUBSTITUTE(
SUBSTITUTE(
_xlpm.doi,
"/","%2F"),
":","%3A"),
"&lt;","%3C"),
"&gt;","%3E")
)</f>
        <v>10.1038%2Fs41598-018-24331-0</v>
      </c>
      <c r="K163" s="1" t="str">
        <f>TRIM(_xlfn.TEXTJOIN("_",FALSE(),F163,(SUBSTITUTE(SUBSTITUTE(D163," ",""), "_", ""))))</f>
        <v>Kochiyama_etal_2018_Figure3A</v>
      </c>
      <c r="L163" s="1" t="str">
        <f>J163 &amp; "_" &amp; SUBSTITUTE(SUBSTITUTE(SUBSTITUTE(D163,CHAR(160),"")," ",""),"_","")</f>
        <v>10.1038%2Fs41598-018-24331-0_Figure3A</v>
      </c>
      <c r="M163" s="1" t="str">
        <f t="array" ref="M163">IFERROR(INDEX(FileList!$A$1:$A$1000,MATCH(TRUE(),EXACT(L163,IFERROR(_xlfn.TEXTBEFORE(FileList!$A$1:$A$1000,".tsv"),"")),0)),"notfound")</f>
        <v>10.1038%2Fs41598-018-24331-0_Figure3A.tsv</v>
      </c>
      <c r="N163" s="3" t="s">
        <v>577</v>
      </c>
      <c r="O163" s="3" t="s">
        <v>572</v>
      </c>
      <c r="V163" s="3" t="s">
        <v>573</v>
      </c>
    </row>
    <row r="164" spans="1:39" ht="15" customHeight="1" x14ac:dyDescent="0.2">
      <c r="A164" s="3" t="s">
        <v>570</v>
      </c>
      <c r="C164" s="3"/>
      <c r="D164" s="3" t="s">
        <v>581</v>
      </c>
      <c r="E164" s="1" t="str">
        <f>RIGHT(A164,1)</f>
        <v>0</v>
      </c>
      <c r="F164" s="1" t="str">
        <f>G164 &amp; IF(H164&lt;&gt;"", "_" &amp; H164, "_") &amp; IF(I164&lt;&gt;"", "_" &amp; I164, "_") &amp; IF(B164&lt;&gt;"", "_" &amp; B164, "")</f>
        <v>Kochiyama_etal_2018</v>
      </c>
      <c r="G164" s="1" t="str">
        <f>SUBSTITUTE(SUBSTITUTE(_xlfn.TEXTBEFORE(A164,","), "-", ""), " ", "")</f>
        <v>Kochiyama</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 t="str">
        <f>_xlfn.TEXTBEFORE(_xlfn.TEXTAFTER(A164, "("), ")")</f>
        <v>2018</v>
      </c>
      <c r="J164" s="1" t="str">
        <f>_xlfn.LET(
_xlpm.doi,IF(C164&lt;&gt;"",C164,_xlfn.TEXTAFTER(A164,"https://doi.org/")),
SUBSTITUTE(
SUBSTITUTE(
SUBSTITUTE(
SUBSTITUTE(
_xlpm.doi,
"/","%2F"),
":","%3A"),
"&lt;","%3C"),
"&gt;","%3E")
)</f>
        <v>10.1038%2Fs41598-018-24331-0</v>
      </c>
      <c r="K164" s="1" t="str">
        <f>TRIM(_xlfn.TEXTJOIN("_",FALSE(),F164,(SUBSTITUTE(SUBSTITUTE(D164," ",""), "_", ""))))</f>
        <v>Kochiyama_etal_2018_Figure3B</v>
      </c>
      <c r="L164" s="1" t="str">
        <f>J164 &amp; "_" &amp; SUBSTITUTE(SUBSTITUTE(SUBSTITUTE(D164,CHAR(160),"")," ",""),"_","")</f>
        <v>10.1038%2Fs41598-018-24331-0_Figure3B</v>
      </c>
      <c r="M164" s="1" t="str">
        <f t="array" ref="M164">IFERROR(INDEX(FileList!$A$1:$A$1000,MATCH(TRUE(),EXACT(L164,IFERROR(_xlfn.TEXTBEFORE(FileList!$A$1:$A$1000,".tsv"),"")),0)),"notfound")</f>
        <v>10.1038%2Fs41598-018-24331-0_Figure3B.tsv</v>
      </c>
      <c r="N164" s="3" t="s">
        <v>577</v>
      </c>
      <c r="O164" s="3" t="s">
        <v>572</v>
      </c>
      <c r="V164" s="3" t="s">
        <v>573</v>
      </c>
    </row>
    <row r="165" spans="1:39" ht="15" customHeight="1" x14ac:dyDescent="0.2">
      <c r="A165" s="3" t="s">
        <v>570</v>
      </c>
      <c r="C165" s="3"/>
      <c r="D165" s="3" t="s">
        <v>582</v>
      </c>
      <c r="E165" s="1" t="str">
        <f>RIGHT(A165,1)</f>
        <v>0</v>
      </c>
      <c r="F165" s="1" t="str">
        <f>G165 &amp; IF(H165&lt;&gt;"", "_" &amp; H165, "_") &amp; IF(I165&lt;&gt;"", "_" &amp; I165, "_") &amp; IF(B165&lt;&gt;"", "_" &amp; B165, "")</f>
        <v>Kochiyama_etal_2018</v>
      </c>
      <c r="G165" s="1" t="str">
        <f>SUBSTITUTE(SUBSTITUTE(_xlfn.TEXTBEFORE(A165,","), "-", ""), " ", "")</f>
        <v>Kochiyama</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 t="str">
        <f>_xlfn.TEXTBEFORE(_xlfn.TEXTAFTER(A165, "("), ")")</f>
        <v>2018</v>
      </c>
      <c r="J165" s="1" t="str">
        <f>_xlfn.LET(
_xlpm.doi,IF(C165&lt;&gt;"",C165,_xlfn.TEXTAFTER(A165,"https://doi.org/")),
SUBSTITUTE(
SUBSTITUTE(
SUBSTITUTE(
SUBSTITUTE(
_xlpm.doi,
"/","%2F"),
":","%3A"),
"&lt;","%3C"),
"&gt;","%3E")
)</f>
        <v>10.1038%2Fs41598-018-24331-0</v>
      </c>
      <c r="K165" s="1" t="str">
        <f>TRIM(_xlfn.TEXTJOIN("_",FALSE(),F165,(SUBSTITUTE(SUBSTITUTE(D165," ",""), "_", ""))))</f>
        <v>Kochiyama_etal_2018_FossilSpecimensText</v>
      </c>
      <c r="L165" s="1" t="str">
        <f>J165 &amp; "_" &amp; SUBSTITUTE(SUBSTITUTE(SUBSTITUTE(D165,CHAR(160),"")," ",""),"_","")</f>
        <v>10.1038%2Fs41598-018-24331-0_FossilSpecimensText</v>
      </c>
      <c r="M165" s="1" t="str">
        <f t="array" ref="M165">IFERROR(INDEX(FileList!$A$1:$A$1000,MATCH(TRUE(),EXACT(L165,IFERROR(_xlfn.TEXTBEFORE(FileList!$A$1:$A$1000,".tsv"),"")),0)),"notfound")</f>
        <v>10.1038%2Fs41598-018-24331-0_FossilSpecimensText.tsv</v>
      </c>
      <c r="N165" s="3" t="s">
        <v>583</v>
      </c>
      <c r="O165" s="3" t="s">
        <v>584</v>
      </c>
      <c r="V165" s="3" t="s">
        <v>41</v>
      </c>
    </row>
    <row r="166" spans="1:39" ht="15" customHeight="1" x14ac:dyDescent="0.2">
      <c r="A166" s="3" t="s">
        <v>585</v>
      </c>
      <c r="C166" s="3"/>
      <c r="D166" s="3" t="s">
        <v>76</v>
      </c>
      <c r="E166" s="1" t="str">
        <f>RIGHT(A166,1)</f>
        <v>3</v>
      </c>
      <c r="F166" s="1" t="str">
        <f>G166 &amp; IF(H166&lt;&gt;"", "_" &amp; H166, "_") &amp; IF(I166&lt;&gt;"", "_" &amp; I166, "_") &amp; IF(B166&lt;&gt;"", "_" &amp; B166, "")</f>
        <v>Krubitzer_Kaas_1990</v>
      </c>
      <c r="G166" s="1" t="str">
        <f>SUBSTITUTE(SUBSTITUTE(_xlfn.TEXTBEFORE(A166,","), "-", ""), " ", "")</f>
        <v>Krubitzer</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Kaas</v>
      </c>
      <c r="I166" s="1" t="str">
        <f>_xlfn.TEXTBEFORE(_xlfn.TEXTAFTER(A166, "("), ")")</f>
        <v>1990</v>
      </c>
      <c r="J166" s="1" t="str">
        <f>_xlfn.LET(
_xlpm.doi,IF(C166&lt;&gt;"",C166,_xlfn.TEXTAFTER(A166,"https://doi.org/")),
SUBSTITUTE(
SUBSTITUTE(
SUBSTITUTE(
SUBSTITUTE(
_xlpm.doi,
"/","%2F"),
":","%3A"),
"&lt;","%3C"),
"&gt;","%3E")
)</f>
        <v>10.1017%2Fs0952523800000213</v>
      </c>
      <c r="K166" s="1" t="str">
        <f>TRIM(_xlfn.TEXTJOIN("_",FALSE(),F166,(SUBSTITUTE(SUBSTITUTE(D166," ",""), "_", ""))))</f>
        <v>Krubitzer_Kaas_1990_Table1</v>
      </c>
      <c r="L166" s="1" t="str">
        <f>J166 &amp; "_" &amp; SUBSTITUTE(SUBSTITUTE(SUBSTITUTE(D166,CHAR(160),"")," ",""),"_","")</f>
        <v>10.1017%2Fs0952523800000213_Table1</v>
      </c>
      <c r="M166" s="1" t="str">
        <f t="array" ref="M166">IFERROR(INDEX(FileList!$A$1:$A$1000,MATCH(TRUE(),EXACT(L166,IFERROR(_xlfn.TEXTBEFORE(FileList!$A$1:$A$1000,".tsv"),"")),0)),"notfound")</f>
        <v>10.1017%2Fs0952523800000213_Table1.tsv</v>
      </c>
      <c r="N166" s="3" t="s">
        <v>586</v>
      </c>
    </row>
    <row r="167" spans="1:39" ht="15" customHeight="1" x14ac:dyDescent="0.2">
      <c r="A167" s="3" t="s">
        <v>587</v>
      </c>
      <c r="D167" s="3" t="s">
        <v>76</v>
      </c>
      <c r="E167" s="1" t="str">
        <f>RIGHT(A167,1)</f>
        <v>8</v>
      </c>
      <c r="F167" s="1" t="str">
        <f>G167 &amp; IF(H167&lt;&gt;"", "_" &amp; H167, "_") &amp; IF(I167&lt;&gt;"", "_" &amp; I167, "_") &amp; IF(B167&lt;&gt;"", "_" &amp; B167, "")</f>
        <v>Kverkova_etal_2018</v>
      </c>
      <c r="G167" s="1" t="str">
        <f>SUBSTITUTE(SUBSTITUTE(_xlfn.TEXTBEFORE(A167,","), "-", ""), " ", "")</f>
        <v>Kverkova</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etal</v>
      </c>
      <c r="I167" s="1" t="str">
        <f>_xlfn.TEXTBEFORE(_xlfn.TEXTAFTER(A167, "("), ")")</f>
        <v>2018</v>
      </c>
      <c r="J167" s="1" t="str">
        <f>_xlfn.LET(
_xlpm.doi,IF(C167&lt;&gt;"",C167,_xlfn.TEXTAFTER(A167,"https://doi.org/")),
SUBSTITUTE(
SUBSTITUTE(
SUBSTITUTE(
SUBSTITUTE(
_xlpm.doi,
"/","%2F"),
":","%3A"),
"&lt;","%3C"),
"&gt;","%3E")
)</f>
        <v>10.1038%2Fs41598-018-26062-8</v>
      </c>
      <c r="K167" s="1" t="str">
        <f>TRIM(_xlfn.TEXTJOIN("_",FALSE(),F167,(SUBSTITUTE(SUBSTITUTE(D167," ",""), "_", ""))))</f>
        <v>Kverkova_etal_2018_Table1</v>
      </c>
      <c r="L167" s="1" t="str">
        <f>J167 &amp; "_" &amp; SUBSTITUTE(SUBSTITUTE(SUBSTITUTE(D167,CHAR(160),"")," ",""),"_","")</f>
        <v>10.1038%2Fs41598-018-26062-8_Table1</v>
      </c>
      <c r="M167" s="1" t="str">
        <f t="array" ref="M167">IFERROR(INDEX(FileList!$A$1:$A$1000,MATCH(TRUE(),EXACT(L167,IFERROR(_xlfn.TEXTBEFORE(FileList!$A$1:$A$1000,".tsv"),"")),0)),"notfound")</f>
        <v>10.1038%2Fs41598-018-26062-8_Table1.tsv</v>
      </c>
      <c r="N167" s="3" t="s">
        <v>588</v>
      </c>
      <c r="P167" s="3" t="s">
        <v>40</v>
      </c>
      <c r="Q167" s="3" t="s">
        <v>50</v>
      </c>
      <c r="R167" s="3" t="s">
        <v>589</v>
      </c>
      <c r="S167" s="3" t="s">
        <v>52</v>
      </c>
      <c r="T167" s="3" t="s">
        <v>590</v>
      </c>
      <c r="U167" s="3" t="s">
        <v>591</v>
      </c>
      <c r="V167" s="3" t="s">
        <v>41</v>
      </c>
      <c r="Y167" s="3" t="s">
        <v>592</v>
      </c>
      <c r="Z167" s="3" t="s">
        <v>592</v>
      </c>
      <c r="AH167" s="3" t="s">
        <v>593</v>
      </c>
      <c r="AI167" s="3" t="s">
        <v>594</v>
      </c>
      <c r="AJ167" s="3" t="s">
        <v>595</v>
      </c>
      <c r="AK167" s="3" t="s">
        <v>62</v>
      </c>
      <c r="AL167" s="3" t="s">
        <v>62</v>
      </c>
      <c r="AM167" s="3" t="s">
        <v>596</v>
      </c>
    </row>
    <row r="168" spans="1:39" ht="15" customHeight="1" x14ac:dyDescent="0.2">
      <c r="A168" s="3" t="s">
        <v>587</v>
      </c>
      <c r="D168" s="3" t="s">
        <v>197</v>
      </c>
      <c r="E168" s="1" t="str">
        <f>RIGHT(A168,1)</f>
        <v>8</v>
      </c>
      <c r="F168" s="1" t="str">
        <f>G168 &amp; IF(H168&lt;&gt;"", "_" &amp; H168, "_") &amp; IF(I168&lt;&gt;"", "_" &amp; I168, "_") &amp; IF(B168&lt;&gt;"", "_" &amp; B168, "")</f>
        <v>Kverkova_etal_2018</v>
      </c>
      <c r="G168" s="1" t="str">
        <f>SUBSTITUTE(SUBSTITUTE(_xlfn.TEXTBEFORE(A168,","), "-", ""), " ", "")</f>
        <v>Kverkova</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etal</v>
      </c>
      <c r="I168" s="1" t="str">
        <f>_xlfn.TEXTBEFORE(_xlfn.TEXTAFTER(A168, "("), ")")</f>
        <v>2018</v>
      </c>
      <c r="J168" s="1" t="str">
        <f>_xlfn.LET(
_xlpm.doi,IF(C168&lt;&gt;"",C168,_xlfn.TEXTAFTER(A168,"https://doi.org/")),
SUBSTITUTE(
SUBSTITUTE(
SUBSTITUTE(
SUBSTITUTE(
_xlpm.doi,
"/","%2F"),
":","%3A"),
"&lt;","%3C"),
"&gt;","%3E")
)</f>
        <v>10.1038%2Fs41598-018-26062-8</v>
      </c>
      <c r="K168" s="1" t="str">
        <f>TRIM(_xlfn.TEXTJOIN("_",FALSE(),F168,(SUBSTITUTE(SUBSTITUTE(D168," ",""), "_", ""))))</f>
        <v>Kverkova_etal_2018_TableS1</v>
      </c>
      <c r="L168" s="1" t="str">
        <f>J168 &amp; "_" &amp; SUBSTITUTE(SUBSTITUTE(SUBSTITUTE(D168,CHAR(160),"")," ",""),"_","")</f>
        <v>10.1038%2Fs41598-018-26062-8_TableS1</v>
      </c>
      <c r="M168" s="1" t="str">
        <f t="array" ref="M168">IFERROR(INDEX(FileList!$A$1:$A$1000,MATCH(TRUE(),EXACT(L168,IFERROR(_xlfn.TEXTBEFORE(FileList!$A$1:$A$1000,".tsv"),"")),0)),"notfound")</f>
        <v>10.1038%2Fs41598-018-26062-8_TableS1.tsv</v>
      </c>
      <c r="N168" s="3" t="s">
        <v>597</v>
      </c>
      <c r="P168" s="3" t="s">
        <v>40</v>
      </c>
      <c r="Q168" s="3" t="s">
        <v>50</v>
      </c>
      <c r="R168" s="3" t="s">
        <v>598</v>
      </c>
      <c r="S168" s="3" t="s">
        <v>52</v>
      </c>
      <c r="T168" s="3" t="s">
        <v>590</v>
      </c>
      <c r="U168" s="3" t="s">
        <v>591</v>
      </c>
      <c r="V168" s="3" t="s">
        <v>41</v>
      </c>
      <c r="W168" s="3" t="s">
        <v>190</v>
      </c>
      <c r="X168" s="3" t="s">
        <v>599</v>
      </c>
      <c r="Y168" s="3" t="s">
        <v>592</v>
      </c>
      <c r="Z168" s="3" t="s">
        <v>592</v>
      </c>
      <c r="AH168" s="3" t="s">
        <v>593</v>
      </c>
      <c r="AI168" s="3" t="s">
        <v>402</v>
      </c>
      <c r="AJ168" s="3" t="s">
        <v>595</v>
      </c>
      <c r="AK168" s="3" t="s">
        <v>600</v>
      </c>
      <c r="AL168" s="3" t="s">
        <v>62</v>
      </c>
      <c r="AM168" s="3" t="s">
        <v>404</v>
      </c>
    </row>
    <row r="169" spans="1:39" ht="15" customHeight="1" x14ac:dyDescent="0.2">
      <c r="A169" s="3" t="s">
        <v>587</v>
      </c>
      <c r="D169" s="3" t="s">
        <v>464</v>
      </c>
      <c r="E169" s="1" t="str">
        <f>RIGHT(A169,1)</f>
        <v>8</v>
      </c>
      <c r="F169" s="1" t="str">
        <f>G169 &amp; IF(H169&lt;&gt;"", "_" &amp; H169, "_") &amp; IF(I169&lt;&gt;"", "_" &amp; I169, "_") &amp; IF(B169&lt;&gt;"", "_" &amp; B169, "")</f>
        <v>Kverkova_etal_2018</v>
      </c>
      <c r="G169" s="1" t="str">
        <f>SUBSTITUTE(SUBSTITUTE(_xlfn.TEXTBEFORE(A169,","), "-", ""), " ", "")</f>
        <v>Kverkova</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etal</v>
      </c>
      <c r="I169" s="1" t="str">
        <f>_xlfn.TEXTBEFORE(_xlfn.TEXTAFTER(A169, "("), ")")</f>
        <v>2018</v>
      </c>
      <c r="J169" s="1" t="str">
        <f>_xlfn.LET(
_xlpm.doi,IF(C169&lt;&gt;"",C169,_xlfn.TEXTAFTER(A169,"https://doi.org/")),
SUBSTITUTE(
SUBSTITUTE(
SUBSTITUTE(
SUBSTITUTE(
_xlpm.doi,
"/","%2F"),
":","%3A"),
"&lt;","%3C"),
"&gt;","%3E")
)</f>
        <v>10.1038%2Fs41598-018-26062-8</v>
      </c>
      <c r="K169" s="1" t="str">
        <f>TRIM(_xlfn.TEXTJOIN("_",FALSE(),F169,(SUBSTITUTE(SUBSTITUTE(D169," ",""), "_", ""))))</f>
        <v>Kverkova_etal_2018_TableS5</v>
      </c>
      <c r="L169" s="1" t="str">
        <f>J169 &amp; "_" &amp; SUBSTITUTE(SUBSTITUTE(SUBSTITUTE(D169,CHAR(160),"")," ",""),"_","")</f>
        <v>10.1038%2Fs41598-018-26062-8_TableS5</v>
      </c>
      <c r="M169" s="1" t="str">
        <f t="array" ref="M169">IFERROR(INDEX(FileList!$A$1:$A$1000,MATCH(TRUE(),EXACT(L169,IFERROR(_xlfn.TEXTBEFORE(FileList!$A$1:$A$1000,".tsv"),"")),0)),"notfound")</f>
        <v>10.1038%2Fs41598-018-26062-8_TableS5.tsv</v>
      </c>
      <c r="N169" s="3" t="s">
        <v>601</v>
      </c>
      <c r="P169" s="3" t="s">
        <v>40</v>
      </c>
      <c r="Q169" s="3" t="s">
        <v>50</v>
      </c>
      <c r="R169" s="3" t="s">
        <v>602</v>
      </c>
      <c r="S169" s="3" t="s">
        <v>52</v>
      </c>
      <c r="T169" s="3" t="s">
        <v>603</v>
      </c>
      <c r="U169" s="3" t="s">
        <v>604</v>
      </c>
      <c r="V169" s="3" t="s">
        <v>41</v>
      </c>
      <c r="W169" s="3" t="s">
        <v>190</v>
      </c>
      <c r="X169" s="3" t="s">
        <v>599</v>
      </c>
      <c r="Y169" s="3" t="s">
        <v>592</v>
      </c>
      <c r="Z169" s="3" t="s">
        <v>592</v>
      </c>
      <c r="AG169" s="3" t="s">
        <v>58</v>
      </c>
      <c r="AH169" s="3" t="s">
        <v>593</v>
      </c>
      <c r="AI169" s="3" t="s">
        <v>408</v>
      </c>
      <c r="AJ169" s="3" t="s">
        <v>595</v>
      </c>
      <c r="AK169" s="3" t="s">
        <v>62</v>
      </c>
      <c r="AL169" s="3" t="s">
        <v>62</v>
      </c>
      <c r="AM169" s="3" t="s">
        <v>63</v>
      </c>
    </row>
    <row r="170" spans="1:39" ht="15" customHeight="1" x14ac:dyDescent="0.2">
      <c r="A170" s="3" t="s">
        <v>605</v>
      </c>
      <c r="D170" s="3" t="s">
        <v>606</v>
      </c>
      <c r="E170" s="1" t="str">
        <f>RIGHT(A170,1)</f>
        <v>4</v>
      </c>
      <c r="F170" s="1" t="str">
        <f>G170 &amp; IF(H170&lt;&gt;"", "_" &amp; H170, "_") &amp; IF(I170&lt;&gt;"", "_" &amp; I170, "_") &amp; IF(B170&lt;&gt;"", "_" &amp; B170, "")</f>
        <v>Lewitus_etal_2013</v>
      </c>
      <c r="G170" s="1" t="str">
        <f>SUBSTITUTE(SUBSTITUTE(_xlfn.TEXTBEFORE(A170,","), "-", ""), " ", "")</f>
        <v>Lewitus</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_xlfn.TEXTBEFORE(_xlfn.TEXTAFTER(A170, "("), ")")</f>
        <v>2013</v>
      </c>
      <c r="J170" s="1" t="str">
        <f>_xlfn.LET(
_xlpm.doi,IF(C170&lt;&gt;"",C170,_xlfn.TEXTAFTER(A170,"https://doi.org/")),
SUBSTITUTE(
SUBSTITUTE(
SUBSTITUTE(
SUBSTITUTE(
_xlpm.doi,
"/","%2F"),
":","%3A"),
"&lt;","%3C"),
"&gt;","%3E")
)</f>
        <v>10.3389%2Ffnhum.2013.00424</v>
      </c>
      <c r="K170" s="1" t="str">
        <f>TRIM(_xlfn.TEXTJOIN("_",FALSE(),F170,(SUBSTITUTE(SUBSTITUTE(D170," ",""), "_", ""))))</f>
        <v>Lewitus_etal_2013_TableS2partial</v>
      </c>
      <c r="L170" s="1" t="str">
        <f>J170 &amp; "_" &amp; SUBSTITUTE(SUBSTITUTE(SUBSTITUTE(D170,CHAR(160),"")," ",""),"_","")</f>
        <v>10.3389%2Ffnhum.2013.00424_TableS2partial</v>
      </c>
      <c r="M170" s="1" t="str">
        <f t="array" ref="M170">IFERROR(INDEX(FileList!$A$1:$A$1000,MATCH(TRUE(),EXACT(L170,IFERROR(_xlfn.TEXTBEFORE(FileList!$A$1:$A$1000,".tsv"),"")),0)),"notfound")</f>
        <v>10.3389%2Ffnhum.2013.00424_TableS2partial.tsv</v>
      </c>
      <c r="Q170" s="3" t="s">
        <v>131</v>
      </c>
      <c r="AI170" s="3" t="s">
        <v>607</v>
      </c>
      <c r="AJ170" s="3" t="s">
        <v>139</v>
      </c>
      <c r="AL170" s="3" t="s">
        <v>62</v>
      </c>
      <c r="AM170" s="3" t="s">
        <v>608</v>
      </c>
    </row>
    <row r="171" spans="1:39" ht="15" customHeight="1" x14ac:dyDescent="0.2">
      <c r="A171" s="3" t="s">
        <v>609</v>
      </c>
      <c r="D171" s="3" t="s">
        <v>197</v>
      </c>
      <c r="E171" s="1" t="str">
        <f>RIGHT(A171,1)</f>
        <v>0</v>
      </c>
      <c r="F171" s="1" t="str">
        <f>G171 &amp; IF(H171&lt;&gt;"", "_" &amp; H171, "_") &amp; IF(I171&lt;&gt;"", "_" &amp; I171, "_") &amp; IF(B171&lt;&gt;"", "_" &amp; B171, "")</f>
        <v>Lewitus_etal_2014</v>
      </c>
      <c r="G171" s="1" t="str">
        <f>SUBSTITUTE(SUBSTITUTE(_xlfn.TEXTBEFORE(A171,","), "-", ""), " ", "")</f>
        <v>Lewitus</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etal</v>
      </c>
      <c r="I171" s="1" t="str">
        <f>_xlfn.TEXTBEFORE(_xlfn.TEXTAFTER(A171, "("), ")")</f>
        <v>2014</v>
      </c>
      <c r="J171" s="1" t="str">
        <f>_xlfn.LET(
_xlpm.doi,IF(C171&lt;&gt;"",C171,_xlfn.TEXTAFTER(A171,"https://doi.org/")),
SUBSTITUTE(
SUBSTITUTE(
SUBSTITUTE(
SUBSTITUTE(
_xlpm.doi,
"/","%2F"),
":","%3A"),
"&lt;","%3C"),
"&gt;","%3E")
)</f>
        <v>10.1371%2Fjournal.pbio.1002000</v>
      </c>
      <c r="K171" s="1" t="str">
        <f>TRIM(_xlfn.TEXTJOIN("_",FALSE(),F171,(SUBSTITUTE(SUBSTITUTE(D171," ",""), "_", ""))))</f>
        <v>Lewitus_etal_2014_TableS1</v>
      </c>
      <c r="L171" s="1" t="str">
        <f>J171 &amp; "_" &amp; SUBSTITUTE(SUBSTITUTE(SUBSTITUTE(D171,CHAR(160),"")," ",""),"_","")</f>
        <v>10.1371%2Fjournal.pbio.1002000_TableS1</v>
      </c>
      <c r="M171" s="1" t="str">
        <f t="array" ref="M171">IFERROR(INDEX(FileList!$A$1:$A$1000,MATCH(TRUE(),EXACT(L171,IFERROR(_xlfn.TEXTBEFORE(FileList!$A$1:$A$1000,".tsv"),"")),0)),"notfound")</f>
        <v>10.1371%2Fjournal.pbio.1002000_TableS1.tsv</v>
      </c>
      <c r="N171" s="3" t="s">
        <v>610</v>
      </c>
      <c r="Q171" s="3" t="s">
        <v>131</v>
      </c>
      <c r="AI171" s="3" t="s">
        <v>611</v>
      </c>
      <c r="AJ171" s="3" t="s">
        <v>139</v>
      </c>
      <c r="AL171" s="3" t="s">
        <v>140</v>
      </c>
      <c r="AM171" s="3" t="s">
        <v>612</v>
      </c>
    </row>
    <row r="172" spans="1:39" ht="15" customHeight="1" x14ac:dyDescent="0.2">
      <c r="A172" s="3" t="s">
        <v>609</v>
      </c>
      <c r="D172" s="3" t="s">
        <v>470</v>
      </c>
      <c r="E172" s="1" t="str">
        <f>RIGHT(A172,1)</f>
        <v>0</v>
      </c>
      <c r="F172" s="1" t="str">
        <f>G172 &amp; IF(H172&lt;&gt;"", "_" &amp; H172, "_") &amp; IF(I172&lt;&gt;"", "_" &amp; I172, "_") &amp; IF(B172&lt;&gt;"", "_" &amp; B172, "")</f>
        <v>Lewitus_etal_2014</v>
      </c>
      <c r="G172" s="1" t="str">
        <f>SUBSTITUTE(SUBSTITUTE(_xlfn.TEXTBEFORE(A172,","), "-", ""), " ", "")</f>
        <v>Lewitus</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etal</v>
      </c>
      <c r="I172" s="1" t="str">
        <f>_xlfn.TEXTBEFORE(_xlfn.TEXTAFTER(A172, "("), ")")</f>
        <v>2014</v>
      </c>
      <c r="J172" s="1" t="str">
        <f>_xlfn.LET(
_xlpm.doi,IF(C172&lt;&gt;"",C172,_xlfn.TEXTAFTER(A172,"https://doi.org/")),
SUBSTITUTE(
SUBSTITUTE(
SUBSTITUTE(
SUBSTITUTE(
_xlpm.doi,
"/","%2F"),
":","%3A"),
"&lt;","%3C"),
"&gt;","%3E")
)</f>
        <v>10.1371%2Fjournal.pbio.1002000</v>
      </c>
      <c r="K172" s="1" t="str">
        <f>TRIM(_xlfn.TEXTJOIN("_",FALSE(),F172,(SUBSTITUTE(SUBSTITUTE(D172," ",""), "_", ""))))</f>
        <v>Lewitus_etal_2014_TableS8</v>
      </c>
      <c r="L172" s="1" t="str">
        <f>J172 &amp; "_" &amp; SUBSTITUTE(SUBSTITUTE(SUBSTITUTE(D172,CHAR(160),"")," ",""),"_","")</f>
        <v>10.1371%2Fjournal.pbio.1002000_TableS8</v>
      </c>
      <c r="M172" s="1" t="str">
        <f t="array" ref="M172">IFERROR(INDEX(FileList!$A$1:$A$1000,MATCH(TRUE(),EXACT(L172,IFERROR(_xlfn.TEXTBEFORE(FileList!$A$1:$A$1000,".tsv"),"")),0)),"notfound")</f>
        <v>10.1371%2Fjournal.pbio.1002000_TableS8.tsv</v>
      </c>
      <c r="N172" s="3" t="s">
        <v>613</v>
      </c>
      <c r="Q172" s="3" t="s">
        <v>131</v>
      </c>
      <c r="AI172" s="3" t="s">
        <v>611</v>
      </c>
      <c r="AJ172" s="3" t="s">
        <v>139</v>
      </c>
      <c r="AL172" s="3" t="s">
        <v>140</v>
      </c>
      <c r="AM172" s="3" t="s">
        <v>612</v>
      </c>
    </row>
    <row r="173" spans="1:39" ht="15" customHeight="1" x14ac:dyDescent="0.2">
      <c r="A173" s="4" t="s">
        <v>852</v>
      </c>
      <c r="D173" s="4" t="s">
        <v>1163</v>
      </c>
      <c r="E173" s="1" t="str">
        <f>RIGHT(A173,1)</f>
        <v>3</v>
      </c>
      <c r="F173" s="1" t="str">
        <f>G173 &amp; IF(H173&lt;&gt;"", "_" &amp; H173, "_") &amp; IF(I173&lt;&gt;"", "_" &amp; I173, "_") &amp; IF(B173&lt;&gt;"", "_" &amp; B173, "")</f>
        <v>Liu_etal_2016</v>
      </c>
      <c r="G173" s="1" t="str">
        <f>SUBSTITUTE(SUBSTITUTE(_xlfn.TEXTBEFORE(A173,","), "-", ""), " ", "")</f>
        <v>Liu</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 t="str">
        <f>_xlfn.TEXTBEFORE(_xlfn.TEXTAFTER(A173, "("), ")")</f>
        <v>2016</v>
      </c>
      <c r="J173" s="1" t="str">
        <f>_xlfn.LET(
_xlpm.doi,IF(C173&lt;&gt;"",C173,_xlfn.TEXTAFTER(A173,"https://doi.org/")),
SUBSTITUTE(
SUBSTITUTE(
SUBSTITUTE(
SUBSTITUTE(
_xlpm.doi,
"/","%2F"),
":","%3A"),
"&lt;","%3C"),
"&gt;","%3E")
)</f>
        <v>10.1098%2Frspb.2016.1923</v>
      </c>
      <c r="K173" s="1" t="str">
        <f>TRIM(_xlfn.TEXTJOIN("_",FALSE(),F173,(SUBSTITUTE(SUBSTITUTE(D173," ",""), "_", ""))))</f>
        <v>Liu_etal_2016_xml:space="preserve"&gt;TableS1</v>
      </c>
      <c r="L173" s="1" t="str">
        <f>J173 &amp; "_" &amp; SUBSTITUTE(SUBSTITUTE(SUBSTITUTE(D173,CHAR(160),"")," ",""),"_","")</f>
        <v>10.1098%2Frspb.2016.1923_xml:space="preserve"&gt;TableS1</v>
      </c>
      <c r="M173" s="1" t="str">
        <f t="array" ref="M173">IFERROR(INDEX(FileList!$A$1:$A$1000,MATCH(TRUE(),EXACT(L173,IFERROR(_xlfn.TEXTBEFORE(FileList!$A$1:$A$1000,".tsv"),"")),0)),"notfound")</f>
        <v>notfound</v>
      </c>
      <c r="P173" s="4" t="s">
        <v>1095</v>
      </c>
      <c r="R173" s="4" t="s">
        <v>1164</v>
      </c>
      <c r="T173" s="4" t="s">
        <v>1165</v>
      </c>
      <c r="U173" s="4" t="s">
        <v>1166</v>
      </c>
      <c r="V173" s="4" t="s">
        <v>1099</v>
      </c>
      <c r="Y173" s="4" t="s">
        <v>1167</v>
      </c>
      <c r="AB173" s="4" t="s">
        <v>1168</v>
      </c>
      <c r="AI173" s="4" t="s">
        <v>1169</v>
      </c>
      <c r="AJ173" s="4" t="s">
        <v>1147</v>
      </c>
      <c r="AK173" s="4" t="s">
        <v>1170</v>
      </c>
      <c r="AL173" s="4" t="s">
        <v>1105</v>
      </c>
      <c r="AM173" s="4" t="s">
        <v>1171</v>
      </c>
    </row>
    <row r="174" spans="1:39" ht="15" customHeight="1" x14ac:dyDescent="0.2">
      <c r="A174" s="4" t="s">
        <v>843</v>
      </c>
      <c r="D174" s="3" t="s">
        <v>76</v>
      </c>
      <c r="E174" s="1" t="str">
        <f>RIGHT(A174,1)</f>
        <v>3</v>
      </c>
      <c r="F174" s="1" t="str">
        <f>G174 &amp; IF(H174&lt;&gt;"", "_" &amp; H174, "_") &amp; IF(I174&lt;&gt;"", "_" &amp; I174, "_") &amp; IF(B174&lt;&gt;"", "_" &amp; B174, "")</f>
        <v>Lyamin_etal_2008</v>
      </c>
      <c r="G174" s="1" t="str">
        <f>SUBSTITUTE(SUBSTITUTE(_xlfn.TEXTBEFORE(A174,","), "-", ""), " ", "")</f>
        <v>Lyamin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 t="str">
        <f>_xlfn.TEXTBEFORE(_xlfn.TEXTAFTER(A174, "("), ")")</f>
        <v>2008</v>
      </c>
      <c r="J174" s="1" t="str">
        <f>_xlfn.LET(
_xlpm.doi,IF(C174&lt;&gt;"",C174,_xlfn.TEXTAFTER(A174,"https://doi.org/")),
SUBSTITUTE(
SUBSTITUTE(
SUBSTITUTE(
SUBSTITUTE(
_xlpm.doi,
"/","%2F"),
":","%3A"),
"&lt;","%3C"),
"&gt;","%3E")
)</f>
        <v>10.1016%2Fj.neubiorev.2008.05.023</v>
      </c>
      <c r="K174" s="1" t="str">
        <f>TRIM(_xlfn.TEXTJOIN("_",FALSE(),F174,(SUBSTITUTE(SUBSTITUTE(D174," ",""), "_", ""))))</f>
        <v>Lyamin_etal_2008_Table1</v>
      </c>
      <c r="L174" s="1" t="str">
        <f>J174 &amp; "_" &amp; SUBSTITUTE(SUBSTITUTE(SUBSTITUTE(D174,CHAR(160),"")," ",""),"_","")</f>
        <v>10.1016%2Fj.neubiorev.2008.05.023_Table1</v>
      </c>
      <c r="M174" s="1" t="str">
        <f t="array" ref="M174">IFERROR(INDEX(FileList!$A$1:$A$1000,MATCH(TRUE(),EXACT(L174,IFERROR(_xlfn.TEXTBEFORE(FileList!$A$1:$A$1000,".tsv"),"")),0)),"notfound")</f>
        <v>10.1016%2Fj.neubiorev.2008.05.023_Table1.tsv</v>
      </c>
    </row>
    <row r="175" spans="1:39" ht="15" customHeight="1" x14ac:dyDescent="0.2">
      <c r="A175" s="4" t="s">
        <v>843</v>
      </c>
      <c r="D175" s="3" t="s">
        <v>118</v>
      </c>
      <c r="E175" s="1" t="str">
        <f>RIGHT(A175,1)</f>
        <v>3</v>
      </c>
      <c r="F175" s="1" t="str">
        <f>G175 &amp; IF(H175&lt;&gt;"", "_" &amp; H175, "_") &amp; IF(I175&lt;&gt;"", "_" &amp; I175, "_") &amp; IF(B175&lt;&gt;"", "_" &amp; B175, "")</f>
        <v>Lyamin_etal_2008</v>
      </c>
      <c r="G175" s="1" t="str">
        <f>SUBSTITUTE(SUBSTITUTE(_xlfn.TEXTBEFORE(A175,","), "-", ""), " ", "")</f>
        <v>Lyamin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 t="str">
        <f>_xlfn.TEXTBEFORE(_xlfn.TEXTAFTER(A175, "("), ")")</f>
        <v>2008</v>
      </c>
      <c r="J175" s="1" t="str">
        <f>_xlfn.LET(
_xlpm.doi,IF(C175&lt;&gt;"",C175,_xlfn.TEXTAFTER(A175,"https://doi.org/")),
SUBSTITUTE(
SUBSTITUTE(
SUBSTITUTE(
SUBSTITUTE(
_xlpm.doi,
"/","%2F"),
":","%3A"),
"&lt;","%3C"),
"&gt;","%3E")
)</f>
        <v>10.1016%2Fj.neubiorev.2008.05.023</v>
      </c>
      <c r="K175" s="1" t="str">
        <f>TRIM(_xlfn.TEXTJOIN("_",FALSE(),F175,(SUBSTITUTE(SUBSTITUTE(D175," ",""), "_", ""))))</f>
        <v>Lyamin_etal_2008_Table2</v>
      </c>
      <c r="L175" s="1" t="str">
        <f>J175 &amp; "_" &amp; SUBSTITUTE(SUBSTITUTE(SUBSTITUTE(D175,CHAR(160),"")," ",""),"_","")</f>
        <v>10.1016%2Fj.neubiorev.2008.05.023_Table2</v>
      </c>
      <c r="M175" s="1" t="str">
        <f t="array" ref="M175">IFERROR(INDEX(FileList!$A$1:$A$1000,MATCH(TRUE(),EXACT(L175,IFERROR(_xlfn.TEXTBEFORE(FileList!$A$1:$A$1000,".tsv"),"")),0)),"notfound")</f>
        <v>10.1016%2Fj.neubiorev.2008.05.023_Table2.tsv</v>
      </c>
    </row>
    <row r="176" spans="1:39" ht="15" customHeight="1" x14ac:dyDescent="0.2">
      <c r="A176" s="3" t="s">
        <v>614</v>
      </c>
      <c r="D176" s="3" t="s">
        <v>76</v>
      </c>
      <c r="E176" s="1" t="str">
        <f>RIGHT(A176,1)</f>
        <v>5</v>
      </c>
      <c r="F176" s="1" t="str">
        <f>G176 &amp; IF(H176&lt;&gt;"", "_" &amp; H176, "_") &amp; IF(I176&lt;&gt;"", "_" &amp; I176, "_") &amp; IF(B176&lt;&gt;"", "_" &amp; B176, "")</f>
        <v>MacLarnon__1996</v>
      </c>
      <c r="G176" s="1" t="str">
        <f>SUBSTITUTE(SUBSTITUTE(_xlfn.TEXTBEFORE(A176,","), "-", ""), " ", "")</f>
        <v>MacLarnon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 t="str">
        <f>_xlfn.TEXTBEFORE(_xlfn.TEXTAFTER(A176, "("), ")")</f>
        <v>1996</v>
      </c>
      <c r="J176" s="1" t="str">
        <f>_xlfn.LET(
_xlpm.doi,IF(C176&lt;&gt;"",C176,_xlfn.TEXTAFTER(A176,"https://doi.org/")),
SUBSTITUTE(
SUBSTITUTE(
SUBSTITUTE(
SUBSTITUTE(
_xlpm.doi,
"/","%2F"),
":","%3A"),
"&lt;","%3C"),
"&gt;","%3E")
)</f>
        <v>10.1006%2Fjhev.1996.0005</v>
      </c>
      <c r="K176" s="1" t="str">
        <f>TRIM(_xlfn.TEXTJOIN("_",FALSE(),F176,(SUBSTITUTE(SUBSTITUTE(D176," ",""), "_", ""))))</f>
        <v>MacLarnon__1996_Table1</v>
      </c>
      <c r="L176" s="1" t="str">
        <f>J176 &amp; "_" &amp; SUBSTITUTE(SUBSTITUTE(SUBSTITUTE(D176,CHAR(160),"")," ",""),"_","")</f>
        <v>10.1006%2Fjhev.1996.0005_Table1</v>
      </c>
      <c r="M176" s="1" t="str">
        <f t="array" ref="M176">IFERROR(INDEX(FileList!$A$1:$A$1000,MATCH(TRUE(),EXACT(L176,IFERROR(_xlfn.TEXTBEFORE(FileList!$A$1:$A$1000,".tsv"),"")),0)),"notfound")</f>
        <v>10.1006%2Fjhev.1996.0005_Table1.tsv</v>
      </c>
      <c r="N176" s="3" t="s">
        <v>615</v>
      </c>
      <c r="P176" s="3" t="s">
        <v>40</v>
      </c>
      <c r="AI176" s="3" t="s">
        <v>616</v>
      </c>
      <c r="AJ176" s="3" t="s">
        <v>117</v>
      </c>
      <c r="AL176" s="3" t="s">
        <v>62</v>
      </c>
      <c r="AM176" s="3" t="s">
        <v>617</v>
      </c>
    </row>
    <row r="177" spans="1:39" ht="15" customHeight="1" x14ac:dyDescent="0.2">
      <c r="A177" s="3" t="s">
        <v>618</v>
      </c>
      <c r="C177" s="3" t="s">
        <v>619</v>
      </c>
      <c r="D177" s="3" t="s">
        <v>620</v>
      </c>
      <c r="E177" s="1" t="str">
        <f>RIGHT(A177,1)</f>
        <v>.</v>
      </c>
      <c r="F177" s="1" t="str">
        <f>G177 &amp; IF(H177&lt;&gt;"", "_" &amp; H177, "_") &amp; IF(I177&lt;&gt;"", "_" &amp; I177, "_") &amp; IF(B177&lt;&gt;"", "_" &amp; B177, "")</f>
        <v>MacLeod__2000</v>
      </c>
      <c r="G177" s="1" t="str">
        <f>SUBSTITUTE(SUBSTITUTE(_xlfn.TEXTBEFORE(A177,","), "-", ""), " ", "")</f>
        <v>MacLeod</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 t="str">
        <f>_xlfn.TEXTBEFORE(_xlfn.TEXTAFTER(A177, "("), ")")</f>
        <v>2000</v>
      </c>
      <c r="J177" s="1" t="str">
        <f>_xlfn.LET(
_xlpm.doi,IF(C177&lt;&gt;"",C177,_xlfn.TEXTAFTER(A177,"https://doi.org/")),
SUBSTITUTE(
SUBSTITUTE(
SUBSTITUTE(
SUBSTITUTE(
_xlpm.doi,
"/","%2F"),
":","%3A"),
"&lt;","%3C"),
"&gt;","%3E")
)</f>
        <v>NQ%3A61662</v>
      </c>
      <c r="K177" s="1" t="str">
        <f>TRIM(_xlfn.TEXTJOIN("_",FALSE(),F177,(SUBSTITUTE(SUBSTITUTE(D177," ",""), "_", ""))))</f>
        <v>MacLeod__2000_APPENDIXI</v>
      </c>
      <c r="L177" s="1" t="str">
        <f>J177 &amp; "_" &amp; SUBSTITUTE(SUBSTITUTE(SUBSTITUTE(D177,CHAR(160),"")," ",""),"_","")</f>
        <v>NQ%3A61662_APPENDIXI</v>
      </c>
      <c r="M177" s="1" t="str">
        <f t="array" ref="M177">IFERROR(INDEX(FileList!$A$1:$A$1000,MATCH(TRUE(),EXACT(L177,IFERROR(_xlfn.TEXTBEFORE(FileList!$A$1:$A$1000,".tsv"),"")),0)),"notfound")</f>
        <v>NQ%3A61662_APPENDIXI.tsv</v>
      </c>
      <c r="N177" s="3" t="s">
        <v>621</v>
      </c>
    </row>
    <row r="178" spans="1:39" ht="15" customHeight="1" x14ac:dyDescent="0.2">
      <c r="A178" s="3" t="s">
        <v>622</v>
      </c>
      <c r="D178" s="3" t="s">
        <v>76</v>
      </c>
      <c r="E178" s="1" t="str">
        <f>RIGHT(A178,1)</f>
        <v>9</v>
      </c>
      <c r="F178" s="1" t="str">
        <f>G178 &amp; IF(H178&lt;&gt;"", "_" &amp; H178, "_") &amp; IF(I178&lt;&gt;"", "_" &amp; I178, "_") &amp; IF(B178&lt;&gt;"", "_" &amp; B178, "")</f>
        <v>MacLeod_etal_2003</v>
      </c>
      <c r="G178" s="1" t="str">
        <f>SUBSTITUTE(SUBSTITUTE(_xlfn.TEXTBEFORE(A178,","), "-", ""), " ", "")</f>
        <v>MacLeod</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_xlfn.TEXTBEFORE(_xlfn.TEXTAFTER(A178, "("), ")")</f>
        <v>2003</v>
      </c>
      <c r="J178" s="1" t="str">
        <f>_xlfn.LET(
_xlpm.doi,IF(C178&lt;&gt;"",C178,_xlfn.TEXTAFTER(A178,"https://doi.org/")),
SUBSTITUTE(
SUBSTITUTE(
SUBSTITUTE(
SUBSTITUTE(
_xlpm.doi,
"/","%2F"),
":","%3A"),
"&lt;","%3C"),
"&gt;","%3E")
)</f>
        <v>10.1016%2Fs0047-2484(03)00028-9</v>
      </c>
      <c r="K178" s="1" t="str">
        <f>TRIM(_xlfn.TEXTJOIN("_",FALSE(),F178,(SUBSTITUTE(SUBSTITUTE(D178," ",""), "_", ""))))</f>
        <v>MacLeod_etal_2003_Table1</v>
      </c>
      <c r="L178" s="1" t="str">
        <f>J178 &amp; "_" &amp; SUBSTITUTE(SUBSTITUTE(SUBSTITUTE(D178,CHAR(160),"")," ",""),"_","")</f>
        <v>10.1016%2Fs0047-2484(03)00028-9_Table1</v>
      </c>
      <c r="M178" s="1" t="str">
        <f t="array" ref="M178">IFERROR(INDEX(FileList!$A$1:$A$1000,MATCH(TRUE(),EXACT(L178,IFERROR(_xlfn.TEXTBEFORE(FileList!$A$1:$A$1000,".tsv"),"")),0)),"notfound")</f>
        <v>10.1016%2Fs0047-2484(03)00028-9_Table1.tsv</v>
      </c>
      <c r="N178" s="3" t="s">
        <v>623</v>
      </c>
      <c r="Y178" s="3" t="s">
        <v>624</v>
      </c>
      <c r="Z178" s="3" t="s">
        <v>624</v>
      </c>
      <c r="AF178" s="3" t="s">
        <v>625</v>
      </c>
      <c r="AG178" s="3" t="s">
        <v>111</v>
      </c>
      <c r="AI178" s="3" t="s">
        <v>626</v>
      </c>
      <c r="AJ178" s="3" t="s">
        <v>117</v>
      </c>
      <c r="AK178" s="3" t="s">
        <v>62</v>
      </c>
      <c r="AL178" s="3" t="s">
        <v>62</v>
      </c>
      <c r="AM178" s="3" t="s">
        <v>84</v>
      </c>
    </row>
    <row r="179" spans="1:39" ht="15" customHeight="1" x14ac:dyDescent="0.2">
      <c r="A179" s="3" t="s">
        <v>622</v>
      </c>
      <c r="D179" s="3" t="s">
        <v>118</v>
      </c>
      <c r="E179" s="1" t="str">
        <f>RIGHT(A179,1)</f>
        <v>9</v>
      </c>
      <c r="F179" s="1" t="str">
        <f>G179 &amp; IF(H179&lt;&gt;"", "_" &amp; H179, "_") &amp; IF(I179&lt;&gt;"", "_" &amp; I179, "_") &amp; IF(B179&lt;&gt;"", "_" &amp; B179, "")</f>
        <v>MacLeod_etal_2003</v>
      </c>
      <c r="G179" s="1" t="str">
        <f>SUBSTITUTE(SUBSTITUTE(_xlfn.TEXTBEFORE(A179,","), "-", ""), " ", "")</f>
        <v>MacLeod</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_xlfn.TEXTBEFORE(_xlfn.TEXTAFTER(A179, "("), ")")</f>
        <v>2003</v>
      </c>
      <c r="J179" s="1" t="str">
        <f>_xlfn.LET(
_xlpm.doi,IF(C179&lt;&gt;"",C179,_xlfn.TEXTAFTER(A179,"https://doi.org/")),
SUBSTITUTE(
SUBSTITUTE(
SUBSTITUTE(
SUBSTITUTE(
_xlpm.doi,
"/","%2F"),
":","%3A"),
"&lt;","%3C"),
"&gt;","%3E")
)</f>
        <v>10.1016%2Fs0047-2484(03)00028-9</v>
      </c>
      <c r="K179" s="1" t="str">
        <f>TRIM(_xlfn.TEXTJOIN("_",FALSE(),F179,(SUBSTITUTE(SUBSTITUTE(D179," ",""), "_", ""))))</f>
        <v>MacLeod_etal_2003_Table2</v>
      </c>
      <c r="L179" s="1" t="str">
        <f>J179 &amp; "_" &amp; SUBSTITUTE(SUBSTITUTE(SUBSTITUTE(D179,CHAR(160),"")," ",""),"_","")</f>
        <v>10.1016%2Fs0047-2484(03)00028-9_Table2</v>
      </c>
      <c r="M179" s="1" t="str">
        <f t="array" ref="M179">IFERROR(INDEX(FileList!$A$1:$A$1000,MATCH(TRUE(),EXACT(L179,IFERROR(_xlfn.TEXTBEFORE(FileList!$A$1:$A$1000,".tsv"),"")),0)),"notfound")</f>
        <v>10.1016%2Fs0047-2484(03)00028-9_Table2.tsv</v>
      </c>
      <c r="N179" s="3" t="s">
        <v>627</v>
      </c>
      <c r="Y179" s="3" t="s">
        <v>232</v>
      </c>
      <c r="Z179" s="3" t="s">
        <v>232</v>
      </c>
      <c r="AF179" s="3" t="s">
        <v>79</v>
      </c>
      <c r="AG179" s="3" t="s">
        <v>111</v>
      </c>
      <c r="AI179" s="3" t="s">
        <v>626</v>
      </c>
      <c r="AJ179" s="3" t="s">
        <v>117</v>
      </c>
      <c r="AK179" s="3" t="s">
        <v>62</v>
      </c>
      <c r="AL179" s="3" t="s">
        <v>62</v>
      </c>
      <c r="AM179" s="3" t="s">
        <v>84</v>
      </c>
    </row>
    <row r="180" spans="1:39" ht="15" customHeight="1" x14ac:dyDescent="0.2">
      <c r="A180" s="4" t="s">
        <v>849</v>
      </c>
      <c r="D180" s="4" t="s">
        <v>76</v>
      </c>
      <c r="E180" s="1" t="str">
        <f>RIGHT(A180,1)</f>
        <v>9</v>
      </c>
      <c r="F180" s="1" t="str">
        <f>G180 &amp; IF(H180&lt;&gt;"", "_" &amp; H180, "_") &amp; IF(I180&lt;&gt;"", "_" &amp; I180, "_") &amp; IF(B180&lt;&gt;"", "_" &amp; B180, "")</f>
        <v>Manger__2006</v>
      </c>
      <c r="G180" s="1" t="str">
        <f>SUBSTITUTE(SUBSTITUTE(_xlfn.TEXTBEFORE(A180,","), "-", ""), " ", "")</f>
        <v>Manger</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 t="str">
        <f>_xlfn.TEXTBEFORE(_xlfn.TEXTAFTER(A180, "("), ")")</f>
        <v>2006</v>
      </c>
      <c r="J180" s="1" t="str">
        <f>_xlfn.LET(
_xlpm.doi,IF(C180&lt;&gt;"",C180,_xlfn.TEXTAFTER(A180,"https://doi.org/")),
SUBSTITUTE(
SUBSTITUTE(
SUBSTITUTE(
SUBSTITUTE(
_xlpm.doi,
"/","%2F"),
":","%3A"),
"&lt;","%3C"),
"&gt;","%3E")
)</f>
        <v>10.1017%2FS1464793106007019</v>
      </c>
      <c r="K180" s="1" t="str">
        <f>TRIM(_xlfn.TEXTJOIN("_",FALSE(),F180,(SUBSTITUTE(SUBSTITUTE(D180," ",""), "_", ""))))</f>
        <v>Manger__2006_Table1</v>
      </c>
      <c r="L180" s="1" t="str">
        <f>J180 &amp; "_" &amp; SUBSTITUTE(SUBSTITUTE(SUBSTITUTE(D180,CHAR(160),"")," ",""),"_","")</f>
        <v>10.1017%2FS1464793106007019_Table1</v>
      </c>
      <c r="M180" s="1" t="str">
        <f t="array" ref="M180">IFERROR(INDEX(FileList!$A$1:$A$1000,MATCH(TRUE(),EXACT(L180,IFERROR(_xlfn.TEXTBEFORE(FileList!$A$1:$A$1000,".tsv"),"")),0)),"notfound")</f>
        <v>notfound</v>
      </c>
    </row>
    <row r="181" spans="1:39" ht="15" customHeight="1" x14ac:dyDescent="0.2">
      <c r="A181" s="3" t="s">
        <v>628</v>
      </c>
      <c r="D181" s="3" t="s">
        <v>629</v>
      </c>
      <c r="E181" s="1" t="str">
        <f>RIGHT(A181,1)</f>
        <v>2</v>
      </c>
      <c r="F181" s="1" t="str">
        <f>G181 &amp; IF(H181&lt;&gt;"", "_" &amp; H181, "_") &amp; IF(I181&lt;&gt;"", "_" &amp; I181, "_") &amp; IF(B181&lt;&gt;"", "_" &amp; B181, "")</f>
        <v>ManyPrimates__2022</v>
      </c>
      <c r="G181" s="1" t="str">
        <f>SUBSTITUTE(SUBSTITUTE(_xlfn.TEXTBEFORE(A181,","), "-", ""), " ", "")</f>
        <v>ManyPrimates</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 t="str">
        <f>_xlfn.TEXTBEFORE(_xlfn.TEXTAFTER(A181, "("), ")")</f>
        <v>2022</v>
      </c>
      <c r="J181" s="1" t="str">
        <f>_xlfn.LET(
_xlpm.doi,IF(C181&lt;&gt;"",C181,_xlfn.TEXTAFTER(A181,"https://doi.org/")),
SUBSTITUTE(
SUBSTITUTE(
SUBSTITUTE(
SUBSTITUTE(
_xlpm.doi,
"/","%2F"),
":","%3A"),
"&lt;","%3C"),
"&gt;","%3E")
)</f>
        <v>10.26451%2Fabc.09.04.06.2022</v>
      </c>
      <c r="K181" s="1" t="str">
        <f>TRIM(_xlfn.TEXTJOIN("_",FALSE(),F181,(SUBSTITUTE(SUBSTITUTE(D181," ",""), "_", ""))))</f>
        <v>ManyPrimates__2022_speciespredictors</v>
      </c>
      <c r="L181" s="1" t="str">
        <f>J181 &amp; "_" &amp; SUBSTITUTE(SUBSTITUTE(SUBSTITUTE(D181,CHAR(160),"")," ",""),"_","")</f>
        <v>10.26451%2Fabc.09.04.06.2022_speciespredictors</v>
      </c>
      <c r="M181" s="1" t="str">
        <f t="array" ref="M181">IFERROR(INDEX(FileList!$A$1:$A$1000,MATCH(TRUE(),EXACT(L181,IFERROR(_xlfn.TEXTBEFORE(FileList!$A$1:$A$1000,".tsv"),"")),0)),"notfound")</f>
        <v>10.26451%2Fabc.09.04.06.2022_speciespredictors.tsv</v>
      </c>
      <c r="P181" s="3" t="s">
        <v>40</v>
      </c>
      <c r="Q181" s="3" t="s">
        <v>201</v>
      </c>
      <c r="T181" s="3" t="str">
        <f>IF(S181="N", R181, "write file name")</f>
        <v>write file name</v>
      </c>
      <c r="U181" s="3" t="s">
        <v>182</v>
      </c>
      <c r="V181" s="3" t="s">
        <v>41</v>
      </c>
      <c r="W181" s="3" t="s">
        <v>183</v>
      </c>
      <c r="X181" s="3" t="s">
        <v>630</v>
      </c>
      <c r="AA181" s="3" t="s">
        <v>631</v>
      </c>
      <c r="AH181" s="3" t="s">
        <v>176</v>
      </c>
      <c r="AI181" s="3" t="s">
        <v>632</v>
      </c>
      <c r="AJ181" s="3" t="s">
        <v>117</v>
      </c>
      <c r="AK181" s="3" t="s">
        <v>140</v>
      </c>
      <c r="AL181" s="3" t="s">
        <v>62</v>
      </c>
      <c r="AM181" s="3" t="s">
        <v>633</v>
      </c>
    </row>
    <row r="182" spans="1:39" ht="15" customHeight="1" x14ac:dyDescent="0.2">
      <c r="A182" s="3" t="s">
        <v>837</v>
      </c>
      <c r="B182" s="3"/>
      <c r="D182" s="3"/>
      <c r="E182" s="1" t="str">
        <f>RIGHT(A182,1)</f>
        <v>7</v>
      </c>
      <c r="F182" s="1" t="str">
        <f>G182 &amp; IF(H182&lt;&gt;"", "_" &amp; H182, "_") &amp; IF(I182&lt;&gt;"", "_" &amp; I182, "_") &amp; IF(B182&lt;&gt;"", "_" &amp; B182, "")</f>
        <v>Matano__1986</v>
      </c>
      <c r="G182" s="1" t="str">
        <f>SUBSTITUTE(SUBSTITUTE(_xlfn.TEXTBEFORE(A182,","), "-", ""), " ", "")</f>
        <v>Matano</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 t="str">
        <f>_xlfn.TEXTBEFORE(_xlfn.TEXTAFTER(A182, "("), ")")</f>
        <v>1986</v>
      </c>
      <c r="J182" s="1" t="str">
        <f>_xlfn.LET(
_xlpm.doi,IF(C182&lt;&gt;"",C182,_xlfn.TEXTAFTER(A182,"https://doi.org/")),
SUBSTITUTE(
SUBSTITUTE(
SUBSTITUTE(
SUBSTITUTE(
_xlpm.doi,
"/","%2F"),
":","%3A"),
"&lt;","%3C"),
"&gt;","%3E")
)</f>
        <v>10.1159%2F000156277</v>
      </c>
      <c r="K182" s="1" t="str">
        <f>TRIM(_xlfn.TEXTJOIN("_",FALSE(),F182,(SUBSTITUTE(SUBSTITUTE(D182," ",""), "_", ""))))</f>
        <v>Matano__1986_</v>
      </c>
      <c r="L182" s="1" t="str">
        <f>J182 &amp; "_" &amp; SUBSTITUTE(SUBSTITUTE(SUBSTITUTE(D182,CHAR(160),"")," ",""),"_","")</f>
        <v>10.1159%2F000156277_</v>
      </c>
      <c r="M182" s="1" t="str">
        <f t="array" ref="M182">IFERROR(INDEX(FileList!$A$1:$A$1000,MATCH(TRUE(),EXACT(L182,IFERROR(_xlfn.TEXTBEFORE(FileList!$A$1:$A$1000,".tsv"),"")),0)),"notfound")</f>
        <v>notfound</v>
      </c>
      <c r="P182" s="3"/>
      <c r="Y182" s="3"/>
      <c r="Z182" s="3"/>
      <c r="AF182" s="3"/>
    </row>
    <row r="183" spans="1:39" ht="15" customHeight="1" x14ac:dyDescent="0.2">
      <c r="A183" s="3" t="s">
        <v>836</v>
      </c>
      <c r="B183" s="3"/>
      <c r="D183" s="3" t="s">
        <v>1172</v>
      </c>
      <c r="E183" s="1" t="str">
        <f>RIGHT(A183,1)</f>
        <v>9</v>
      </c>
      <c r="F183" s="1" t="str">
        <f>G183 &amp; IF(H183&lt;&gt;"", "_" &amp; H183, "_") &amp; IF(I183&lt;&gt;"", "_" &amp; I183, "_") &amp; IF(B183&lt;&gt;"", "_" &amp; B183, "")</f>
        <v>Matano__1992</v>
      </c>
      <c r="G183" s="1" t="str">
        <f>SUBSTITUTE(SUBSTITUTE(_xlfn.TEXTBEFORE(A183,","), "-", ""), " ", "")</f>
        <v>Matano</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 t="str">
        <f>_xlfn.TEXTBEFORE(_xlfn.TEXTAFTER(A183, "("), ")")</f>
        <v>1992</v>
      </c>
      <c r="J183" s="1" t="str">
        <f>_xlfn.LET(
_xlpm.doi,IF(C183&lt;&gt;"",C183,_xlfn.TEXTAFTER(A183,"https://doi.org/")),
SUBSTITUTE(
SUBSTITUTE(
SUBSTITUTE(
SUBSTITUTE(
_xlpm.doi,
"/","%2F"),
":","%3A"),
"&lt;","%3C"),
"&gt;","%3E")
)</f>
        <v>10.1537%2Fase1911.100.69</v>
      </c>
      <c r="K183" s="1" t="str">
        <f>TRIM(_xlfn.TEXTJOIN("_",FALSE(),F183,(SUBSTITUTE(SUBSTITUTE(D183," ",""), "_", ""))))</f>
        <v>Matano__1992_Tables1to4</v>
      </c>
      <c r="L183" s="1" t="str">
        <f>J183 &amp; "_" &amp; SUBSTITUTE(SUBSTITUTE(SUBSTITUTE(D183,CHAR(160),"")," ",""),"_","")</f>
        <v>10.1537%2Fase1911.100.69_Tables1to4</v>
      </c>
      <c r="M183" s="1" t="str">
        <f t="array" ref="M183">IFERROR(INDEX(FileList!$A$1:$A$1000,MATCH(TRUE(),EXACT(L183,IFERROR(_xlfn.TEXTBEFORE(FileList!$A$1:$A$1000,".tsv"),"")),0)),"notfound")</f>
        <v>notfound</v>
      </c>
      <c r="P183" s="3"/>
      <c r="Y183" s="3"/>
      <c r="Z183" s="3"/>
      <c r="AF183" s="3"/>
    </row>
    <row r="184" spans="1:39" ht="15" customHeight="1" x14ac:dyDescent="0.2">
      <c r="A184" s="3" t="s">
        <v>634</v>
      </c>
      <c r="B184" s="3"/>
      <c r="D184" s="3" t="s">
        <v>92</v>
      </c>
      <c r="E184" s="1" t="str">
        <f>RIGHT(A184,1)</f>
        <v>F</v>
      </c>
      <c r="F184" s="1" t="str">
        <f>G184 &amp; IF(H184&lt;&gt;"", "_" &amp; H184, "_") &amp; IF(I184&lt;&gt;"", "_" &amp; I184, "_") &amp; IF(B184&lt;&gt;"", "_" &amp; B184, "")</f>
        <v>Matano__2001</v>
      </c>
      <c r="G184" s="1" t="str">
        <f>SUBSTITUTE(SUBSTITUTE(_xlfn.TEXTBEFORE(A184,","), "-", ""), " ", "")</f>
        <v>Matano</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 t="str">
        <f>_xlfn.TEXTBEFORE(_xlfn.TEXTAFTER(A184, "("), ")")</f>
        <v>2001</v>
      </c>
      <c r="J184" s="1" t="str">
        <f>_xlfn.LET(
_xlpm.doi,IF(C184&lt;&gt;"",C184,_xlfn.TEXTAFTER(A184,"https://doi.org/")),
SUBSTITUTE(
SUBSTITUTE(
SUBSTITUTE(
SUBSTITUTE(
_xlpm.doi,
"/","%2F"),
":","%3A"),
"&lt;","%3C"),
"&gt;","%3E")
)</f>
        <v>10.1002%2F1096-8644(200102)114%3A2%3C163%3A%3AAID-AJPA1016%3E3.0.CO;2-F</v>
      </c>
      <c r="K184" s="1" t="str">
        <f>TRIM(_xlfn.TEXTJOIN("_",FALSE(),F184,(SUBSTITUTE(SUBSTITUTE(D184," ",""), "_", ""))))</f>
        <v>Matano__2001_TABLE2</v>
      </c>
      <c r="L184" s="1" t="str">
        <f>J184 &amp; "_" &amp; SUBSTITUTE(SUBSTITUTE(SUBSTITUTE(D184,CHAR(160),"")," ",""),"_","")</f>
        <v>10.1002%2F1096-8644(200102)114%3A2%3C163%3A%3AAID-AJPA1016%3E3.0.CO;2-F_TABLE2</v>
      </c>
      <c r="M184" s="1" t="str">
        <f t="array" ref="M184">IFERROR(INDEX(FileList!$A$1:$A$1000,MATCH(TRUE(),EXACT(L184,IFERROR(_xlfn.TEXTBEFORE(FileList!$A$1:$A$1000,".tsv"),"")),0)),"notfound")</f>
        <v>10.1002%2F1096-8644(200102)114%3A2%3C163%3A%3AAID-AJPA1016%3E3.0.CO;2-F_TABLE2.tsv</v>
      </c>
      <c r="N184" s="3" t="s">
        <v>635</v>
      </c>
    </row>
    <row r="185" spans="1:39" ht="15" customHeight="1" x14ac:dyDescent="0.2">
      <c r="A185" s="3" t="s">
        <v>636</v>
      </c>
      <c r="B185" s="3" t="s">
        <v>163</v>
      </c>
      <c r="D185" s="3" t="s">
        <v>76</v>
      </c>
      <c r="E185" s="1" t="str">
        <f>RIGHT(A185,1)</f>
        <v>2</v>
      </c>
      <c r="F185" s="1" t="str">
        <f>G185 &amp; IF(H185&lt;&gt;"", "_" &amp; H185, "_") &amp; IF(I185&lt;&gt;"", "_" &amp; I185, "_") &amp; IF(B185&lt;&gt;"", "_" &amp; B185, "")</f>
        <v>Matano_etal_1985_a</v>
      </c>
      <c r="G185" s="1" t="str">
        <f>SUBSTITUTE(SUBSTITUTE(_xlfn.TEXTBEFORE(A185,","), "-", ""), " ", "")</f>
        <v>Matano</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_xlfn.TEXTBEFORE(_xlfn.TEXTAFTER(A185, "("), ")")</f>
        <v>1985</v>
      </c>
      <c r="J185" s="1" t="str">
        <f>_xlfn.LET(
_xlpm.doi,IF(C185&lt;&gt;"",C185,_xlfn.TEXTAFTER(A185,"https://doi.org/")),
SUBSTITUTE(
SUBSTITUTE(
SUBSTITUTE(
SUBSTITUTE(
_xlpm.doi,
"/","%2F"),
":","%3A"),
"&lt;","%3C"),
"&gt;","%3E")
)</f>
        <v>10.1159%2F000156212</v>
      </c>
      <c r="K185" s="1" t="str">
        <f>TRIM(_xlfn.TEXTJOIN("_",FALSE(),F185,(SUBSTITUTE(SUBSTITUTE(D185," ",""), "_", ""))))</f>
        <v>Matano_etal_1985_a_Table1</v>
      </c>
      <c r="L185" s="1" t="str">
        <f>J185 &amp; "_" &amp; SUBSTITUTE(SUBSTITUTE(SUBSTITUTE(D185,CHAR(160),"")," ",""),"_","")</f>
        <v>10.1159%2F000156212_Table1</v>
      </c>
      <c r="M185" s="1" t="str">
        <f t="array" ref="M185">IFERROR(INDEX(FileList!$A$1:$A$1000,MATCH(TRUE(),EXACT(L185,IFERROR(_xlfn.TEXTBEFORE(FileList!$A$1:$A$1000,".tsv"),"")),0)),"notfound")</f>
        <v>10.1159%2F000156212_Table1.tsv</v>
      </c>
      <c r="N185" s="3" t="s">
        <v>637</v>
      </c>
      <c r="P185" s="3" t="s">
        <v>40</v>
      </c>
      <c r="V185" s="3" t="s">
        <v>41</v>
      </c>
      <c r="Y185" s="3" t="s">
        <v>99</v>
      </c>
      <c r="Z185" s="3" t="s">
        <v>99</v>
      </c>
      <c r="AF185" s="3" t="s">
        <v>79</v>
      </c>
      <c r="AG185" s="3" t="s">
        <v>111</v>
      </c>
      <c r="AI185" s="3" t="s">
        <v>638</v>
      </c>
      <c r="AJ185" s="3" t="s">
        <v>101</v>
      </c>
      <c r="AK185" s="3" t="s">
        <v>62</v>
      </c>
      <c r="AL185" s="3" t="s">
        <v>62</v>
      </c>
      <c r="AM185" s="3" t="s">
        <v>84</v>
      </c>
    </row>
    <row r="186" spans="1:39" ht="15" customHeight="1" x14ac:dyDescent="0.2">
      <c r="A186" s="3" t="s">
        <v>639</v>
      </c>
      <c r="B186" s="3" t="s">
        <v>171</v>
      </c>
      <c r="D186" s="3" t="s">
        <v>76</v>
      </c>
      <c r="E186" s="1" t="str">
        <f>RIGHT(A186,1)</f>
        <v>1</v>
      </c>
      <c r="F186" s="1" t="str">
        <f>G186 &amp; IF(H186&lt;&gt;"", "_" &amp; H186, "_") &amp; IF(I186&lt;&gt;"", "_" &amp; I186, "_") &amp; IF(B186&lt;&gt;"", "_" &amp; B186, "")</f>
        <v>Matano_etal_1985_b</v>
      </c>
      <c r="G186" s="1" t="str">
        <f>SUBSTITUTE(SUBSTITUTE(_xlfn.TEXTBEFORE(A186,","), "-", ""), " ", "")</f>
        <v>Matano</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_xlfn.TEXTBEFORE(_xlfn.TEXTAFTER(A186, "("), ")")</f>
        <v>1985</v>
      </c>
      <c r="J186" s="1" t="str">
        <f>_xlfn.LET(
_xlpm.doi,IF(C186&lt;&gt;"",C186,_xlfn.TEXTAFTER(A186,"https://doi.org/")),
SUBSTITUTE(
SUBSTITUTE(
SUBSTITUTE(
SUBSTITUTE(
_xlpm.doi,
"/","%2F"),
":","%3A"),
"&lt;","%3C"),
"&gt;","%3E")
)</f>
        <v>10.1159%2F000156211</v>
      </c>
      <c r="K186" s="1" t="str">
        <f>TRIM(_xlfn.TEXTJOIN("_",FALSE(),F186,(SUBSTITUTE(SUBSTITUTE(D186," ",""), "_", ""))))</f>
        <v>Matano_etal_1985_b_Table1</v>
      </c>
      <c r="L186" s="1" t="str">
        <f>J186 &amp; "_" &amp; SUBSTITUTE(SUBSTITUTE(SUBSTITUTE(D186,CHAR(160),"")," ",""),"_","")</f>
        <v>10.1159%2F000156211_Table1</v>
      </c>
      <c r="M186" s="1" t="str">
        <f t="array" ref="M186">IFERROR(INDEX(FileList!$A$1:$A$1000,MATCH(TRUE(),EXACT(L186,IFERROR(_xlfn.TEXTBEFORE(FileList!$A$1:$A$1000,".tsv"),"")),0)),"notfound")</f>
        <v>10.1159%2F000156211_Table1.tsv</v>
      </c>
      <c r="P186" s="3" t="s">
        <v>40</v>
      </c>
      <c r="Y186" s="3" t="s">
        <v>99</v>
      </c>
      <c r="Z186" s="3" t="s">
        <v>99</v>
      </c>
      <c r="AF186" s="3" t="s">
        <v>79</v>
      </c>
    </row>
    <row r="187" spans="1:39" ht="15" customHeight="1" x14ac:dyDescent="0.2">
      <c r="A187" s="4" t="s">
        <v>851</v>
      </c>
      <c r="E187" s="1" t="str">
        <f>RIGHT(A187,1)</f>
        <v>9</v>
      </c>
      <c r="F187" s="1" t="str">
        <f>G187 &amp; IF(H187&lt;&gt;"", "_" &amp; H187, "_") &amp; IF(I187&lt;&gt;"", "_" &amp; I187, "_") &amp; IF(B187&lt;&gt;"", "_" &amp; B187, "")</f>
        <v>MedinaGonzalez__2026</v>
      </c>
      <c r="G187" s="1" t="str">
        <f>SUBSTITUTE(SUBSTITUTE(_xlfn.TEXTBEFORE(A187,","), "-", ""), " ", "")</f>
        <v>MedinaGonzalez</v>
      </c>
      <c r="H187" s="1"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 t="str">
        <f>_xlfn.TEXTBEFORE(_xlfn.TEXTAFTER(A187, "("), ")")</f>
        <v>2026</v>
      </c>
      <c r="J187" s="1" t="str">
        <f>_xlfn.LET(
_xlpm.doi,IF(C187&lt;&gt;"",C187,_xlfn.TEXTAFTER(A187,"https://doi.org/")),
SUBSTITUTE(
SUBSTITUTE(
SUBSTITUTE(
SUBSTITUTE(
_xlpm.doi,
"/","%2F"),
":","%3A"),
"&lt;","%3C"),
"&gt;","%3E")
)</f>
        <v>10.1002%2Fjez.70069</v>
      </c>
      <c r="K187" s="1" t="str">
        <f>TRIM(_xlfn.TEXTJOIN("_",FALSE(),F187,(SUBSTITUTE(SUBSTITUTE(D187," ",""), "_", ""))))</f>
        <v>MedinaGonzalez__2026_</v>
      </c>
      <c r="L187" s="1" t="str">
        <f>J187 &amp; "_" &amp; SUBSTITUTE(SUBSTITUTE(SUBSTITUTE(D187,CHAR(160),"")," ",""),"_","")</f>
        <v>10.1002%2Fjez.70069_</v>
      </c>
      <c r="M187" s="1" t="str">
        <f t="array" ref="M187">IFERROR(INDEX(FileList!$A$1:$A$1000,MATCH(TRUE(),EXACT(L187,IFERROR(_xlfn.TEXTBEFORE(FileList!$A$1:$A$1000,".tsv"),"")),0)),"notfound")</f>
        <v>notfound</v>
      </c>
    </row>
    <row r="188" spans="1:39" ht="15" customHeight="1" x14ac:dyDescent="0.2">
      <c r="A188" s="3" t="s">
        <v>640</v>
      </c>
      <c r="D188" s="3" t="s">
        <v>197</v>
      </c>
      <c r="E188" s="1" t="str">
        <f>RIGHT(A188,1)</f>
        <v>1</v>
      </c>
      <c r="F188" s="1" t="str">
        <f>G188 &amp; IF(H188&lt;&gt;"", "_" &amp; H188, "_") &amp; IF(I188&lt;&gt;"", "_" &amp; I188, "_") &amp; IF(B188&lt;&gt;"", "_" &amp; B188, "")</f>
        <v>Mota_Herculano-Houzel_2015</v>
      </c>
      <c r="G188" s="1" t="str">
        <f>SUBSTITUTE(SUBSTITUTE(_xlfn.TEXTBEFORE(A188,","), "-", ""), " ", "")</f>
        <v>Mota</v>
      </c>
      <c r="H188" s="1"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Herculano-Houzel</v>
      </c>
      <c r="I188" s="1" t="str">
        <f>_xlfn.TEXTBEFORE(_xlfn.TEXTAFTER(A188, "("), ")")</f>
        <v>2015</v>
      </c>
      <c r="J188" s="1" t="str">
        <f>_xlfn.LET(
_xlpm.doi,IF(C188&lt;&gt;"",C188,_xlfn.TEXTAFTER(A188,"https://doi.org/")),
SUBSTITUTE(
SUBSTITUTE(
SUBSTITUTE(
SUBSTITUTE(
_xlpm.doi,
"/","%2F"),
":","%3A"),
"&lt;","%3C"),
"&gt;","%3E")
)</f>
        <v>10.1126%2Fscience.aaa9101</v>
      </c>
      <c r="K188" s="1" t="str">
        <f>TRIM(_xlfn.TEXTJOIN("_",FALSE(),F188,(SUBSTITUTE(SUBSTITUTE(D188," ",""), "_", ""))))</f>
        <v>Mota_Herculano-Houzel_2015_TableS1</v>
      </c>
      <c r="L188" s="1" t="str">
        <f>J188 &amp; "_" &amp; SUBSTITUTE(SUBSTITUTE(SUBSTITUTE(D188,CHAR(160),"")," ",""),"_","")</f>
        <v>10.1126%2Fscience.aaa9101_TableS1</v>
      </c>
      <c r="M188" s="1" t="str">
        <f t="array" ref="M188">IFERROR(INDEX(FileList!$A$1:$A$1000,MATCH(TRUE(),EXACT(L188,IFERROR(_xlfn.TEXTBEFORE(FileList!$A$1:$A$1000,".tsv"),"")),0)),"notfound")</f>
        <v>10.1126%2Fscience.aaa9101_TableS1.tsv</v>
      </c>
      <c r="Q188" s="3" t="s">
        <v>131</v>
      </c>
      <c r="AI188" s="3" t="s">
        <v>641</v>
      </c>
      <c r="AJ188" s="3" t="s">
        <v>139</v>
      </c>
      <c r="AL188" s="3" t="s">
        <v>361</v>
      </c>
      <c r="AM188" s="3" t="s">
        <v>641</v>
      </c>
    </row>
    <row r="189" spans="1:39" ht="15" customHeight="1" x14ac:dyDescent="0.2">
      <c r="A189" s="3" t="s">
        <v>642</v>
      </c>
      <c r="D189" s="3" t="s">
        <v>643</v>
      </c>
      <c r="E189" s="1" t="str">
        <f>RIGHT(A189,1)</f>
        <v>6</v>
      </c>
      <c r="F189" s="1" t="str">
        <f>G189 &amp; IF(H189&lt;&gt;"", "_" &amp; H189, "_") &amp; IF(I189&lt;&gt;"", "_" &amp; I189, "_") &amp; IF(B189&lt;&gt;"", "_" &amp; B189, "")</f>
        <v>Mota_etal_2019</v>
      </c>
      <c r="G189" s="1" t="str">
        <f>SUBSTITUTE(SUBSTITUTE(_xlfn.TEXTBEFORE(A189,","), "-", ""), " ", "")</f>
        <v>Mota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_xlfn.TEXTBEFORE(_xlfn.TEXTAFTER(A189, "("), ")")</f>
        <v>2019</v>
      </c>
      <c r="J189" s="1" t="str">
        <f>_xlfn.LET(
_xlpm.doi,IF(C189&lt;&gt;"",C189,_xlfn.TEXTAFTER(A189,"https://doi.org/")),
SUBSTITUTE(
SUBSTITUTE(
SUBSTITUTE(
SUBSTITUTE(
_xlpm.doi,
"/","%2F"),
":","%3A"),
"&lt;","%3C"),
"&gt;","%3E")
)</f>
        <v>10.1073%2Fpnas.1716956116</v>
      </c>
      <c r="K189" s="1" t="str">
        <f>TRIM(_xlfn.TEXTJOIN("_",FALSE(),F189,(SUBSTITUTE(SUBSTITUTE(D189," ",""), "_", ""))))</f>
        <v>Mota_etal_2019_SupplementaryTableS1</v>
      </c>
      <c r="L189" s="1" t="str">
        <f>J189 &amp; "_" &amp; SUBSTITUTE(SUBSTITUTE(SUBSTITUTE(D189,CHAR(160),"")," ",""),"_","")</f>
        <v>10.1073%2Fpnas.1716956116_SupplementaryTableS1</v>
      </c>
      <c r="M189" s="1" t="str">
        <f t="array" ref="M189">IFERROR(INDEX(FileList!$A$1:$A$1000,MATCH(TRUE(),EXACT(L189,IFERROR(_xlfn.TEXTBEFORE(FileList!$A$1:$A$1000,".tsv"),"")),0)),"notfound")</f>
        <v>10.1073%2Fpnas.1716956116_SupplementaryTableS1.tsv</v>
      </c>
      <c r="N189" s="3" t="s">
        <v>644</v>
      </c>
      <c r="P189" s="3" t="s">
        <v>334</v>
      </c>
      <c r="AA189" s="3" t="s">
        <v>645</v>
      </c>
      <c r="AI189" s="3" t="s">
        <v>646</v>
      </c>
      <c r="AJ189" s="3" t="s">
        <v>139</v>
      </c>
      <c r="AL189" s="3" t="s">
        <v>361</v>
      </c>
      <c r="AM189" s="3" t="s">
        <v>647</v>
      </c>
    </row>
    <row r="190" spans="1:39" ht="15" customHeight="1" x14ac:dyDescent="0.2">
      <c r="A190" s="3" t="s">
        <v>873</v>
      </c>
      <c r="D190" s="3"/>
      <c r="E190" s="1" t="str">
        <f>RIGHT(A190,1)</f>
        <v>6</v>
      </c>
      <c r="F190" s="1" t="str">
        <f>G190 &amp; IF(H190&lt;&gt;"", "_" &amp; H190, "_") &amp; IF(I190&lt;&gt;"", "_" &amp; I190, "_") &amp; IF(B190&lt;&gt;"", "_" &amp; B190, "")</f>
        <v>Navarrete_etal_2016</v>
      </c>
      <c r="G190" s="1" t="str">
        <f>SUBSTITUTE(SUBSTITUTE(_xlfn.TEXTBEFORE(A190,","), "-", ""), " ", "")</f>
        <v>Navarrete</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_xlfn.TEXTBEFORE(_xlfn.TEXTAFTER(A190, "("), ")")</f>
        <v>2016</v>
      </c>
      <c r="J190" s="1" t="str">
        <f>_xlfn.LET(
_xlpm.doi,IF(C190&lt;&gt;"",C190,_xlfn.TEXTAFTER(A190,"https://doi.org/")),
SUBSTITUTE(
SUBSTITUTE(
SUBSTITUTE(
SUBSTITUTE(
_xlpm.doi,
"/","%2F"),
":","%3A"),
"&lt;","%3C"),
"&gt;","%3E")
)</f>
        <v>10.1098%2Frstb.2015.0186</v>
      </c>
      <c r="K190" s="1" t="str">
        <f>TRIM(_xlfn.TEXTJOIN("_",FALSE(),F190,(SUBSTITUTE(SUBSTITUTE(D190," ",""), "_", ""))))</f>
        <v>Navarrete_etal_2016_</v>
      </c>
      <c r="L190" s="1" t="str">
        <f>J190 &amp; "_" &amp; SUBSTITUTE(SUBSTITUTE(SUBSTITUTE(D190,CHAR(160),"")," ",""),"_","")</f>
        <v>10.1098%2Frstb.2015.0186_</v>
      </c>
      <c r="M190" s="1" t="str">
        <f t="array" ref="M190">IFERROR(INDEX(FileList!$A$1:$A$1000,MATCH(TRUE(),EXACT(L190,IFERROR(_xlfn.TEXTBEFORE(FileList!$A$1:$A$1000,".tsv"),"")),0)),"notfound")</f>
        <v>notfound</v>
      </c>
      <c r="N190" s="3"/>
      <c r="P190" s="3"/>
      <c r="AA190" s="3"/>
      <c r="AI190" s="3"/>
      <c r="AJ190" s="3"/>
      <c r="AL190" s="3"/>
      <c r="AM190" s="3"/>
    </row>
    <row r="191" spans="1:39" ht="15" customHeight="1" x14ac:dyDescent="0.2">
      <c r="A191" s="4" t="s">
        <v>856</v>
      </c>
      <c r="E191" s="1" t="str">
        <f>RIGHT(A191,1)</f>
        <v>3</v>
      </c>
      <c r="F191" s="1" t="str">
        <f>G191 &amp; IF(H191&lt;&gt;"", "_" &amp; H191, "_") &amp; IF(I191&lt;&gt;"", "_" &amp; I191, "_") &amp; IF(B191&lt;&gt;"", "_" &amp; B191, "")</f>
        <v>Nguyen_etal_2019</v>
      </c>
      <c r="G191" s="1" t="str">
        <f>SUBSTITUTE(SUBSTITUTE(_xlfn.TEXTBEFORE(A191,","), "-", ""), " ", "")</f>
        <v>Nguyen</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_xlfn.TEXTBEFORE(_xlfn.TEXTAFTER(A191, "("), ")")</f>
        <v>2019</v>
      </c>
      <c r="J191" s="1" t="str">
        <f>_xlfn.LET(
_xlpm.doi,IF(C191&lt;&gt;"",C191,_xlfn.TEXTAFTER(A191,"https://doi.org/")),
SUBSTITUTE(
SUBSTITUTE(
SUBSTITUTE(
SUBSTITUTE(
_xlpm.doi,
"/","%2F"),
":","%3A"),
"&lt;","%3C"),
"&gt;","%3E")
)</f>
        <v>10.1002%2Fcne.24823</v>
      </c>
      <c r="K191" s="1" t="str">
        <f>TRIM(_xlfn.TEXTJOIN("_",FALSE(),F191,(SUBSTITUTE(SUBSTITUTE(D191," ",""), "_", ""))))</f>
        <v>Nguyen_etal_2019_</v>
      </c>
      <c r="L191" s="1" t="str">
        <f>J191 &amp; "_" &amp; SUBSTITUTE(SUBSTITUTE(SUBSTITUTE(D191,CHAR(160),"")," ",""),"_","")</f>
        <v>10.1002%2Fcne.24823_</v>
      </c>
      <c r="M191" s="1" t="str">
        <f t="array" ref="M191">IFERROR(INDEX(FileList!$A$1:$A$1000,MATCH(TRUE(),EXACT(L191,IFERROR(_xlfn.TEXTBEFORE(FileList!$A$1:$A$1000,".tsv"),"")),0)),"notfound")</f>
        <v>notfound</v>
      </c>
    </row>
    <row r="192" spans="1:39" ht="15" customHeight="1" x14ac:dyDescent="0.2">
      <c r="A192" s="3" t="s">
        <v>874</v>
      </c>
      <c r="D192" s="3" t="s">
        <v>48</v>
      </c>
      <c r="E192" s="1" t="str">
        <f>RIGHT(A192,1)</f>
        <v>3</v>
      </c>
      <c r="F192" s="1" t="str">
        <f>G192 &amp; IF(H192&lt;&gt;"", "_" &amp; H192, "_") &amp; IF(I192&lt;&gt;"", "_" &amp; I192, "_") &amp; IF(B192&lt;&gt;"", "_" &amp; B192, "")</f>
        <v>Nudo_etal_1995</v>
      </c>
      <c r="G192" s="1" t="str">
        <f>SUBSTITUTE(SUBSTITUTE(_xlfn.TEXTBEFORE(A192,","), "-", ""), " ", "")</f>
        <v>Nudo</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_xlfn.TEXTBEFORE(_xlfn.TEXTAFTER(A192, "("), ")")</f>
        <v>1995</v>
      </c>
      <c r="J192" s="1" t="str">
        <f>_xlfn.LET(
_xlpm.doi,IF(C192&lt;&gt;"",C192,_xlfn.TEXTAFTER(A192,"https://doi.org/")),
SUBSTITUTE(
SUBSTITUTE(
SUBSTITUTE(
SUBSTITUTE(
_xlpm.doi,
"/","%2F"),
":","%3A"),
"&lt;","%3C"),
"&gt;","%3E")
)</f>
        <v>10.1002%2Fcne.903580203</v>
      </c>
      <c r="K192" s="1" t="str">
        <f>TRIM(_xlfn.TEXTJOIN("_",FALSE(),F192,(SUBSTITUTE(SUBSTITUTE(D192," ",""), "_", ""))))</f>
        <v>Nudo_etal_1995_TABLE1</v>
      </c>
      <c r="L192" s="1" t="str">
        <f>J192 &amp; "_" &amp; SUBSTITUTE(SUBSTITUTE(SUBSTITUTE(D192,CHAR(160),"")," ",""),"_","")</f>
        <v>10.1002%2Fcne.903580203_TABLE1</v>
      </c>
      <c r="M192" s="1" t="str">
        <f t="array" ref="M192">IFERROR(INDEX(FileList!$A$1:$A$1000,MATCH(TRUE(),EXACT(L192,IFERROR(_xlfn.TEXTBEFORE(FileList!$A$1:$A$1000,".tsv"),"")),0)),"notfound")</f>
        <v>notfound</v>
      </c>
      <c r="N192" s="3"/>
      <c r="P192" s="4" t="s">
        <v>40</v>
      </c>
      <c r="R192" s="4" t="s">
        <v>1173</v>
      </c>
      <c r="T192" s="4" t="s">
        <v>1174</v>
      </c>
      <c r="U192" s="4" t="s">
        <v>54</v>
      </c>
      <c r="V192" s="4" t="s">
        <v>41</v>
      </c>
      <c r="Y192" s="4" t="s">
        <v>1175</v>
      </c>
      <c r="AA192" s="3"/>
      <c r="AB192" s="4" t="s">
        <v>1176</v>
      </c>
      <c r="AI192" s="4" t="s">
        <v>1177</v>
      </c>
      <c r="AJ192" s="4" t="s">
        <v>139</v>
      </c>
      <c r="AK192" s="4" t="s">
        <v>1178</v>
      </c>
      <c r="AL192" s="4" t="s">
        <v>140</v>
      </c>
      <c r="AM192" s="4" t="s">
        <v>1179</v>
      </c>
    </row>
    <row r="193" spans="1:39" ht="15" customHeight="1" x14ac:dyDescent="0.2">
      <c r="A193" s="3" t="s">
        <v>874</v>
      </c>
      <c r="D193" s="3" t="s">
        <v>92</v>
      </c>
      <c r="E193" s="1" t="str">
        <f>RIGHT(A193,1)</f>
        <v>3</v>
      </c>
      <c r="F193" s="1" t="str">
        <f>G193 &amp; IF(H193&lt;&gt;"", "_" &amp; H193, "_") &amp; IF(I193&lt;&gt;"", "_" &amp; I193, "_") &amp; IF(B193&lt;&gt;"", "_" &amp; B193, "")</f>
        <v>Nudo_etal_1995</v>
      </c>
      <c r="G193" s="1" t="str">
        <f>SUBSTITUTE(SUBSTITUTE(_xlfn.TEXTBEFORE(A193,","), "-", ""), " ", "")</f>
        <v>Nudo</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_xlfn.TEXTBEFORE(_xlfn.TEXTAFTER(A193, "("), ")")</f>
        <v>1995</v>
      </c>
      <c r="J193" s="1" t="str">
        <f>_xlfn.LET(
_xlpm.doi,IF(C193&lt;&gt;"",C193,_xlfn.TEXTAFTER(A193,"https://doi.org/")),
SUBSTITUTE(
SUBSTITUTE(
SUBSTITUTE(
SUBSTITUTE(
_xlpm.doi,
"/","%2F"),
":","%3A"),
"&lt;","%3C"),
"&gt;","%3E")
)</f>
        <v>10.1002%2Fcne.903580203</v>
      </c>
      <c r="K193" s="1" t="str">
        <f>TRIM(_xlfn.TEXTJOIN("_",FALSE(),F193,(SUBSTITUTE(SUBSTITUTE(D193," ",""), "_", ""))))</f>
        <v>Nudo_etal_1995_TABLE2</v>
      </c>
      <c r="L193" s="1" t="str">
        <f>J193 &amp; "_" &amp; SUBSTITUTE(SUBSTITUTE(SUBSTITUTE(D193,CHAR(160),"")," ",""),"_","")</f>
        <v>10.1002%2Fcne.903580203_TABLE2</v>
      </c>
      <c r="M193" s="1" t="str">
        <f t="array" ref="M193">IFERROR(INDEX(FileList!$A$1:$A$1000,MATCH(TRUE(),EXACT(L193,IFERROR(_xlfn.TEXTBEFORE(FileList!$A$1:$A$1000,".tsv"),"")),0)),"notfound")</f>
        <v>notfound</v>
      </c>
      <c r="N193" s="3"/>
      <c r="P193" s="4" t="s">
        <v>40</v>
      </c>
      <c r="R193" s="4" t="s">
        <v>1180</v>
      </c>
      <c r="T193" s="4" t="s">
        <v>1181</v>
      </c>
      <c r="U193" s="4" t="s">
        <v>54</v>
      </c>
      <c r="V193" s="4" t="s">
        <v>41</v>
      </c>
      <c r="Y193" s="4" t="s">
        <v>1175</v>
      </c>
      <c r="AA193" s="3"/>
      <c r="AB193" s="4" t="s">
        <v>1182</v>
      </c>
      <c r="AI193" s="4" t="s">
        <v>1183</v>
      </c>
      <c r="AJ193" s="4" t="s">
        <v>139</v>
      </c>
      <c r="AK193" s="4" t="s">
        <v>62</v>
      </c>
      <c r="AL193" s="4" t="s">
        <v>62</v>
      </c>
      <c r="AM193" s="4" t="s">
        <v>1184</v>
      </c>
    </row>
    <row r="194" spans="1:39" ht="15" customHeight="1" x14ac:dyDescent="0.2">
      <c r="A194" s="3" t="s">
        <v>874</v>
      </c>
      <c r="D194" s="3" t="s">
        <v>729</v>
      </c>
      <c r="E194" s="1" t="str">
        <f>RIGHT(A194,1)</f>
        <v>3</v>
      </c>
      <c r="F194" s="1" t="str">
        <f>G194 &amp; IF(H194&lt;&gt;"", "_" &amp; H194, "_") &amp; IF(I194&lt;&gt;"", "_" &amp; I194, "_") &amp; IF(B194&lt;&gt;"", "_" &amp; B194, "")</f>
        <v>Nudo_etal_1995</v>
      </c>
      <c r="G194" s="1" t="str">
        <f>SUBSTITUTE(SUBSTITUTE(_xlfn.TEXTBEFORE(A194,","), "-", ""), " ", "")</f>
        <v>Nudo</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_xlfn.TEXTBEFORE(_xlfn.TEXTAFTER(A194, "("), ")")</f>
        <v>1995</v>
      </c>
      <c r="J194" s="1" t="str">
        <f>_xlfn.LET(
_xlpm.doi,IF(C194&lt;&gt;"",C194,_xlfn.TEXTAFTER(A194,"https://doi.org/")),
SUBSTITUTE(
SUBSTITUTE(
SUBSTITUTE(
SUBSTITUTE(
_xlpm.doi,
"/","%2F"),
":","%3A"),
"&lt;","%3C"),
"&gt;","%3E")
)</f>
        <v>10.1002%2Fcne.903580203</v>
      </c>
      <c r="K194" s="1" t="str">
        <f>TRIM(_xlfn.TEXTJOIN("_",FALSE(),F194,(SUBSTITUTE(SUBSTITUTE(D194," ",""), "_", ""))))</f>
        <v>Nudo_etal_1995_TABLE3</v>
      </c>
      <c r="L194" s="1" t="str">
        <f>J194 &amp; "_" &amp; SUBSTITUTE(SUBSTITUTE(SUBSTITUTE(D194,CHAR(160),"")," ",""),"_","")</f>
        <v>10.1002%2Fcne.903580203_TABLE3</v>
      </c>
      <c r="M194" s="1" t="str">
        <f t="array" ref="M194">IFERROR(INDEX(FileList!$A$1:$A$1000,MATCH(TRUE(),EXACT(L194,IFERROR(_xlfn.TEXTBEFORE(FileList!$A$1:$A$1000,".tsv"),"")),0)),"notfound")</f>
        <v>notfound</v>
      </c>
      <c r="N194" s="3"/>
      <c r="P194" s="4" t="s">
        <v>40</v>
      </c>
      <c r="R194" s="4" t="s">
        <v>1185</v>
      </c>
      <c r="T194" s="4" t="s">
        <v>1186</v>
      </c>
      <c r="U194" s="4" t="s">
        <v>54</v>
      </c>
      <c r="V194" s="4" t="s">
        <v>41</v>
      </c>
      <c r="Y194" s="4" t="s">
        <v>1175</v>
      </c>
      <c r="AA194" s="3"/>
      <c r="AB194" s="4" t="s">
        <v>1187</v>
      </c>
      <c r="AI194" s="4" t="s">
        <v>1188</v>
      </c>
      <c r="AJ194" s="4" t="s">
        <v>139</v>
      </c>
      <c r="AK194" s="4" t="s">
        <v>1189</v>
      </c>
      <c r="AL194" s="4" t="s">
        <v>140</v>
      </c>
      <c r="AM194" s="4" t="s">
        <v>1190</v>
      </c>
    </row>
    <row r="195" spans="1:39" ht="15" customHeight="1" x14ac:dyDescent="0.2">
      <c r="A195" s="3" t="s">
        <v>874</v>
      </c>
      <c r="D195" s="3" t="s">
        <v>731</v>
      </c>
      <c r="E195" s="1" t="str">
        <f>RIGHT(A195,1)</f>
        <v>3</v>
      </c>
      <c r="F195" s="1" t="str">
        <f>G195 &amp; IF(H195&lt;&gt;"", "_" &amp; H195, "_") &amp; IF(I195&lt;&gt;"", "_" &amp; I195, "_") &amp; IF(B195&lt;&gt;"", "_" &amp; B195, "")</f>
        <v>Nudo_etal_1995</v>
      </c>
      <c r="G195" s="1" t="str">
        <f>SUBSTITUTE(SUBSTITUTE(_xlfn.TEXTBEFORE(A195,","), "-", ""), " ", "")</f>
        <v>Nudo</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_xlfn.TEXTBEFORE(_xlfn.TEXTAFTER(A195, "("), ")")</f>
        <v>1995</v>
      </c>
      <c r="J195" s="1" t="str">
        <f>_xlfn.LET(
_xlpm.doi,IF(C195&lt;&gt;"",C195,_xlfn.TEXTAFTER(A195,"https://doi.org/")),
SUBSTITUTE(
SUBSTITUTE(
SUBSTITUTE(
SUBSTITUTE(
_xlpm.doi,
"/","%2F"),
":","%3A"),
"&lt;","%3C"),
"&gt;","%3E")
)</f>
        <v>10.1002%2Fcne.903580203</v>
      </c>
      <c r="K195" s="1" t="str">
        <f>TRIM(_xlfn.TEXTJOIN("_",FALSE(),F195,(SUBSTITUTE(SUBSTITUTE(D195," ",""), "_", ""))))</f>
        <v>Nudo_etal_1995_TABLE4</v>
      </c>
      <c r="L195" s="1" t="str">
        <f>J195 &amp; "_" &amp; SUBSTITUTE(SUBSTITUTE(SUBSTITUTE(D195,CHAR(160),"")," ",""),"_","")</f>
        <v>10.1002%2Fcne.903580203_TABLE4</v>
      </c>
      <c r="M195" s="1" t="str">
        <f t="array" ref="M195">IFERROR(INDEX(FileList!$A$1:$A$1000,MATCH(TRUE(),EXACT(L195,IFERROR(_xlfn.TEXTBEFORE(FileList!$A$1:$A$1000,".tsv"),"")),0)),"notfound")</f>
        <v>notfound</v>
      </c>
      <c r="N195" s="3"/>
      <c r="P195" s="4" t="s">
        <v>40</v>
      </c>
      <c r="R195" s="4" t="s">
        <v>1191</v>
      </c>
      <c r="T195" s="4" t="s">
        <v>1192</v>
      </c>
      <c r="U195" s="4" t="s">
        <v>54</v>
      </c>
      <c r="V195" s="4" t="s">
        <v>41</v>
      </c>
      <c r="Y195" s="4" t="s">
        <v>1175</v>
      </c>
      <c r="AA195" s="3"/>
      <c r="AB195" s="4" t="s">
        <v>1193</v>
      </c>
      <c r="AI195" s="4" t="s">
        <v>1194</v>
      </c>
      <c r="AJ195" s="4" t="s">
        <v>139</v>
      </c>
      <c r="AK195" s="4" t="s">
        <v>62</v>
      </c>
      <c r="AL195" s="4" t="s">
        <v>62</v>
      </c>
      <c r="AM195" s="4" t="s">
        <v>1195</v>
      </c>
    </row>
    <row r="196" spans="1:39" ht="15" customHeight="1" x14ac:dyDescent="0.2">
      <c r="A196" s="3" t="s">
        <v>874</v>
      </c>
      <c r="D196" s="3" t="s">
        <v>733</v>
      </c>
      <c r="E196" s="1" t="str">
        <f>RIGHT(A196,1)</f>
        <v>3</v>
      </c>
      <c r="F196" s="1" t="str">
        <f>G196 &amp; IF(H196&lt;&gt;"", "_" &amp; H196, "_") &amp; IF(I196&lt;&gt;"", "_" &amp; I196, "_") &amp; IF(B196&lt;&gt;"", "_" &amp; B196, "")</f>
        <v>Nudo_etal_1995</v>
      </c>
      <c r="G196" s="1" t="str">
        <f>SUBSTITUTE(SUBSTITUTE(_xlfn.TEXTBEFORE(A196,","), "-", ""), " ", "")</f>
        <v>Nudo</v>
      </c>
      <c r="H196" s="1"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_xlfn.TEXTBEFORE(_xlfn.TEXTAFTER(A196, "("), ")")</f>
        <v>1995</v>
      </c>
      <c r="J196" s="1" t="str">
        <f>_xlfn.LET(
_xlpm.doi,IF(C196&lt;&gt;"",C196,_xlfn.TEXTAFTER(A196,"https://doi.org/")),
SUBSTITUTE(
SUBSTITUTE(
SUBSTITUTE(
SUBSTITUTE(
_xlpm.doi,
"/","%2F"),
":","%3A"),
"&lt;","%3C"),
"&gt;","%3E")
)</f>
        <v>10.1002%2Fcne.903580203</v>
      </c>
      <c r="K196" s="1" t="str">
        <f>TRIM(_xlfn.TEXTJOIN("_",FALSE(),F196,(SUBSTITUTE(SUBSTITUTE(D196," ",""), "_", ""))))</f>
        <v>Nudo_etal_1995_TABLE5</v>
      </c>
      <c r="L196" s="1" t="str">
        <f>J196 &amp; "_" &amp; SUBSTITUTE(SUBSTITUTE(SUBSTITUTE(D196,CHAR(160),"")," ",""),"_","")</f>
        <v>10.1002%2Fcne.903580203_TABLE5</v>
      </c>
      <c r="M196" s="1" t="str">
        <f t="array" ref="M196">IFERROR(INDEX(FileList!$A$1:$A$1000,MATCH(TRUE(),EXACT(L196,IFERROR(_xlfn.TEXTBEFORE(FileList!$A$1:$A$1000,".tsv"),"")),0)),"notfound")</f>
        <v>notfound</v>
      </c>
      <c r="N196" s="3"/>
      <c r="P196" s="4" t="s">
        <v>40</v>
      </c>
      <c r="R196" s="4" t="s">
        <v>1196</v>
      </c>
      <c r="T196" s="4" t="s">
        <v>1197</v>
      </c>
      <c r="U196" s="4" t="s">
        <v>54</v>
      </c>
      <c r="V196" s="4" t="s">
        <v>41</v>
      </c>
      <c r="Y196" s="4" t="s">
        <v>1175</v>
      </c>
      <c r="AA196" s="3"/>
      <c r="AB196" s="4" t="s">
        <v>1198</v>
      </c>
      <c r="AI196" s="4" t="s">
        <v>1199</v>
      </c>
      <c r="AJ196" s="4" t="s">
        <v>139</v>
      </c>
      <c r="AK196" s="4" t="s">
        <v>62</v>
      </c>
      <c r="AL196" s="4" t="s">
        <v>62</v>
      </c>
      <c r="AM196" s="4" t="s">
        <v>1200</v>
      </c>
    </row>
    <row r="197" spans="1:39" ht="15" customHeight="1" x14ac:dyDescent="0.2">
      <c r="A197" s="3" t="s">
        <v>841</v>
      </c>
      <c r="E197" s="1" t="str">
        <f>RIGHT(A197,1)</f>
        <v>3</v>
      </c>
      <c r="F197" s="1" t="str">
        <f>G197 &amp; IF(H197&lt;&gt;"", "_" &amp; H197, "_") &amp; IF(I197&lt;&gt;"", "_" &amp; I197, "_") &amp; IF(B197&lt;&gt;"", "_" &amp; B197, "")</f>
        <v>Olkowicz_etal_2016</v>
      </c>
      <c r="G197" s="1" t="str">
        <f>SUBSTITUTE(SUBSTITUTE(_xlfn.TEXTBEFORE(A197,","), "-", ""), " ", "")</f>
        <v>Olkowicz</v>
      </c>
      <c r="H197" s="1"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_xlfn.TEXTBEFORE(_xlfn.TEXTAFTER(A197, "("), ")")</f>
        <v>2016</v>
      </c>
      <c r="J197" s="1" t="str">
        <f>_xlfn.LET(
_xlpm.doi,IF(C197&lt;&gt;"",C197,_xlfn.TEXTAFTER(A197,"https://doi.org/")),
SUBSTITUTE(
SUBSTITUTE(
SUBSTITUTE(
SUBSTITUTE(
_xlpm.doi,
"/","%2F"),
":","%3A"),
"&lt;","%3C"),
"&gt;","%3E")
)</f>
        <v>10.1073%2Fpnas.1517131113</v>
      </c>
      <c r="K197" s="1" t="str">
        <f>TRIM(_xlfn.TEXTJOIN("_",FALSE(),F197,(SUBSTITUTE(SUBSTITUTE(D197," ",""), "_", ""))))</f>
        <v>Olkowicz_etal_2016_</v>
      </c>
      <c r="L197" s="1" t="str">
        <f>J197 &amp; "_" &amp; SUBSTITUTE(SUBSTITUTE(SUBSTITUTE(D197,CHAR(160),"")," ",""),"_","")</f>
        <v>10.1073%2Fpnas.1517131113_</v>
      </c>
      <c r="M197" s="1" t="str">
        <f t="array" ref="M197">IFERROR(INDEX(FileList!$A$1:$A$1000,MATCH(TRUE(),EXACT(L197,IFERROR(_xlfn.TEXTBEFORE(FileList!$A$1:$A$1000,".tsv"),"")),0)),"notfound")</f>
        <v>notfound</v>
      </c>
    </row>
    <row r="198" spans="1:39" ht="15" customHeight="1" x14ac:dyDescent="0.2">
      <c r="A198" s="3" t="s">
        <v>648</v>
      </c>
      <c r="C198" s="3" t="s">
        <v>649</v>
      </c>
      <c r="D198" s="3" t="s">
        <v>650</v>
      </c>
      <c r="E198" s="1" t="str">
        <f>RIGHT(A198,1)</f>
        <v>5</v>
      </c>
      <c r="F198" s="1" t="str">
        <f>G198 &amp; IF(H198&lt;&gt;"", "_" &amp; H198, "_") &amp; IF(I198&lt;&gt;"", "_" &amp; I198, "_") &amp; IF(B198&lt;&gt;"", "_" &amp; B198, "")</f>
        <v>Powell_etal_2017</v>
      </c>
      <c r="G198" s="1" t="str">
        <f>SUBSTITUTE(SUBSTITUTE(_xlfn.TEXTBEFORE(A198,","), "-", ""), " ", "")</f>
        <v>Powell</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_xlfn.TEXTBEFORE(_xlfn.TEXTAFTER(A198, "("), ")")</f>
        <v>2017</v>
      </c>
      <c r="J198" s="1" t="str">
        <f>_xlfn.LET(
_xlpm.doi,IF(C198&lt;&gt;"",C198,_xlfn.TEXTAFTER(A198,"https://doi.org/")),
SUBSTITUTE(
SUBSTITUTE(
SUBSTITUTE(
SUBSTITUTE(
_xlpm.doi,
"/","%2F"),
":","%3A"),
"&lt;","%3C"),
"&gt;","%3E")
)</f>
        <v>10.6084%2Fm9.figshare.c.3899422.v1</v>
      </c>
      <c r="K198" s="1" t="str">
        <f>TRIM(_xlfn.TEXTJOIN("_",FALSE(),F198,(SUBSTITUTE(SUBSTITUTE(D198," ",""), "_", ""))))</f>
        <v>Powell_etal_2017_Dataset1</v>
      </c>
      <c r="L198" s="1" t="str">
        <f>J198 &amp; "_" &amp; SUBSTITUTE(SUBSTITUTE(SUBSTITUTE(D198,CHAR(160),"")," ",""),"_","")</f>
        <v>10.6084%2Fm9.figshare.c.3899422.v1_Dataset1</v>
      </c>
      <c r="M198" s="1" t="str">
        <f t="array" ref="M198">IFERROR(INDEX(FileList!$A$1:$A$1000,MATCH(TRUE(),EXACT(L198,IFERROR(_xlfn.TEXTBEFORE(FileList!$A$1:$A$1000,".tsv"),"")),0)),"notfound")</f>
        <v>10.6084%2Fm9.figshare.c.3899422.v1_Dataset1.tsv</v>
      </c>
      <c r="P198" s="3" t="s">
        <v>334</v>
      </c>
      <c r="Q198" s="3" t="s">
        <v>201</v>
      </c>
      <c r="T198" s="3" t="str">
        <f>IF(S198="N", R198, "write file name")</f>
        <v>write file name</v>
      </c>
      <c r="U198" s="3" t="s">
        <v>182</v>
      </c>
      <c r="V198" s="3" t="s">
        <v>41</v>
      </c>
      <c r="W198" s="3" t="s">
        <v>183</v>
      </c>
      <c r="X198" s="3" t="s">
        <v>651</v>
      </c>
      <c r="AA198" s="3" t="s">
        <v>138</v>
      </c>
      <c r="AH198" s="3" t="s">
        <v>176</v>
      </c>
      <c r="AI198" s="3" t="s">
        <v>652</v>
      </c>
      <c r="AJ198" s="3" t="s">
        <v>117</v>
      </c>
      <c r="AK198" s="3" t="s">
        <v>140</v>
      </c>
      <c r="AL198" s="3" t="s">
        <v>140</v>
      </c>
      <c r="AM198" s="3" t="s">
        <v>652</v>
      </c>
    </row>
    <row r="199" spans="1:39" ht="15" customHeight="1" x14ac:dyDescent="0.2">
      <c r="A199" s="3" t="s">
        <v>872</v>
      </c>
      <c r="C199" s="3"/>
      <c r="D199" s="4" t="s">
        <v>1201</v>
      </c>
      <c r="E199" s="1" t="str">
        <f>RIGHT(A199,1)</f>
        <v>2</v>
      </c>
      <c r="F199" s="1" t="str">
        <f>G199 &amp; IF(H199&lt;&gt;"", "_" &amp; H199, "_") &amp; IF(I199&lt;&gt;"", "_" &amp; I199, "_") &amp; IF(B199&lt;&gt;"", "_" &amp; B199, "")</f>
        <v>Reader_etal_2011</v>
      </c>
      <c r="G199" s="1" t="str">
        <f>SUBSTITUTE(SUBSTITUTE(_xlfn.TEXTBEFORE(A199,","), "-", ""), " ", "")</f>
        <v>Reader</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_xlfn.TEXTBEFORE(_xlfn.TEXTAFTER(A199, "("), ")")</f>
        <v>2011</v>
      </c>
      <c r="J199" s="1" t="str">
        <f>_xlfn.LET(
_xlpm.doi,IF(C199&lt;&gt;"",C199,_xlfn.TEXTAFTER(A199,"https://doi.org/")),
SUBSTITUTE(
SUBSTITUTE(
SUBSTITUTE(
SUBSTITUTE(
_xlpm.doi,
"/","%2F"),
":","%3A"),
"&lt;","%3C"),
"&gt;","%3E")
)</f>
        <v>10.1098%2Frstb.2010.0342</v>
      </c>
      <c r="K199" s="1" t="str">
        <f>TRIM(_xlfn.TEXTJOIN("_",FALSE(),F199,(SUBSTITUTE(SUBSTITUTE(D199," ",""), "_", ""))))</f>
        <v>Reader_etal_2011_xml:space="preserve"&gt;Data</v>
      </c>
      <c r="L199" s="1" t="str">
        <f>J199 &amp; "_" &amp; SUBSTITUTE(SUBSTITUTE(SUBSTITUTE(D199,CHAR(160),"")," ",""),"_","")</f>
        <v>10.1098%2Frstb.2010.0342_xml:space="preserve"&gt;Data</v>
      </c>
      <c r="M199" s="1" t="str">
        <f t="array" ref="M199">IFERROR(INDEX(FileList!$A$1:$A$1000,MATCH(TRUE(),EXACT(L199,IFERROR(_xlfn.TEXTBEFORE(FileList!$A$1:$A$1000,".tsv"),"")),0)),"notfound")</f>
        <v>notfound</v>
      </c>
      <c r="P199" s="4" t="s">
        <v>1095</v>
      </c>
      <c r="Q199" s="3"/>
      <c r="R199" s="4" t="s">
        <v>1202</v>
      </c>
      <c r="T199" s="4" t="s">
        <v>1203</v>
      </c>
      <c r="U199" s="4" t="s">
        <v>1204</v>
      </c>
      <c r="V199" s="4" t="s">
        <v>1099</v>
      </c>
      <c r="W199" s="3"/>
      <c r="X199" s="3"/>
      <c r="Y199" s="4" t="s">
        <v>1205</v>
      </c>
      <c r="AA199" s="3"/>
      <c r="AB199" s="4" t="s">
        <v>1206</v>
      </c>
      <c r="AH199" s="3"/>
      <c r="AI199" s="4" t="s">
        <v>1207</v>
      </c>
      <c r="AJ199" s="4" t="s">
        <v>1147</v>
      </c>
      <c r="AK199" s="4" t="s">
        <v>1208</v>
      </c>
      <c r="AL199" s="4" t="s">
        <v>1156</v>
      </c>
      <c r="AM199" s="4" t="s">
        <v>1209</v>
      </c>
    </row>
    <row r="200" spans="1:39" ht="15" customHeight="1" x14ac:dyDescent="0.2">
      <c r="A200" s="3" t="s">
        <v>842</v>
      </c>
      <c r="D200" s="3" t="s">
        <v>76</v>
      </c>
      <c r="E200" s="1" t="str">
        <f>RIGHT(A200,1)</f>
        <v>8</v>
      </c>
      <c r="F200" s="1" t="str">
        <f>G200 &amp; IF(H200&lt;&gt;"", "_" &amp; H200, "_") &amp; IF(I200&lt;&gt;"", "_" &amp; I200, "_") &amp; IF(B200&lt;&gt;"", "_" &amp; B200, "")</f>
        <v>Ribeiro_etal_2013</v>
      </c>
      <c r="G200" s="1" t="str">
        <f>SUBSTITUTE(SUBSTITUTE(_xlfn.TEXTBEFORE(A200,","), "-", ""), " ", "")</f>
        <v>Ribeiro</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_xlfn.TEXTBEFORE(_xlfn.TEXTAFTER(A200, "("), ")")</f>
        <v>2013</v>
      </c>
      <c r="J200" s="1" t="str">
        <f>_xlfn.LET(
_xlpm.doi,IF(C200&lt;&gt;"",C200,_xlfn.TEXTAFTER(A200,"https://doi.org/")),
SUBSTITUTE(
SUBSTITUTE(
SUBSTITUTE(
SUBSTITUTE(
_xlpm.doi,
"/","%2F"),
":","%3A"),
"&lt;","%3C"),
"&gt;","%3E")
)</f>
        <v>10.3389%2Ffnana.2013.00028</v>
      </c>
      <c r="K200" s="1" t="str">
        <f>TRIM(_xlfn.TEXTJOIN("_",FALSE(),F200,(SUBSTITUTE(SUBSTITUTE(D200," ",""), "_", ""))))</f>
        <v>Ribeiro_etal_2013_Table1</v>
      </c>
      <c r="L200" s="1" t="str">
        <f>J200 &amp; "_" &amp; SUBSTITUTE(SUBSTITUTE(SUBSTITUTE(D200,CHAR(160),"")," ",""),"_","")</f>
        <v>10.3389%2Ffnana.2013.00028_Table1</v>
      </c>
      <c r="M200" s="1" t="str">
        <f t="array" ref="M200">IFERROR(INDEX(FileList!$A$1:$A$1000,MATCH(TRUE(),EXACT(L200,IFERROR(_xlfn.TEXTBEFORE(FileList!$A$1:$A$1000,".tsv"),"")),0)),"notfound")</f>
        <v>notfound</v>
      </c>
      <c r="P200" s="4" t="s">
        <v>40</v>
      </c>
      <c r="R200" s="4" t="s">
        <v>1210</v>
      </c>
      <c r="T200" s="4" t="s">
        <v>1211</v>
      </c>
      <c r="U200" s="4" t="s">
        <v>54</v>
      </c>
      <c r="V200" s="4" t="s">
        <v>41</v>
      </c>
      <c r="Y200" s="4" t="s">
        <v>57</v>
      </c>
      <c r="AB200" s="4" t="s">
        <v>1212</v>
      </c>
      <c r="AI200" s="4" t="s">
        <v>1213</v>
      </c>
      <c r="AJ200" s="4" t="s">
        <v>1214</v>
      </c>
      <c r="AK200" s="4" t="s">
        <v>62</v>
      </c>
      <c r="AL200" s="4" t="s">
        <v>62</v>
      </c>
      <c r="AM200" s="4" t="s">
        <v>1215</v>
      </c>
    </row>
    <row r="201" spans="1:39" ht="15" customHeight="1" x14ac:dyDescent="0.2">
      <c r="A201" s="3" t="s">
        <v>653</v>
      </c>
      <c r="D201" s="3" t="s">
        <v>76</v>
      </c>
      <c r="E201" s="1" t="str">
        <f>RIGHT(A201,1)</f>
        <v>5</v>
      </c>
      <c r="F201" s="1" t="str">
        <f>G201 &amp; IF(H201&lt;&gt;"", "_" &amp; H201, "_") &amp; IF(I201&lt;&gt;"", "_" &amp; I201, "_") &amp; IF(B201&lt;&gt;"", "_" &amp; B201, "")</f>
        <v>Rilling_Insel_1998</v>
      </c>
      <c r="G201" s="1" t="str">
        <f>SUBSTITUTE(SUBSTITUTE(_xlfn.TEXTBEFORE(A201,","), "-", ""), " ", "")</f>
        <v>Rilling</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Insel</v>
      </c>
      <c r="I201" s="1" t="str">
        <f>_xlfn.TEXTBEFORE(_xlfn.TEXTAFTER(A201, "("), ")")</f>
        <v>1998</v>
      </c>
      <c r="J201" s="1" t="str">
        <f>_xlfn.LET(
_xlpm.doi,IF(C201&lt;&gt;"",C201,_xlfn.TEXTAFTER(A201,"https://doi.org/")),
SUBSTITUTE(
SUBSTITUTE(
SUBSTITUTE(
SUBSTITUTE(
_xlpm.doi,
"/","%2F"),
":","%3A"),
"&lt;","%3C"),
"&gt;","%3E")
)</f>
        <v>10.1159%2F000006575</v>
      </c>
      <c r="K201" s="1" t="str">
        <f>TRIM(_xlfn.TEXTJOIN("_",FALSE(),F201,(SUBSTITUTE(SUBSTITUTE(D201," ",""), "_", ""))))</f>
        <v>Rilling_Insel_1998_Table1</v>
      </c>
      <c r="L201" s="1" t="str">
        <f>J201 &amp; "_" &amp; SUBSTITUTE(SUBSTITUTE(SUBSTITUTE(D201,CHAR(160),"")," ",""),"_","")</f>
        <v>10.1159%2F000006575_Table1</v>
      </c>
      <c r="M201" s="1" t="str">
        <f t="array" ref="M201">IFERROR(INDEX(FileList!$A$1:$A$1000,MATCH(TRUE(),EXACT(L201,IFERROR(_xlfn.TEXTBEFORE(FileList!$A$1:$A$1000,".tsv"),"")),0)),"notfound")</f>
        <v>10.1159%2F000006575_Table1.tsv</v>
      </c>
      <c r="N201" s="3" t="s">
        <v>654</v>
      </c>
      <c r="Y201" s="3" t="s">
        <v>624</v>
      </c>
      <c r="Z201" s="3" t="s">
        <v>624</v>
      </c>
      <c r="AF201" s="3" t="s">
        <v>625</v>
      </c>
      <c r="AG201" s="3" t="s">
        <v>111</v>
      </c>
    </row>
    <row r="202" spans="1:39" ht="15" customHeight="1" x14ac:dyDescent="0.2">
      <c r="A202" s="3" t="s">
        <v>655</v>
      </c>
      <c r="D202" s="3" t="s">
        <v>76</v>
      </c>
      <c r="E202" s="1" t="str">
        <f>RIGHT(A202,1)</f>
        <v>3</v>
      </c>
      <c r="F202" s="1" t="str">
        <f>G202 &amp; IF(H202&lt;&gt;"", "_" &amp; H202, "_") &amp; IF(I202&lt;&gt;"", "_" &amp; I202, "_") &amp; IF(B202&lt;&gt;"", "_" &amp; B202, "")</f>
        <v>Rilling_Insel_1999</v>
      </c>
      <c r="G202" s="1" t="str">
        <f>SUBSTITUTE(SUBSTITUTE(_xlfn.TEXTBEFORE(A202,","), "-", ""), " ", "")</f>
        <v>Rilling</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Insel</v>
      </c>
      <c r="I202" s="1" t="str">
        <f>_xlfn.TEXTBEFORE(_xlfn.TEXTAFTER(A202, "("), ")")</f>
        <v>1999</v>
      </c>
      <c r="J202" s="1" t="str">
        <f>_xlfn.LET(
_xlpm.doi,IF(C202&lt;&gt;"",C202,_xlfn.TEXTAFTER(A202,"https://doi.org/")),
SUBSTITUTE(
SUBSTITUTE(
SUBSTITUTE(
SUBSTITUTE(
_xlpm.doi,
"/","%2F"),
":","%3A"),
"&lt;","%3C"),
"&gt;","%3E")
)</f>
        <v>10.1006%2Fjhev.1999.0313</v>
      </c>
      <c r="K202" s="1" t="str">
        <f>TRIM(_xlfn.TEXTJOIN("_",FALSE(),F202,(SUBSTITUTE(SUBSTITUTE(D202," ",""), "_", ""))))</f>
        <v>Rilling_Insel_1999_Table1</v>
      </c>
      <c r="L202" s="1" t="str">
        <f>J202 &amp; "_" &amp; SUBSTITUTE(SUBSTITUTE(SUBSTITUTE(D202,CHAR(160),"")," ",""),"_","")</f>
        <v>10.1006%2Fjhev.1999.0313_Table1</v>
      </c>
      <c r="M202" s="1" t="str">
        <f t="array" ref="M202">IFERROR(INDEX(FileList!$A$1:$A$1000,MATCH(TRUE(),EXACT(L202,IFERROR(_xlfn.TEXTBEFORE(FileList!$A$1:$A$1000,".tsv"),"")),0)),"notfound")</f>
        <v>10.1006%2Fjhev.1999.0313_Table1.tsv</v>
      </c>
      <c r="N202" s="3" t="s">
        <v>656</v>
      </c>
      <c r="Y202" s="3" t="s">
        <v>624</v>
      </c>
      <c r="Z202" s="3" t="s">
        <v>624</v>
      </c>
    </row>
    <row r="203" spans="1:39" ht="15" customHeight="1" x14ac:dyDescent="0.2">
      <c r="A203" s="4" t="s">
        <v>844</v>
      </c>
      <c r="D203" s="4" t="s">
        <v>76</v>
      </c>
      <c r="E203" s="1" t="str">
        <f>RIGHT(A203,1)</f>
        <v>7</v>
      </c>
      <c r="F203" s="1" t="str">
        <f>G203 &amp; IF(H203&lt;&gt;"", "_" &amp; H203, "_") &amp; IF(I203&lt;&gt;"", "_" &amp; I203, "_") &amp; IF(B203&lt;&gt;"", "_" &amp; B203, "")</f>
        <v>Ruf_Geiser_2015</v>
      </c>
      <c r="G203" s="1" t="str">
        <f>SUBSTITUTE(SUBSTITUTE(_xlfn.TEXTBEFORE(A203,","), "-", ""), " ", "")</f>
        <v>Ruf</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Geiser</v>
      </c>
      <c r="I203" s="1" t="str">
        <f>_xlfn.TEXTBEFORE(_xlfn.TEXTAFTER(A203, "("), ")")</f>
        <v>2015</v>
      </c>
      <c r="J203" s="1" t="str">
        <f>_xlfn.LET(
_xlpm.doi,IF(C203&lt;&gt;"",C203,_xlfn.TEXTAFTER(A203,"https://doi.org/")),
SUBSTITUTE(
SUBSTITUTE(
SUBSTITUTE(
SUBSTITUTE(
_xlpm.doi,
"/","%2F"),
":","%3A"),
"&lt;","%3C"),
"&gt;","%3E")
)</f>
        <v>10.1111%2Fbrv.12137</v>
      </c>
      <c r="K203" s="1" t="str">
        <f>TRIM(_xlfn.TEXTJOIN("_",FALSE(),F203,(SUBSTITUTE(SUBSTITUTE(D203," ",""), "_", ""))))</f>
        <v>Ruf_Geiser_2015_Table1</v>
      </c>
      <c r="L203" s="1" t="str">
        <f>J203 &amp; "_" &amp; SUBSTITUTE(SUBSTITUTE(SUBSTITUTE(D203,CHAR(160),"")," ",""),"_","")</f>
        <v>10.1111%2Fbrv.12137_Table1</v>
      </c>
      <c r="M203" s="1" t="str">
        <f t="array" ref="M203">IFERROR(INDEX(FileList!$A$1:$A$1000,MATCH(TRUE(),EXACT(L203,IFERROR(_xlfn.TEXTBEFORE(FileList!$A$1:$A$1000,".tsv"),"")),0)),"notfound")</f>
        <v>10.1111%2Fbrv.12137_Table1.tsv</v>
      </c>
    </row>
    <row r="204" spans="1:39" ht="15" customHeight="1" x14ac:dyDescent="0.2">
      <c r="A204" s="3" t="s">
        <v>657</v>
      </c>
      <c r="D204" s="3" t="s">
        <v>658</v>
      </c>
      <c r="E204" s="1" t="str">
        <f>RIGHT(A204,1)</f>
        <v>2</v>
      </c>
      <c r="F204" s="1" t="str">
        <f>G204 &amp; IF(H204&lt;&gt;"", "_" &amp; H204, "_") &amp; IF(I204&lt;&gt;"", "_" &amp; I204, "_") &amp; IF(B204&lt;&gt;"", "_" &amp; B204, "")</f>
        <v>Schniter_Penaherrera-Aguirre_2026</v>
      </c>
      <c r="G204" s="1" t="str">
        <f>SUBSTITUTE(SUBSTITUTE(_xlfn.TEXTBEFORE(A204,","), "-", ""), " ", "")</f>
        <v>Schniter</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04" s="1" t="str">
        <f>_xlfn.TEXTBEFORE(_xlfn.TEXTAFTER(A204, "("), ")")</f>
        <v>2026</v>
      </c>
      <c r="J204" s="1" t="str">
        <f>_xlfn.LET(
_xlpm.doi,IF(C204&lt;&gt;"",C204,_xlfn.TEXTAFTER(A204,"https://doi.org/")),
SUBSTITUTE(
SUBSTITUTE(
SUBSTITUTE(
SUBSTITUTE(
_xlpm.doi,
"/","%2F"),
":","%3A"),
"&lt;","%3C"),
"&gt;","%3E")
)</f>
        <v>10.1007%2Fs10329-026-01271-2</v>
      </c>
      <c r="K204" s="1" t="str">
        <f>TRIM(_xlfn.TEXTJOIN("_",FALSE(),F204,(SUBSTITUTE(SUBSTITUTE(D204," ",""), "_", ""))))</f>
        <v>Schniter_Penaherrera-Aguirre_2026_data</v>
      </c>
      <c r="L204" s="1" t="str">
        <f>J204 &amp; "_" &amp; SUBSTITUTE(SUBSTITUTE(SUBSTITUTE(D204,CHAR(160),"")," ",""),"_","")</f>
        <v>10.1007%2Fs10329-026-01271-2_data</v>
      </c>
      <c r="M204" s="1" t="str">
        <f t="array" ref="M204">IFERROR(INDEX(FileList!$A$1:$A$1000,MATCH(TRUE(),EXACT(L204,IFERROR(_xlfn.TEXTBEFORE(FileList!$A$1:$A$1000,".tsv"),"")),0)),"notfound")</f>
        <v>10.1007%2Fs10329-026-01271-2_data.tsv</v>
      </c>
      <c r="N204" s="3" t="s">
        <v>658</v>
      </c>
      <c r="P204" s="3" t="s">
        <v>40</v>
      </c>
      <c r="AI204" s="3" t="s">
        <v>659</v>
      </c>
      <c r="AL204" s="3" t="s">
        <v>62</v>
      </c>
      <c r="AM204" s="3" t="s">
        <v>660</v>
      </c>
    </row>
    <row r="205" spans="1:39" ht="15" customHeight="1" x14ac:dyDescent="0.2">
      <c r="A205" s="3" t="s">
        <v>661</v>
      </c>
      <c r="D205" s="3" t="s">
        <v>118</v>
      </c>
      <c r="E205" s="1" t="str">
        <f>RIGHT(A205,1)</f>
        <v>1</v>
      </c>
      <c r="F205" s="1" t="str">
        <f>G205 &amp; IF(H205&lt;&gt;"", "_" &amp; H205, "_") &amp; IF(I205&lt;&gt;"", "_" &amp; I205, "_") &amp; IF(B205&lt;&gt;"", "_" &amp; B205, "")</f>
        <v>Semendeferi_Damasio_2000</v>
      </c>
      <c r="G205" s="1" t="str">
        <f>SUBSTITUTE(SUBSTITUTE(_xlfn.TEXTBEFORE(A205,","), "-", ""), " ", "")</f>
        <v>Semendeferi</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Damasio</v>
      </c>
      <c r="I205" s="1" t="str">
        <f>_xlfn.TEXTBEFORE(_xlfn.TEXTAFTER(A205, "("), ")")</f>
        <v>2000</v>
      </c>
      <c r="J205" s="1" t="str">
        <f>_xlfn.LET(
_xlpm.doi,IF(C205&lt;&gt;"",C205,_xlfn.TEXTAFTER(A205,"https://doi.org/")),
SUBSTITUTE(
SUBSTITUTE(
SUBSTITUTE(
SUBSTITUTE(
_xlpm.doi,
"/","%2F"),
":","%3A"),
"&lt;","%3C"),
"&gt;","%3E")
)</f>
        <v>10.1006%2Fjhev.1999.0381</v>
      </c>
      <c r="K205" s="1" t="str">
        <f>TRIM(_xlfn.TEXTJOIN("_",FALSE(),F205,(SUBSTITUTE(SUBSTITUTE(D205," ",""), "_", ""))))</f>
        <v>Semendeferi_Damasio_2000_Table2</v>
      </c>
      <c r="L205" s="1" t="str">
        <f>J205 &amp; "_" &amp; SUBSTITUTE(SUBSTITUTE(SUBSTITUTE(D205,CHAR(160),"")," ",""),"_","")</f>
        <v>10.1006%2Fjhev.1999.0381_Table2</v>
      </c>
      <c r="M205" s="1" t="str">
        <f t="array" ref="M205">IFERROR(INDEX(FileList!$A$1:$A$1000,MATCH(TRUE(),EXACT(L205,IFERROR(_xlfn.TEXTBEFORE(FileList!$A$1:$A$1000,".tsv"),"")),0)),"notfound")</f>
        <v>10.1006%2Fjhev.1999.0381_Table2.tsv</v>
      </c>
    </row>
    <row r="206" spans="1:39" ht="15" customHeight="1" x14ac:dyDescent="0.2">
      <c r="A206" s="3" t="s">
        <v>662</v>
      </c>
      <c r="D206" s="3" t="s">
        <v>92</v>
      </c>
      <c r="E206" s="1" t="str">
        <f>RIGHT(A206,1)</f>
        <v>L</v>
      </c>
      <c r="F206" s="1" t="str">
        <f>G206 &amp; IF(H206&lt;&gt;"", "_" &amp; H206, "_") &amp; IF(I206&lt;&gt;"", "_" &amp; I206, "_") &amp; IF(B206&lt;&gt;"", "_" &amp; B206, "")</f>
        <v>Semendeferi_etal_1998</v>
      </c>
      <c r="G206" s="1" t="str">
        <f>SUBSTITUTE(SUBSTITUTE(_xlfn.TEXTBEFORE(A206,","), "-", ""), " ", "")</f>
        <v>Semendeferi</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_xlfn.TEXTBEFORE(_xlfn.TEXTAFTER(A206, "("), ")")</f>
        <v>1998</v>
      </c>
      <c r="J206" s="1" t="str">
        <f>_xlfn.LET(
_xlpm.doi,IF(C206&lt;&gt;"",C206,_xlfn.TEXTAFTER(A206,"https://doi.org/")),
SUBSTITUTE(
SUBSTITUTE(
SUBSTITUTE(
SUBSTITUTE(
_xlpm.doi,
"/","%2F"),
":","%3A"),
"&lt;","%3C"),
"&gt;","%3E")
)</f>
        <v>10.1002%2F(SICI)1096-8644(199806)106%3A2%3C129%3A%3AAID-AJPA3%3E3.0.CO;2-L</v>
      </c>
      <c r="K206" s="1" t="str">
        <f>TRIM(_xlfn.TEXTJOIN("_",FALSE(),F206,(SUBSTITUTE(SUBSTITUTE(D206," ",""), "_", ""))))</f>
        <v>Semendeferi_etal_1998_TABLE2</v>
      </c>
      <c r="L206" s="1" t="str">
        <f>J206 &amp; "_" &amp; SUBSTITUTE(SUBSTITUTE(SUBSTITUTE(D206,CHAR(160),"")," ",""),"_","")</f>
        <v>10.1002%2F(SICI)1096-8644(199806)106%3A2%3C129%3A%3AAID-AJPA3%3E3.0.CO;2-L_TABLE2</v>
      </c>
      <c r="M206" s="1" t="str">
        <f t="array" ref="M206">IFERROR(INDEX(FileList!$A$1:$A$1000,MATCH(TRUE(),EXACT(L206,IFERROR(_xlfn.TEXTBEFORE(FileList!$A$1:$A$1000,".tsv"),"")),0)),"notfound")</f>
        <v>10.1002%2F(SICI)1096-8644(199806)106%3A2%3C129%3A%3AAID-AJPA3%3E3.0.CO;2-L_TABLE2.tsv</v>
      </c>
      <c r="N206" s="3" t="s">
        <v>663</v>
      </c>
      <c r="P206" s="3" t="s">
        <v>40</v>
      </c>
      <c r="Y206" s="3" t="s">
        <v>78</v>
      </c>
      <c r="AF206" s="3" t="s">
        <v>79</v>
      </c>
      <c r="AG206" s="3" t="s">
        <v>111</v>
      </c>
      <c r="AI206" s="3" t="s">
        <v>664</v>
      </c>
      <c r="AJ206" s="3" t="s">
        <v>83</v>
      </c>
      <c r="AK206" s="3" t="s">
        <v>62</v>
      </c>
      <c r="AL206" s="3" t="s">
        <v>62</v>
      </c>
      <c r="AM206" s="3" t="s">
        <v>84</v>
      </c>
    </row>
    <row r="207" spans="1:39" ht="15" customHeight="1" x14ac:dyDescent="0.2">
      <c r="A207" s="3" t="s">
        <v>665</v>
      </c>
      <c r="D207" s="3" t="s">
        <v>92</v>
      </c>
      <c r="E207" s="1" t="str">
        <f>RIGHT(A207,1)</f>
        <v>I</v>
      </c>
      <c r="F207" s="1" t="str">
        <f>G207 &amp; IF(H207&lt;&gt;"", "_" &amp; H207, "_") &amp; IF(I207&lt;&gt;"", "_" &amp; I207, "_") &amp; IF(B207&lt;&gt;"", "_" &amp; B207, "")</f>
        <v>Semendeferi_etal_2001</v>
      </c>
      <c r="G207" s="1" t="str">
        <f>SUBSTITUTE(SUBSTITUTE(_xlfn.TEXTBEFORE(A207,","), "-", ""), " ", "")</f>
        <v>Semendeferi</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 t="str">
        <f>_xlfn.TEXTBEFORE(_xlfn.TEXTAFTER(A207, "("), ")")</f>
        <v>2001</v>
      </c>
      <c r="J207" s="1" t="str">
        <f>_xlfn.LET(
_xlpm.doi,IF(C207&lt;&gt;"",C207,_xlfn.TEXTAFTER(A207,"https://doi.org/")),
SUBSTITUTE(
SUBSTITUTE(
SUBSTITUTE(
SUBSTITUTE(
_xlpm.doi,
"/","%2F"),
":","%3A"),
"&lt;","%3C"),
"&gt;","%3E")
)</f>
        <v>10.1002%2F1096-8644(200103)114%3A3%3C224%3A%3AAID-AJPA1022%3E3.0.CO;2-I</v>
      </c>
      <c r="K207" s="1" t="str">
        <f>TRIM(_xlfn.TEXTJOIN("_",FALSE(),F207,(SUBSTITUTE(SUBSTITUTE(D207," ",""), "_", ""))))</f>
        <v>Semendeferi_etal_2001_TABLE2</v>
      </c>
      <c r="L207" s="1" t="str">
        <f>J207 &amp; "_" &amp; SUBSTITUTE(SUBSTITUTE(SUBSTITUTE(D207,CHAR(160),"")," ",""),"_","")</f>
        <v>10.1002%2F1096-8644(200103)114%3A3%3C224%3A%3AAID-AJPA1022%3E3.0.CO;2-I_TABLE2</v>
      </c>
      <c r="M207" s="1" t="str">
        <f t="array" ref="M207">IFERROR(INDEX(FileList!$A$1:$A$1000,MATCH(TRUE(),EXACT(L207,IFERROR(_xlfn.TEXTBEFORE(FileList!$A$1:$A$1000,".tsv"),"")),0)),"notfound")</f>
        <v>10.1002%2F1096-8644(200103)114%3A3%3C224%3A%3AAID-AJPA1022%3E3.0.CO;2-I_TABLE2.tsv</v>
      </c>
      <c r="N207" s="3" t="s">
        <v>666</v>
      </c>
      <c r="P207" s="3" t="s">
        <v>40</v>
      </c>
      <c r="Y207" s="3" t="s">
        <v>78</v>
      </c>
      <c r="AF207" s="3" t="s">
        <v>79</v>
      </c>
      <c r="AG207" s="3" t="s">
        <v>111</v>
      </c>
      <c r="AI207" s="3" t="s">
        <v>667</v>
      </c>
      <c r="AJ207" s="3" t="s">
        <v>83</v>
      </c>
      <c r="AK207" s="3" t="s">
        <v>62</v>
      </c>
      <c r="AL207" s="3" t="s">
        <v>62</v>
      </c>
      <c r="AM207" s="3" t="s">
        <v>84</v>
      </c>
    </row>
    <row r="208" spans="1:39" ht="15" customHeight="1" x14ac:dyDescent="0.2">
      <c r="A208" s="3" t="s">
        <v>668</v>
      </c>
      <c r="D208" s="3" t="s">
        <v>76</v>
      </c>
      <c r="E208" s="1" t="str">
        <f>RIGHT(A208,1)</f>
        <v>4</v>
      </c>
      <c r="F208" s="1" t="str">
        <f>G208 &amp; IF(H208&lt;&gt;"", "_" &amp; H208, "_") &amp; IF(I208&lt;&gt;"", "_" &amp; I208, "_") &amp; IF(B208&lt;&gt;"", "_" &amp; B208, "")</f>
        <v>Semendeferi_etal_2002</v>
      </c>
      <c r="G208" s="1" t="str">
        <f>SUBSTITUTE(SUBSTITUTE(_xlfn.TEXTBEFORE(A208,","), "-", ""), " ", "")</f>
        <v>Semendeferi</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 t="str">
        <f>_xlfn.TEXTBEFORE(_xlfn.TEXTAFTER(A208, "("), ")")</f>
        <v>2002</v>
      </c>
      <c r="J208" s="1" t="str">
        <f>_xlfn.LET(
_xlpm.doi,IF(C208&lt;&gt;"",C208,_xlfn.TEXTAFTER(A208,"https://doi.org/")),
SUBSTITUTE(
SUBSTITUTE(
SUBSTITUTE(
SUBSTITUTE(
_xlpm.doi,
"/","%2F"),
":","%3A"),
"&lt;","%3C"),
"&gt;","%3E")
)</f>
        <v>10.1038%2Fnn814</v>
      </c>
      <c r="K208" s="1" t="str">
        <f>TRIM(_xlfn.TEXTJOIN("_",FALSE(),F208,(SUBSTITUTE(SUBSTITUTE(D208," ",""), "_", ""))))</f>
        <v>Semendeferi_etal_2002_Table1</v>
      </c>
      <c r="L208" s="1" t="str">
        <f>J208 &amp; "_" &amp; SUBSTITUTE(SUBSTITUTE(SUBSTITUTE(D208,CHAR(160),"")," ",""),"_","")</f>
        <v>10.1038%2Fnn814_Table1</v>
      </c>
      <c r="M208" s="1" t="str">
        <f t="array" ref="M208">IFERROR(INDEX(FileList!$A$1:$A$1000,MATCH(TRUE(),EXACT(L208,IFERROR(_xlfn.TEXTBEFORE(FileList!$A$1:$A$1000,".tsv"),"")),0)),"notfound")</f>
        <v>notfound</v>
      </c>
      <c r="N208" s="3" t="s">
        <v>669</v>
      </c>
      <c r="Y208" s="3" t="s">
        <v>78</v>
      </c>
      <c r="AF208" s="3" t="s">
        <v>79</v>
      </c>
      <c r="AG208" s="3" t="s">
        <v>111</v>
      </c>
      <c r="AI208" s="3" t="s">
        <v>670</v>
      </c>
      <c r="AJ208" s="3" t="s">
        <v>83</v>
      </c>
      <c r="AK208" s="3" t="s">
        <v>62</v>
      </c>
      <c r="AL208" s="3" t="s">
        <v>62</v>
      </c>
      <c r="AM208" s="3" t="s">
        <v>84</v>
      </c>
    </row>
    <row r="209" spans="1:39" ht="15" customHeight="1" x14ac:dyDescent="0.2">
      <c r="A209" s="3" t="s">
        <v>671</v>
      </c>
      <c r="D209" s="3" t="s">
        <v>672</v>
      </c>
      <c r="E209" s="1" t="str">
        <f>RIGHT(A209,1)</f>
        <v>6</v>
      </c>
      <c r="F209" s="1" t="str">
        <f>G209 &amp; IF(H209&lt;&gt;"", "_" &amp; H209, "_") &amp; IF(I209&lt;&gt;"", "_" &amp; I209, "_") &amp; IF(B209&lt;&gt;"", "_" &amp; B209, "")</f>
        <v>Seymour_etal_2015</v>
      </c>
      <c r="G209" s="1" t="str">
        <f>SUBSTITUTE(SUBSTITUTE(_xlfn.TEXTBEFORE(A209,","), "-", ""), " ", "")</f>
        <v>Seymour</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_xlfn.TEXTBEFORE(_xlfn.TEXTAFTER(A209, "("), ")")</f>
        <v>2015</v>
      </c>
      <c r="J209" s="1" t="str">
        <f>_xlfn.LET(
_xlpm.doi,IF(C209&lt;&gt;"",C209,_xlfn.TEXTAFTER(A209,"https://doi.org/")),
SUBSTITUTE(
SUBSTITUTE(
SUBSTITUTE(
SUBSTITUTE(
_xlpm.doi,
"/","%2F"),
":","%3A"),
"&lt;","%3C"),
"&gt;","%3E")
)</f>
        <v>10.1242%2Fjeb.124826</v>
      </c>
      <c r="K209" s="1" t="str">
        <f>TRIM(_xlfn.TEXTJOIN("_",FALSE(),F209,(SUBSTITUTE(SUBSTITUTE(D209," ",""), "_", ""))))</f>
        <v>Seymour_etal_2015_TableS1</v>
      </c>
      <c r="L209" s="1" t="str">
        <f>J209 &amp; "_" &amp; SUBSTITUTE(SUBSTITUTE(SUBSTITUTE(D209,CHAR(160),"")," ",""),"_","")</f>
        <v>10.1242%2Fjeb.124826_TableS1</v>
      </c>
      <c r="M209" s="1" t="str">
        <f t="array" ref="M209">IFERROR(INDEX(FileList!$A$1:$A$1000,MATCH(TRUE(),EXACT(L209,IFERROR(_xlfn.TEXTBEFORE(FileList!$A$1:$A$1000,".tsv"),"")),0)),"notfound")</f>
        <v>10.1242%2Fjeb.124826_TableS1.tsv</v>
      </c>
    </row>
    <row r="210" spans="1:39" ht="15" customHeight="1" x14ac:dyDescent="0.2">
      <c r="A210" s="3" t="s">
        <v>673</v>
      </c>
      <c r="D210" s="3" t="s">
        <v>197</v>
      </c>
      <c r="E210" s="1" t="str">
        <f>RIGHT(A210,1)</f>
        <v>6</v>
      </c>
      <c r="F210" s="1" t="str">
        <f>G210 &amp; IF(H210&lt;&gt;"", "_" &amp; H210, "_") &amp; IF(I210&lt;&gt;"", "_" &amp; I210, "_") &amp; IF(B210&lt;&gt;"", "_" &amp; B210, "")</f>
        <v>Seymour_etal_2017</v>
      </c>
      <c r="G210" s="1" t="str">
        <f>SUBSTITUTE(SUBSTITUTE(_xlfn.TEXTBEFORE(A210,","), "-", ""), " ", "")</f>
        <v>Seymour</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_xlfn.TEXTBEFORE(_xlfn.TEXTAFTER(A210, "("), ")")</f>
        <v>2017</v>
      </c>
      <c r="J210" s="1" t="str">
        <f>_xlfn.LET(
_xlpm.doi,IF(C210&lt;&gt;"",C210,_xlfn.TEXTAFTER(A210,"https://doi.org/")),
SUBSTITUTE(
SUBSTITUTE(
SUBSTITUTE(
SUBSTITUTE(
_xlpm.doi,
"/","%2F"),
":","%3A"),
"&lt;","%3C"),
"&gt;","%3E")
)</f>
        <v>10.1098%2Frsos.170846</v>
      </c>
      <c r="K210" s="1" t="str">
        <f>TRIM(_xlfn.TEXTJOIN("_",FALSE(),F210,(SUBSTITUTE(SUBSTITUTE(D210," ",""), "_", ""))))</f>
        <v>Seymour_etal_2017_TableS1</v>
      </c>
      <c r="L210" s="1" t="str">
        <f>J210 &amp; "_" &amp; SUBSTITUTE(SUBSTITUTE(SUBSTITUTE(D210,CHAR(160),"")," ",""),"_","")</f>
        <v>10.1098%2Frsos.170846_TableS1</v>
      </c>
      <c r="M210" s="1" t="str">
        <f t="array" ref="M210">IFERROR(INDEX(FileList!$A$1:$A$1000,MATCH(TRUE(),EXACT(L210,IFERROR(_xlfn.TEXTBEFORE(FileList!$A$1:$A$1000,".tsv"),"")),0)),"notfound")</f>
        <v>10.1098%2Frsos.170846_TableS1.tsv</v>
      </c>
    </row>
    <row r="211" spans="1:39" ht="15" customHeight="1" x14ac:dyDescent="0.2">
      <c r="A211" s="3" t="s">
        <v>674</v>
      </c>
      <c r="D211" s="3" t="s">
        <v>675</v>
      </c>
      <c r="E211" s="1" t="str">
        <f>RIGHT(A211,1)</f>
        <v>8</v>
      </c>
      <c r="F211" s="1" t="str">
        <f>G211 &amp; IF(H211&lt;&gt;"", "_" &amp; H211, "_") &amp; IF(I211&lt;&gt;"", "_" &amp; I211, "_") &amp; IF(B211&lt;&gt;"", "_" &amp; B211, "")</f>
        <v>Seymour_etal_2019</v>
      </c>
      <c r="G211" s="1" t="str">
        <f>SUBSTITUTE(SUBSTITUTE(_xlfn.TEXTBEFORE(A211,","), "-", ""), " ", "")</f>
        <v>Seymour</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_xlfn.TEXTBEFORE(_xlfn.TEXTAFTER(A211, "("), ")")</f>
        <v>2019</v>
      </c>
      <c r="J211" s="1" t="str">
        <f>_xlfn.LET(
_xlpm.doi,IF(C211&lt;&gt;"",C211,_xlfn.TEXTAFTER(A211,"https://doi.org/")),
SUBSTITUTE(
SUBSTITUTE(
SUBSTITUTE(
SUBSTITUTE(
_xlpm.doi,
"/","%2F"),
":","%3A"),
"&lt;","%3C"),
"&gt;","%3E")
)</f>
        <v>10.1098%2Frspb.2019.2208</v>
      </c>
      <c r="K211" s="1" t="str">
        <f>TRIM(_xlfn.TEXTJOIN("_",FALSE(),F211,(SUBSTITUTE(SUBSTITUTE(D211," ",""), "_", ""))))</f>
        <v>Seymour_etal_2019_rspb20192208si002</v>
      </c>
      <c r="L211" s="1" t="str">
        <f>J211 &amp; "_" &amp; SUBSTITUTE(SUBSTITUTE(SUBSTITUTE(D211,CHAR(160),"")," ",""),"_","")</f>
        <v>10.1098%2Frspb.2019.2208_rspb20192208si002</v>
      </c>
      <c r="M211" s="1" t="str">
        <f t="array" ref="M211">IFERROR(INDEX(FileList!$A$1:$A$1000,MATCH(TRUE(),EXACT(L211,IFERROR(_xlfn.TEXTBEFORE(FileList!$A$1:$A$1000,".tsv"),"")),0)),"notfound")</f>
        <v>10.1098%2Frspb.2019.2208_rspb20192208si002.tsv</v>
      </c>
    </row>
    <row r="212" spans="1:39" ht="15" customHeight="1" x14ac:dyDescent="0.2">
      <c r="A212" s="3" t="s">
        <v>676</v>
      </c>
      <c r="D212" s="3" t="s">
        <v>677</v>
      </c>
      <c r="E212" s="1" t="str">
        <f>RIGHT(A212,1)</f>
        <v>8</v>
      </c>
      <c r="F212" s="1" t="str">
        <f>G212 &amp; IF(H212&lt;&gt;"", "_" &amp; H212, "_") &amp; IF(I212&lt;&gt;"", "_" &amp; I212, "_") &amp; IF(B212&lt;&gt;"", "_" &amp; B212, "")</f>
        <v>Sherwood_etal_2004</v>
      </c>
      <c r="G212" s="1" t="str">
        <f>SUBSTITUTE(SUBSTITUTE(_xlfn.TEXTBEFORE(A212,","), "-", ""), " ", "")</f>
        <v>Sherwood</v>
      </c>
      <c r="H212" s="1"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 t="str">
        <f>_xlfn.TEXTBEFORE(_xlfn.TEXTAFTER(A212, "("), ")")</f>
        <v>2004</v>
      </c>
      <c r="J212" s="1" t="str">
        <f>_xlfn.LET(
_xlpm.doi,IF(C212&lt;&gt;"",C212,_xlfn.TEXTAFTER(A212,"https://doi.org/")),
SUBSTITUTE(
SUBSTITUTE(
SUBSTITUTE(
SUBSTITUTE(
_xlpm.doi,
"/","%2F"),
":","%3A"),
"&lt;","%3C"),
"&gt;","%3E")
)</f>
        <v>10.1002%2Fajp.20048</v>
      </c>
      <c r="K212" s="1" t="str">
        <f>TRIM(_xlfn.TEXTJOIN("_",FALSE(),F212,(SUBSTITUTE(SUBSTITUTE(D212," ",""), "_", ""))))</f>
        <v>Sherwood_etal_2004_TABLEI</v>
      </c>
      <c r="L212" s="1" t="str">
        <f>J212 &amp; "_" &amp; SUBSTITUTE(SUBSTITUTE(SUBSTITUTE(D212,CHAR(160),"")," ",""),"_","")</f>
        <v>10.1002%2Fajp.20048_TABLEI</v>
      </c>
      <c r="M212" s="1" t="str">
        <f t="array" ref="M212">IFERROR(INDEX(FileList!$A$1:$A$1000,MATCH(TRUE(),EXACT(L212,IFERROR(_xlfn.TEXTBEFORE(FileList!$A$1:$A$1000,".tsv"),"")),0)),"notfound")</f>
        <v>10.1002%2Fajp.20048_TABLEI.tsv</v>
      </c>
      <c r="N212" s="3" t="s">
        <v>678</v>
      </c>
      <c r="Y212" s="3" t="s">
        <v>679</v>
      </c>
      <c r="Z212" s="3" t="s">
        <v>680</v>
      </c>
      <c r="AF212" s="3" t="s">
        <v>625</v>
      </c>
      <c r="AG212" s="3" t="s">
        <v>111</v>
      </c>
      <c r="AK212" s="3" t="s">
        <v>62</v>
      </c>
    </row>
    <row r="213" spans="1:39" ht="15" customHeight="1" x14ac:dyDescent="0.2">
      <c r="A213" s="3" t="s">
        <v>676</v>
      </c>
      <c r="B213" s="3"/>
      <c r="D213" s="3" t="s">
        <v>94</v>
      </c>
      <c r="E213" s="1" t="str">
        <f>RIGHT(A213,1)</f>
        <v>8</v>
      </c>
      <c r="F213" s="1" t="str">
        <f>G213 &amp; IF(H213&lt;&gt;"", "_" &amp; H213, "_") &amp; IF(I213&lt;&gt;"", "_" &amp; I213, "_") &amp; IF(B213&lt;&gt;"", "_" &amp; B213, "")</f>
        <v>Sherwood_etal_2004</v>
      </c>
      <c r="G213" s="1" t="str">
        <f>SUBSTITUTE(SUBSTITUTE(_xlfn.TEXTBEFORE(A213,","), "-", ""), " ", "")</f>
        <v>Sherwood</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 t="str">
        <f>_xlfn.TEXTBEFORE(_xlfn.TEXTAFTER(A213, "("), ")")</f>
        <v>2004</v>
      </c>
      <c r="J213" s="1" t="str">
        <f>_xlfn.LET(
_xlpm.doi,IF(C213&lt;&gt;"",C213,_xlfn.TEXTAFTER(A213,"https://doi.org/")),
SUBSTITUTE(
SUBSTITUTE(
SUBSTITUTE(
SUBSTITUTE(
_xlpm.doi,
"/","%2F"),
":","%3A"),
"&lt;","%3C"),
"&gt;","%3E")
)</f>
        <v>10.1002%2Fajp.20048</v>
      </c>
      <c r="K213" s="1" t="str">
        <f>TRIM(_xlfn.TEXTJOIN("_",FALSE(),F213,(SUBSTITUTE(SUBSTITUTE(D213," ",""), "_", ""))))</f>
        <v>Sherwood_etal_2004_unpublishedviaDeCasien</v>
      </c>
      <c r="L213" s="1" t="str">
        <f>J213 &amp; "_" &amp; SUBSTITUTE(SUBSTITUTE(SUBSTITUTE(D213,CHAR(160),"")," ",""),"_","")</f>
        <v>10.1002%2Fajp.20048_unpublishedviaDeCasien</v>
      </c>
      <c r="M213" s="1" t="str">
        <f t="array" ref="M213">IFERROR(INDEX(FileList!$A$1:$A$1000,MATCH(TRUE(),EXACT(L213,IFERROR(_xlfn.TEXTBEFORE(FileList!$A$1:$A$1000,".tsv"),"")),0)),"notfound")</f>
        <v>10.1002%2Fajp.20048_unpublishedviaDeCasien.tsv</v>
      </c>
      <c r="O213" s="3" t="s">
        <v>95</v>
      </c>
      <c r="Y213" s="3" t="s">
        <v>679</v>
      </c>
      <c r="Z213" s="3" t="s">
        <v>680</v>
      </c>
      <c r="AF213" s="3" t="s">
        <v>625</v>
      </c>
      <c r="AG213" s="3" t="s">
        <v>111</v>
      </c>
      <c r="AK213" s="3" t="s">
        <v>62</v>
      </c>
    </row>
    <row r="214" spans="1:39" ht="15" customHeight="1" x14ac:dyDescent="0.2">
      <c r="A214" s="3" t="s">
        <v>681</v>
      </c>
      <c r="B214" s="3"/>
      <c r="D214" s="3" t="s">
        <v>76</v>
      </c>
      <c r="E214" s="1" t="str">
        <f>RIGHT(A214,1)</f>
        <v>3</v>
      </c>
      <c r="F214" s="1" t="str">
        <f>G214 &amp; IF(H214&lt;&gt;"", "_" &amp; H214, "_") &amp; IF(I214&lt;&gt;"", "_" &amp; I214, "_") &amp; IF(B214&lt;&gt;"", "_" &amp; B214, "")</f>
        <v>Sherwood_etal_2005</v>
      </c>
      <c r="G214" s="1" t="str">
        <f>SUBSTITUTE(SUBSTITUTE(_xlfn.TEXTBEFORE(A214,","), "-", ""), " ", "")</f>
        <v>Sherwood</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 t="str">
        <f>_xlfn.TEXTBEFORE(_xlfn.TEXTAFTER(A214, "("), ")")</f>
        <v>2005</v>
      </c>
      <c r="J214" s="1" t="str">
        <f>_xlfn.LET(
_xlpm.doi,IF(C214&lt;&gt;"",C214,_xlfn.TEXTAFTER(A214,"https://doi.org/")),
SUBSTITUTE(
SUBSTITUTE(
SUBSTITUTE(
SUBSTITUTE(
_xlpm.doi,
"/","%2F"),
":","%3A"),
"&lt;","%3C"),
"&gt;","%3E")
)</f>
        <v>10.1016%2Fj.jhevol.2004.10.003</v>
      </c>
      <c r="K214" s="1" t="str">
        <f>TRIM(_xlfn.TEXTJOIN("_",FALSE(),F214,(SUBSTITUTE(SUBSTITUTE(D214," ",""), "_", ""))))</f>
        <v>Sherwood_etal_2005_Table1</v>
      </c>
      <c r="L214" s="1" t="str">
        <f>J214 &amp; "_" &amp; SUBSTITUTE(SUBSTITUTE(SUBSTITUTE(D214,CHAR(160),"")," ",""),"_","")</f>
        <v>10.1016%2Fj.jhevol.2004.10.003_Table1</v>
      </c>
      <c r="M214" s="1" t="str">
        <f t="array" ref="M214">IFERROR(INDEX(FileList!$A$1:$A$1000,MATCH(TRUE(),EXACT(L214,IFERROR(_xlfn.TEXTBEFORE(FileList!$A$1:$A$1000,".tsv"),"")),0)),"notfound")</f>
        <v>10.1016%2Fj.jhevol.2004.10.003_Table1.tsv</v>
      </c>
      <c r="N214" s="3" t="s">
        <v>682</v>
      </c>
      <c r="V214" s="3" t="s">
        <v>41</v>
      </c>
      <c r="Y214" s="3" t="s">
        <v>99</v>
      </c>
      <c r="Z214" s="3" t="s">
        <v>232</v>
      </c>
      <c r="AF214" s="3" t="s">
        <v>79</v>
      </c>
      <c r="AG214" s="3" t="s">
        <v>111</v>
      </c>
      <c r="AI214" s="3" t="s">
        <v>683</v>
      </c>
      <c r="AJ214" s="3" t="s">
        <v>149</v>
      </c>
      <c r="AK214" s="3" t="s">
        <v>62</v>
      </c>
      <c r="AL214" s="3" t="s">
        <v>62</v>
      </c>
      <c r="AM214" s="3" t="s">
        <v>84</v>
      </c>
    </row>
    <row r="215" spans="1:39" ht="15" customHeight="1" x14ac:dyDescent="0.2">
      <c r="A215" s="3" t="s">
        <v>684</v>
      </c>
      <c r="B215" s="3" t="s">
        <v>685</v>
      </c>
      <c r="D215" s="3" t="s">
        <v>39</v>
      </c>
      <c r="E215" s="1" t="str">
        <f>RIGHT(A215,1)</f>
        <v>2</v>
      </c>
      <c r="F215" s="1" t="str">
        <f>G215 &amp; IF(H215&lt;&gt;"", "_" &amp; H215, "_") &amp; IF(I215&lt;&gt;"", "_" &amp; I215, "_") &amp; IF(B215&lt;&gt;"", "_" &amp; B215, "")</f>
        <v>Sherwood_etal_2004_I</v>
      </c>
      <c r="G215" s="1" t="str">
        <f>SUBSTITUTE(SUBSTITUTE(_xlfn.TEXTBEFORE(A215,","), "-", ""), " ", "")</f>
        <v>Sherwood</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 t="str">
        <f>_xlfn.TEXTBEFORE(_xlfn.TEXTAFTER(A215, "("), ")")</f>
        <v>2004</v>
      </c>
      <c r="J215" s="1" t="str">
        <f>_xlfn.LET(
_xlpm.doi,IF(C215&lt;&gt;"",C215,_xlfn.TEXTAFTER(A215,"https://doi.org/")),
SUBSTITUTE(
SUBSTITUTE(
SUBSTITUTE(
SUBSTITUTE(
_xlpm.doi,
"/","%2F"),
":","%3A"),
"&lt;","%3C"),
"&gt;","%3E")
)</f>
        <v>10.1159%2F000075672</v>
      </c>
      <c r="K215" s="1" t="str">
        <f>TRIM(_xlfn.TEXTJOIN("_",FALSE(),F215,(SUBSTITUTE(SUBSTITUTE(D215," ",""), "_", ""))))</f>
        <v>Sherwood_etal_2004_I_Table4</v>
      </c>
      <c r="L215" s="1" t="str">
        <f>J215 &amp; "_" &amp; SUBSTITUTE(SUBSTITUTE(SUBSTITUTE(D215,CHAR(160),"")," ",""),"_","")</f>
        <v>10.1159%2F000075672_Table4</v>
      </c>
      <c r="M215" s="1" t="str">
        <f t="array" ref="M215">IFERROR(INDEX(FileList!$A$1:$A$1000,MATCH(TRUE(),EXACT(L215,IFERROR(_xlfn.TEXTBEFORE(FileList!$A$1:$A$1000,".tsv"),"")),0)),"notfound")</f>
        <v>notfound</v>
      </c>
      <c r="N215" s="3" t="s">
        <v>686</v>
      </c>
      <c r="P215" s="3" t="s">
        <v>687</v>
      </c>
      <c r="Q215" s="3" t="s">
        <v>201</v>
      </c>
      <c r="T215" s="3" t="str">
        <f>IF(S215="N", R215, "write file name")</f>
        <v>write file name</v>
      </c>
      <c r="U215" s="3" t="s">
        <v>54</v>
      </c>
      <c r="V215" s="3" t="s">
        <v>688</v>
      </c>
      <c r="Z215" s="3" t="s">
        <v>78</v>
      </c>
      <c r="AF215" s="3" t="s">
        <v>79</v>
      </c>
      <c r="AH215" s="3" t="s">
        <v>176</v>
      </c>
      <c r="AI215" s="3" t="s">
        <v>689</v>
      </c>
      <c r="AJ215" s="3" t="s">
        <v>117</v>
      </c>
      <c r="AK215" s="3" t="s">
        <v>62</v>
      </c>
      <c r="AL215" s="3" t="s">
        <v>62</v>
      </c>
      <c r="AM215" s="3" t="s">
        <v>690</v>
      </c>
    </row>
    <row r="216" spans="1:39" ht="15" customHeight="1" x14ac:dyDescent="0.2">
      <c r="A216" s="3" t="s">
        <v>684</v>
      </c>
      <c r="B216" s="3" t="s">
        <v>685</v>
      </c>
      <c r="D216" s="3" t="s">
        <v>69</v>
      </c>
      <c r="E216" s="1" t="str">
        <f>RIGHT(A216,1)</f>
        <v>2</v>
      </c>
      <c r="F216" s="1" t="str">
        <f>G216 &amp; IF(H216&lt;&gt;"", "_" &amp; H216, "_") &amp; IF(I216&lt;&gt;"", "_" &amp; I216, "_") &amp; IF(B216&lt;&gt;"", "_" &amp; B216, "")</f>
        <v>Sherwood_etal_2004_I</v>
      </c>
      <c r="G216" s="1" t="str">
        <f>SUBSTITUTE(SUBSTITUTE(_xlfn.TEXTBEFORE(A216,","), "-", ""), " ", "")</f>
        <v>Sherwood</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_xlfn.TEXTBEFORE(_xlfn.TEXTAFTER(A216, "("), ")")</f>
        <v>2004</v>
      </c>
      <c r="J216" s="1" t="str">
        <f>_xlfn.LET(
_xlpm.doi,IF(C216&lt;&gt;"",C216,_xlfn.TEXTAFTER(A216,"https://doi.org/")),
SUBSTITUTE(
SUBSTITUTE(
SUBSTITUTE(
SUBSTITUTE(
_xlpm.doi,
"/","%2F"),
":","%3A"),
"&lt;","%3C"),
"&gt;","%3E")
)</f>
        <v>10.1159%2F000075672</v>
      </c>
      <c r="K216" s="1" t="str">
        <f>TRIM(_xlfn.TEXTJOIN("_",FALSE(),F216,(SUBSTITUTE(SUBSTITUTE(D216," ",""), "_", ""))))</f>
        <v>Sherwood_etal_2004_I_Table5</v>
      </c>
      <c r="L216" s="1" t="str">
        <f>J216 &amp; "_" &amp; SUBSTITUTE(SUBSTITUTE(SUBSTITUTE(D216,CHAR(160),"")," ",""),"_","")</f>
        <v>10.1159%2F000075672_Table5</v>
      </c>
      <c r="M216" s="1" t="str">
        <f t="array" ref="M216">IFERROR(INDEX(FileList!$A$1:$A$1000,MATCH(TRUE(),EXACT(L216,IFERROR(_xlfn.TEXTBEFORE(FileList!$A$1:$A$1000,".tsv"),"")),0)),"notfound")</f>
        <v>notfound</v>
      </c>
      <c r="N216" s="3" t="s">
        <v>691</v>
      </c>
      <c r="P216" s="3" t="s">
        <v>687</v>
      </c>
      <c r="Q216" s="3" t="s">
        <v>201</v>
      </c>
      <c r="T216" s="3" t="str">
        <f>IF(S216="N", R216, "write file name")</f>
        <v>write file name</v>
      </c>
      <c r="U216" s="3" t="s">
        <v>54</v>
      </c>
      <c r="V216" s="3" t="s">
        <v>688</v>
      </c>
      <c r="Z216" s="3" t="s">
        <v>232</v>
      </c>
      <c r="AF216" s="3" t="s">
        <v>79</v>
      </c>
      <c r="AG216" s="3" t="s">
        <v>111</v>
      </c>
      <c r="AH216" s="3" t="s">
        <v>176</v>
      </c>
      <c r="AI216" s="3" t="s">
        <v>689</v>
      </c>
      <c r="AJ216" s="3" t="s">
        <v>117</v>
      </c>
      <c r="AK216" s="3" t="s">
        <v>62</v>
      </c>
      <c r="AL216" s="3" t="s">
        <v>62</v>
      </c>
      <c r="AM216" s="3" t="s">
        <v>690</v>
      </c>
    </row>
    <row r="217" spans="1:39" ht="15" customHeight="1" x14ac:dyDescent="0.2">
      <c r="A217" s="4" t="s">
        <v>853</v>
      </c>
      <c r="D217" s="4" t="s">
        <v>76</v>
      </c>
      <c r="E217" s="1" t="str">
        <f>RIGHT(A217,1)</f>
        <v>9</v>
      </c>
      <c r="F217" s="1" t="str">
        <f>G217 &amp; IF(H217&lt;&gt;"", "_" &amp; H217, "_") &amp; IF(I217&lt;&gt;"", "_" &amp; I217, "_") &amp; IF(B217&lt;&gt;"", "_" &amp; B217, "")</f>
        <v>Sherwood_etal_2003</v>
      </c>
      <c r="G217" s="1" t="str">
        <f>SUBSTITUTE(SUBSTITUTE(_xlfn.TEXTBEFORE(A217,","), "-", ""), " ", "")</f>
        <v>Sherwood</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_xlfn.TEXTBEFORE(_xlfn.TEXTAFTER(A217, "("), ")")</f>
        <v>2003</v>
      </c>
      <c r="J217" s="1" t="str">
        <f>_xlfn.LET(
_xlpm.doi,IF(C217&lt;&gt;"",C217,_xlfn.TEXTAFTER(A217,"https://doi.org/")),
SUBSTITUTE(
SUBSTITUTE(
SUBSTITUTE(
SUBSTITUTE(
_xlpm.doi,
"/","%2F"),
":","%3A"),
"&lt;","%3C"),
"&gt;","%3E")
)</f>
        <v>10.1159%2F000068879</v>
      </c>
      <c r="K217" s="1" t="str">
        <f>TRIM(_xlfn.TEXTJOIN("_",FALSE(),F217,(SUBSTITUTE(SUBSTITUTE(D217," ",""), "_", ""))))</f>
        <v>Sherwood_etal_2003_Table1</v>
      </c>
      <c r="L217" s="1" t="str">
        <f>J217 &amp; "_" &amp; SUBSTITUTE(SUBSTITUTE(SUBSTITUTE(D217,CHAR(160),"")," ",""),"_","")</f>
        <v>10.1159%2F000068879_Table1</v>
      </c>
      <c r="M217" s="1" t="str">
        <f t="array" ref="M217">IFERROR(INDEX(FileList!$A$1:$A$1000,MATCH(TRUE(),EXACT(L217,IFERROR(_xlfn.TEXTBEFORE(FileList!$A$1:$A$1000,".tsv"),"")),0)),"notfound")</f>
        <v>notfound</v>
      </c>
      <c r="N217" s="4" t="s">
        <v>854</v>
      </c>
    </row>
    <row r="218" spans="1:39" ht="15" customHeight="1" x14ac:dyDescent="0.2">
      <c r="A218" s="3" t="s">
        <v>692</v>
      </c>
      <c r="C218" s="3" t="s">
        <v>693</v>
      </c>
      <c r="D218" s="3" t="s">
        <v>694</v>
      </c>
      <c r="E218" s="1" t="str">
        <f>RIGHT(A218,1)</f>
        <v>9</v>
      </c>
      <c r="F218" s="1" t="str">
        <f>G218 &amp; IF(H218&lt;&gt;"", "_" &amp; H218, "_") &amp; IF(I218&lt;&gt;"", "_" &amp; I218, "_") &amp; IF(B218&lt;&gt;"", "_" &amp; B218, "")</f>
        <v>Smaers_Soligo_2013</v>
      </c>
      <c r="G218" s="1" t="str">
        <f>SUBSTITUTE(SUBSTITUTE(_xlfn.TEXTBEFORE(A218,","), "-", ""), " ", "")</f>
        <v>Smaers</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Soligo</v>
      </c>
      <c r="I218" s="1" t="str">
        <f>_xlfn.TEXTBEFORE(_xlfn.TEXTAFTER(A218, "("), ")")</f>
        <v>2013</v>
      </c>
      <c r="J218" s="1" t="str">
        <f>_xlfn.LET(
_xlpm.doi,IF(C218&lt;&gt;"",C218,_xlfn.TEXTAFTER(A218,"https://doi.org/")),
SUBSTITUTE(
SUBSTITUTE(
SUBSTITUTE(
SUBSTITUTE(
_xlpm.doi,
"/","%2F"),
":","%3A"),
"&lt;","%3C"),
"&gt;","%3E")
)</f>
        <v>10.1098%2Frspb.2013.0269</v>
      </c>
      <c r="K218" s="1" t="str">
        <f>TRIM(_xlfn.TEXTJOIN("_",FALSE(),F218,(SUBSTITUTE(SUBSTITUTE(D218," ",""), "_", ""))))</f>
        <v>Smaers_Soligo_2013_Supplement</v>
      </c>
      <c r="L218" s="1" t="str">
        <f>J218 &amp; "_" &amp; SUBSTITUTE(SUBSTITUTE(SUBSTITUTE(D218,CHAR(160),"")," ",""),"_","")</f>
        <v>10.1098%2Frspb.2013.0269_Supplement</v>
      </c>
      <c r="M218" s="1" t="str">
        <f t="array" ref="M218">IFERROR(INDEX(FileList!$A$1:$A$1000,MATCH(TRUE(),EXACT(L218,IFERROR(_xlfn.TEXTBEFORE(FileList!$A$1:$A$1000,".tsv"),"")),0)),"notfound")</f>
        <v>notfound</v>
      </c>
      <c r="N218" s="3" t="s">
        <v>695</v>
      </c>
      <c r="AF218" s="3" t="s">
        <v>79</v>
      </c>
      <c r="AG218" s="3" t="s">
        <v>111</v>
      </c>
      <c r="AI218" s="3" t="s">
        <v>696</v>
      </c>
      <c r="AJ218" s="3" t="s">
        <v>697</v>
      </c>
      <c r="AL218" s="3" t="s">
        <v>361</v>
      </c>
      <c r="AM218" s="3" t="s">
        <v>84</v>
      </c>
    </row>
    <row r="219" spans="1:39" ht="15" customHeight="1" x14ac:dyDescent="0.2">
      <c r="A219" s="3" t="s">
        <v>698</v>
      </c>
      <c r="D219" s="3" t="s">
        <v>699</v>
      </c>
      <c r="E219" s="1" t="str">
        <f>RIGHT(A219,1)</f>
        <v>0</v>
      </c>
      <c r="F219" s="1" t="str">
        <f>G219 &amp; IF(H219&lt;&gt;"", "_" &amp; H219, "_") &amp; IF(I219&lt;&gt;"", "_" &amp; I219, "_") &amp; IF(B219&lt;&gt;"", "_" &amp; B219, "")</f>
        <v>Smaers_etal_2017</v>
      </c>
      <c r="G219" s="1" t="str">
        <f>SUBSTITUTE(SUBSTITUTE(_xlfn.TEXTBEFORE(A219,","), "-", ""), " ", "")</f>
        <v>Smaers</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_xlfn.TEXTBEFORE(_xlfn.TEXTAFTER(A219, "("), ")")</f>
        <v>2017</v>
      </c>
      <c r="J219" s="1" t="str">
        <f>_xlfn.LET(
_xlpm.doi,IF(C219&lt;&gt;"",C219,_xlfn.TEXTAFTER(A219,"https://doi.org/")),
SUBSTITUTE(
SUBSTITUTE(
SUBSTITUTE(
SUBSTITUTE(
_xlpm.doi,
"/","%2F"),
":","%3A"),
"&lt;","%3C"),
"&gt;","%3E")
)</f>
        <v>10.1016%2Fj.cub.2017.01.020</v>
      </c>
      <c r="K219" s="1" t="str">
        <f>TRIM(_xlfn.TEXTJOIN("_",FALSE(),F219,(SUBSTITUTE(SUBSTITUTE(D219," ",""), "_", ""))))</f>
        <v>Smaers_etal_2017_TableS1part1</v>
      </c>
      <c r="L219" s="1" t="str">
        <f>J219 &amp; "_" &amp; SUBSTITUTE(SUBSTITUTE(SUBSTITUTE(D219,CHAR(160),"")," ",""),"_","")</f>
        <v>10.1016%2Fj.cub.2017.01.020_TableS1part1</v>
      </c>
      <c r="M219" s="1" t="str">
        <f t="array" ref="M219">IFERROR(INDEX(FileList!$A$1:$A$1000,MATCH(TRUE(),EXACT(L219,IFERROR(_xlfn.TEXTBEFORE(FileList!$A$1:$A$1000,".tsv"),"")),0)),"notfound")</f>
        <v>10.1016%2Fj.cub.2017.01.020_TableS1part1.tsv</v>
      </c>
      <c r="N219" s="3" t="s">
        <v>700</v>
      </c>
      <c r="O219" s="3" t="s">
        <v>701</v>
      </c>
      <c r="P219" s="3" t="s">
        <v>40</v>
      </c>
      <c r="V219" s="3" t="s">
        <v>41</v>
      </c>
      <c r="Y219" s="3" t="s">
        <v>702</v>
      </c>
      <c r="Z219" s="3" t="s">
        <v>232</v>
      </c>
      <c r="AC219" s="3" t="s">
        <v>703</v>
      </c>
      <c r="AF219" s="3" t="s">
        <v>79</v>
      </c>
      <c r="AG219" s="3" t="s">
        <v>111</v>
      </c>
      <c r="AI219" s="3" t="s">
        <v>704</v>
      </c>
      <c r="AJ219" s="3" t="s">
        <v>117</v>
      </c>
      <c r="AK219" s="3" t="s">
        <v>705</v>
      </c>
      <c r="AL219" s="3" t="s">
        <v>361</v>
      </c>
      <c r="AM219" s="3" t="s">
        <v>84</v>
      </c>
    </row>
    <row r="220" spans="1:39" ht="15" customHeight="1" x14ac:dyDescent="0.2">
      <c r="A220" s="3" t="s">
        <v>698</v>
      </c>
      <c r="D220" s="3" t="s">
        <v>706</v>
      </c>
      <c r="E220" s="1" t="str">
        <f>RIGHT(A220,1)</f>
        <v>0</v>
      </c>
      <c r="F220" s="1" t="str">
        <f>G220 &amp; IF(H220&lt;&gt;"", "_" &amp; H220, "_") &amp; IF(I220&lt;&gt;"", "_" &amp; I220, "_") &amp; IF(B220&lt;&gt;"", "_" &amp; B220, "")</f>
        <v>Smaers_etal_2017</v>
      </c>
      <c r="G220" s="1" t="str">
        <f>SUBSTITUTE(SUBSTITUTE(_xlfn.TEXTBEFORE(A220,","), "-", ""), " ", "")</f>
        <v>Smaers</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_xlfn.TEXTBEFORE(_xlfn.TEXTAFTER(A220, "("), ")")</f>
        <v>2017</v>
      </c>
      <c r="J220" s="1" t="str">
        <f>_xlfn.LET(
_xlpm.doi,IF(C220&lt;&gt;"",C220,_xlfn.TEXTAFTER(A220,"https://doi.org/")),
SUBSTITUTE(
SUBSTITUTE(
SUBSTITUTE(
SUBSTITUTE(
_xlpm.doi,
"/","%2F"),
":","%3A"),
"&lt;","%3C"),
"&gt;","%3E")
)</f>
        <v>10.1016%2Fj.cub.2017.01.020</v>
      </c>
      <c r="K220" s="1" t="str">
        <f>TRIM(_xlfn.TEXTJOIN("_",FALSE(),F220,(SUBSTITUTE(SUBSTITUTE(D220," ",""), "_", ""))))</f>
        <v>Smaers_etal_2017_TableS1part2</v>
      </c>
      <c r="L220" s="1" t="str">
        <f>J220 &amp; "_" &amp; SUBSTITUTE(SUBSTITUTE(SUBSTITUTE(D220,CHAR(160),"")," ",""),"_","")</f>
        <v>10.1016%2Fj.cub.2017.01.020_TableS1part2</v>
      </c>
      <c r="M220" s="1" t="str">
        <f t="array" ref="M220">IFERROR(INDEX(FileList!$A$1:$A$1000,MATCH(TRUE(),EXACT(L220,IFERROR(_xlfn.TEXTBEFORE(FileList!$A$1:$A$1000,".tsv"),"")),0)),"notfound")</f>
        <v>10.1016%2Fj.cub.2017.01.020_TableS1part2.tsv</v>
      </c>
      <c r="N220" s="3" t="s">
        <v>700</v>
      </c>
      <c r="O220" s="3" t="s">
        <v>707</v>
      </c>
      <c r="P220" s="3" t="s">
        <v>40</v>
      </c>
      <c r="V220" s="3" t="s">
        <v>41</v>
      </c>
      <c r="Y220" s="3" t="s">
        <v>702</v>
      </c>
      <c r="Z220" s="3" t="s">
        <v>232</v>
      </c>
      <c r="AC220" s="3" t="s">
        <v>703</v>
      </c>
      <c r="AF220" s="3" t="s">
        <v>79</v>
      </c>
      <c r="AG220" s="3" t="s">
        <v>111</v>
      </c>
      <c r="AI220" s="3" t="s">
        <v>704</v>
      </c>
      <c r="AJ220" s="3" t="s">
        <v>117</v>
      </c>
      <c r="AK220" s="3" t="s">
        <v>705</v>
      </c>
      <c r="AL220" s="3" t="s">
        <v>361</v>
      </c>
      <c r="AM220" s="3" t="s">
        <v>84</v>
      </c>
    </row>
    <row r="221" spans="1:39" ht="15" customHeight="1" x14ac:dyDescent="0.2">
      <c r="A221" s="3" t="s">
        <v>708</v>
      </c>
      <c r="D221" s="3" t="s">
        <v>709</v>
      </c>
      <c r="E221" s="1" t="str">
        <f>RIGHT(A221,1)</f>
        <v>1</v>
      </c>
      <c r="F221" s="1" t="str">
        <f>G221 &amp; IF(H221&lt;&gt;"", "_" &amp; H221, "_") &amp; IF(I221&lt;&gt;"", "_" &amp; I221, "_") &amp; IF(B221&lt;&gt;"", "_" &amp; B221, "")</f>
        <v>Smaers_etal_2011</v>
      </c>
      <c r="G221" s="1" t="str">
        <f>SUBSTITUTE(SUBSTITUTE(_xlfn.TEXTBEFORE(A221,","), "-", ""), " ", "")</f>
        <v>Smaers</v>
      </c>
      <c r="H221" s="1"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etal</v>
      </c>
      <c r="I221" s="1" t="str">
        <f>_xlfn.TEXTBEFORE(_xlfn.TEXTAFTER(A221, "("), ")")</f>
        <v>2011</v>
      </c>
      <c r="J221" s="1" t="str">
        <f>_xlfn.LET(
_xlpm.doi,IF(C221&lt;&gt;"",C221,_xlfn.TEXTAFTER(A221,"https://doi.org/")),
SUBSTITUTE(
SUBSTITUTE(
SUBSTITUTE(
SUBSTITUTE(
_xlpm.doi,
"/","%2F"),
":","%3A"),
"&lt;","%3C"),
"&gt;","%3E")
)</f>
        <v>10.1159%2F000323671</v>
      </c>
      <c r="K221" s="1" t="str">
        <f>TRIM(_xlfn.TEXTJOIN("_",FALSE(),F221,(SUBSTITUTE(SUBSTITUTE(D221," ",""), "_", ""))))</f>
        <v>Smaers_etal_2011_SupplementaryTable1</v>
      </c>
      <c r="L221" s="1" t="str">
        <f>J221 &amp; "_" &amp; SUBSTITUTE(SUBSTITUTE(SUBSTITUTE(D221,CHAR(160),"")," ",""),"_","")</f>
        <v>10.1159%2F000323671_SupplementaryTable1</v>
      </c>
      <c r="M221" s="1" t="str">
        <f t="array" ref="M221">IFERROR(INDEX(FileList!$A$1:$A$1000,MATCH(TRUE(),EXACT(L221,IFERROR(_xlfn.TEXTBEFORE(FileList!$A$1:$A$1000,".tsv"),"")),0)),"notfound")</f>
        <v>10.1159%2F000323671_SupplementaryTable1.tsv</v>
      </c>
      <c r="Q221" s="3" t="s">
        <v>131</v>
      </c>
      <c r="V221" s="3" t="s">
        <v>41</v>
      </c>
      <c r="Z221" s="3" t="s">
        <v>232</v>
      </c>
      <c r="AF221" s="3" t="s">
        <v>79</v>
      </c>
      <c r="AG221" s="3" t="s">
        <v>111</v>
      </c>
      <c r="AI221" s="3" t="s">
        <v>710</v>
      </c>
      <c r="AJ221" s="3" t="s">
        <v>117</v>
      </c>
      <c r="AL221" s="3" t="s">
        <v>361</v>
      </c>
      <c r="AM221" s="3" t="s">
        <v>84</v>
      </c>
    </row>
    <row r="222" spans="1:39" ht="15" customHeight="1" x14ac:dyDescent="0.2">
      <c r="A222" s="3" t="s">
        <v>708</v>
      </c>
      <c r="D222" s="3" t="s">
        <v>711</v>
      </c>
      <c r="E222" s="1" t="str">
        <f>RIGHT(A222,1)</f>
        <v>1</v>
      </c>
      <c r="F222" s="1" t="str">
        <f>G222 &amp; IF(H222&lt;&gt;"", "_" &amp; H222, "_") &amp; IF(I222&lt;&gt;"", "_" &amp; I222, "_") &amp; IF(B222&lt;&gt;"", "_" &amp; B222, "")</f>
        <v>Smaers_etal_2011</v>
      </c>
      <c r="G222" s="1" t="str">
        <f>SUBSTITUTE(SUBSTITUTE(_xlfn.TEXTBEFORE(A222,","), "-", ""), " ", "")</f>
        <v>Smaers</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_xlfn.TEXTBEFORE(_xlfn.TEXTAFTER(A222, "("), ")")</f>
        <v>2011</v>
      </c>
      <c r="J222" s="1" t="str">
        <f>_xlfn.LET(
_xlpm.doi,IF(C222&lt;&gt;"",C222,_xlfn.TEXTAFTER(A222,"https://doi.org/")),
SUBSTITUTE(
SUBSTITUTE(
SUBSTITUTE(
SUBSTITUTE(
_xlpm.doi,
"/","%2F"),
":","%3A"),
"&lt;","%3C"),
"&gt;","%3E")
)</f>
        <v>10.1159%2F000323671</v>
      </c>
      <c r="K222" s="1" t="str">
        <f>TRIM(_xlfn.TEXTJOIN("_",FALSE(),F222,(SUBSTITUTE(SUBSTITUTE(D222," ",""), "_", ""))))</f>
        <v>Smaers_etal_2011_SupplementaryTable2</v>
      </c>
      <c r="L222" s="1" t="str">
        <f>J222 &amp; "_" &amp; SUBSTITUTE(SUBSTITUTE(SUBSTITUTE(D222,CHAR(160),"")," ",""),"_","")</f>
        <v>10.1159%2F000323671_SupplementaryTable2</v>
      </c>
      <c r="M222" s="1" t="str">
        <f t="array" ref="M222">IFERROR(INDEX(FileList!$A$1:$A$1000,MATCH(TRUE(),EXACT(L222,IFERROR(_xlfn.TEXTBEFORE(FileList!$A$1:$A$1000,".tsv"),"")),0)),"notfound")</f>
        <v>10.1159%2F000323671_SupplementaryTable2.tsv</v>
      </c>
      <c r="Q222" s="3" t="s">
        <v>131</v>
      </c>
      <c r="V222" s="3" t="s">
        <v>41</v>
      </c>
      <c r="Z222" s="3" t="s">
        <v>232</v>
      </c>
      <c r="AF222" s="3" t="s">
        <v>79</v>
      </c>
      <c r="AG222" s="3" t="s">
        <v>111</v>
      </c>
      <c r="AI222" s="3" t="s">
        <v>710</v>
      </c>
      <c r="AJ222" s="3" t="s">
        <v>117</v>
      </c>
      <c r="AL222" s="3" t="s">
        <v>361</v>
      </c>
      <c r="AM222" s="3" t="s">
        <v>84</v>
      </c>
    </row>
    <row r="223" spans="1:39" ht="15" customHeight="1" x14ac:dyDescent="0.2">
      <c r="A223" s="3" t="s">
        <v>712</v>
      </c>
      <c r="C223" s="3" t="s">
        <v>713</v>
      </c>
      <c r="D223" s="3" t="s">
        <v>714</v>
      </c>
      <c r="E223" s="1" t="str">
        <f>RIGHT(A223,1)</f>
        <v>6</v>
      </c>
      <c r="F223" s="1" t="str">
        <f>G223 &amp; IF(H223&lt;&gt;"", "_" &amp; H223, "_") &amp; IF(I223&lt;&gt;"", "_" &amp; I223, "_") &amp; IF(B223&lt;&gt;"", "_" &amp; B223, "")</f>
        <v>Smaers_etal_2018</v>
      </c>
      <c r="G223" s="1" t="str">
        <f>SUBSTITUTE(SUBSTITUTE(_xlfn.TEXTBEFORE(A223,","), "-", ""), " ", "")</f>
        <v>Smaers</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_xlfn.TEXTBEFORE(_xlfn.TEXTAFTER(A223, "("), ")")</f>
        <v>2018</v>
      </c>
      <c r="J223" s="1" t="str">
        <f>_xlfn.LET(
_xlpm.doi,IF(C223&lt;&gt;"",C223,_xlfn.TEXTAFTER(A223,"https://doi.org/")),
SUBSTITUTE(
SUBSTITUTE(
SUBSTITUTE(
SUBSTITUTE(
_xlpm.doi,
"/","%2F"),
":","%3A"),
"&lt;","%3C"),
"&gt;","%3E")
)</f>
        <v>10.7554%2FeLife.35696</v>
      </c>
      <c r="K223" s="1" t="str">
        <f>TRIM(_xlfn.TEXTJOIN("_",FALSE(),F223,(SUBSTITUTE(SUBSTITUTE(D223," ",""), "_", ""))))</f>
        <v>Smaers_etal_2018_Figure2-data1</v>
      </c>
      <c r="L223" s="1" t="str">
        <f>J223 &amp; "_" &amp; SUBSTITUTE(SUBSTITUTE(SUBSTITUTE(D223,CHAR(160),"")," ",""),"_","")</f>
        <v>10.7554%2FeLife.35696_Figure2-data1</v>
      </c>
      <c r="M223" s="1" t="str">
        <f t="array" ref="M223">IFERROR(INDEX(FileList!$A$1:$A$1000,MATCH(TRUE(),EXACT(L223,IFERROR(_xlfn.TEXTBEFORE(FileList!$A$1:$A$1000,".tsv"),"")),0)),"notfound")</f>
        <v>10.7554%2FeLife.35696_Figure2-data1.tsv</v>
      </c>
      <c r="N223" s="3" t="s">
        <v>715</v>
      </c>
      <c r="Z223" s="3" t="s">
        <v>232</v>
      </c>
      <c r="AF223" s="3" t="s">
        <v>79</v>
      </c>
      <c r="AG223" s="3" t="s">
        <v>111</v>
      </c>
      <c r="AI223" s="3" t="s">
        <v>716</v>
      </c>
      <c r="AJ223" s="3" t="s">
        <v>139</v>
      </c>
      <c r="AL223" s="3" t="s">
        <v>361</v>
      </c>
      <c r="AM223" s="3" t="s">
        <v>84</v>
      </c>
    </row>
    <row r="224" spans="1:39" ht="15" customHeight="1" x14ac:dyDescent="0.2">
      <c r="A224" s="3" t="s">
        <v>717</v>
      </c>
      <c r="C224" s="3" t="s">
        <v>718</v>
      </c>
      <c r="D224" s="3" t="s">
        <v>76</v>
      </c>
      <c r="E224" s="1" t="str">
        <f>RIGHT(A224,1)</f>
        <v>3</v>
      </c>
      <c r="F224" s="1" t="str">
        <f>G224 &amp; IF(H224&lt;&gt;"", "_" &amp; H224, "_") &amp; IF(I224&lt;&gt;"", "_" &amp; I224, "_") &amp; IF(B224&lt;&gt;"", "_" &amp; B224, "")</f>
        <v>Stephan_etal_1982</v>
      </c>
      <c r="G224" s="1" t="str">
        <f>SUBSTITUTE(SUBSTITUTE(_xlfn.TEXTBEFORE(A224,","), "-", ""), " ", "")</f>
        <v>Stephan</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_xlfn.TEXTBEFORE(_xlfn.TEXTAFTER(A224, "("), ")")</f>
        <v>1982</v>
      </c>
      <c r="J224" s="1" t="str">
        <f>_xlfn.LET(
_xlpm.doi,IF(C224&lt;&gt;"",C224,_xlfn.TEXTAFTER(A224,"https://doi.org/")),
SUBSTITUTE(
SUBSTITUTE(
SUBSTITUTE(
SUBSTITUTE(
_xlpm.doi,
"/","%2F"),
":","%3A"),
"&lt;","%3C"),
"&gt;","%3E")
)</f>
        <v>PMID%3A7161483</v>
      </c>
      <c r="K224" s="1" t="str">
        <f>TRIM(_xlfn.TEXTJOIN("_",FALSE(),F224,(SUBSTITUTE(SUBSTITUTE(D224," ",""), "_", ""))))</f>
        <v>Stephan_etal_1982_Table1</v>
      </c>
      <c r="L224" s="1" t="str">
        <f>J224 &amp; "_" &amp; SUBSTITUTE(SUBSTITUTE(SUBSTITUTE(D224,CHAR(160),"")," ",""),"_","")</f>
        <v>PMID%3A7161483_Table1</v>
      </c>
      <c r="M224" s="1" t="str">
        <f t="array" ref="M224">IFERROR(INDEX(FileList!$A$1:$A$1000,MATCH(TRUE(),EXACT(L224,IFERROR(_xlfn.TEXTBEFORE(FileList!$A$1:$A$1000,".tsv"),"")),0)),"notfound")</f>
        <v>PMID%3A7161483_Table1.tsv</v>
      </c>
      <c r="N224" s="3" t="s">
        <v>719</v>
      </c>
      <c r="P224" s="3" t="s">
        <v>40</v>
      </c>
      <c r="V224" s="3" t="s">
        <v>41</v>
      </c>
      <c r="W224" s="3" t="s">
        <v>104</v>
      </c>
      <c r="Y224" s="3" t="s">
        <v>99</v>
      </c>
      <c r="Z224" s="3" t="s">
        <v>99</v>
      </c>
      <c r="AF224" s="3" t="s">
        <v>79</v>
      </c>
      <c r="AG224" s="3" t="s">
        <v>111</v>
      </c>
      <c r="AI224" s="3" t="s">
        <v>720</v>
      </c>
      <c r="AJ224" s="3" t="s">
        <v>101</v>
      </c>
      <c r="AK224" s="3" t="s">
        <v>62</v>
      </c>
      <c r="AL224" s="3" t="s">
        <v>62</v>
      </c>
      <c r="AM224" s="3" t="s">
        <v>84</v>
      </c>
    </row>
    <row r="225" spans="1:39" ht="15" customHeight="1" x14ac:dyDescent="0.2">
      <c r="A225" s="3" t="s">
        <v>721</v>
      </c>
      <c r="C225" s="3" t="s">
        <v>722</v>
      </c>
      <c r="D225" s="3" t="s">
        <v>48</v>
      </c>
      <c r="E225" s="1" t="str">
        <f>RIGHT(A225,1)</f>
        <v>.</v>
      </c>
      <c r="F225" s="1" t="str">
        <f>G225 &amp; IF(H225&lt;&gt;"", "_" &amp; H225, "_") &amp; IF(I225&lt;&gt;"", "_" &amp; I225, "_") &amp; IF(B225&lt;&gt;"", "_" &amp; B225, "")</f>
        <v>Stephan_etal_1988</v>
      </c>
      <c r="G225" s="1" t="str">
        <f>SUBSTITUTE(SUBSTITUTE(_xlfn.TEXTBEFORE(A225,","), "-", ""), " ", "")</f>
        <v>Stephan</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_xlfn.TEXTBEFORE(_xlfn.TEXTAFTER(A225, "("), ")")</f>
        <v>1988</v>
      </c>
      <c r="J225" s="1" t="str">
        <f>_xlfn.LET(
_xlpm.doi,IF(C225&lt;&gt;"",C225,_xlfn.TEXTAFTER(A225,"https://doi.org/")),
SUBSTITUTE(
SUBSTITUTE(
SUBSTITUTE(
SUBSTITUTE(
_xlpm.doi,
"/","%2F"),
":","%3A"),
"&lt;","%3C"),
"&gt;","%3E")
)</f>
        <v>ISBN%3A0845140000</v>
      </c>
      <c r="K225" s="1" t="str">
        <f>TRIM(_xlfn.TEXTJOIN("_",FALSE(),F225,(SUBSTITUTE(SUBSTITUTE(D225," ",""), "_", ""))))</f>
        <v>Stephan_etal_1988_TABLE1</v>
      </c>
      <c r="L225" s="1" t="str">
        <f>J225 &amp; "_" &amp; SUBSTITUTE(SUBSTITUTE(SUBSTITUTE(D225,CHAR(160),"")," ",""),"_","")</f>
        <v>ISBN%3A0845140000_TABLE1</v>
      </c>
      <c r="M225" s="1" t="str">
        <f t="array" ref="M225">IFERROR(INDEX(FileList!$A$1:$A$1000,MATCH(TRUE(),EXACT(L225,IFERROR(_xlfn.TEXTBEFORE(FileList!$A$1:$A$1000,".tsv"),"")),0)),"notfound")</f>
        <v>ISBN%3A0845140000_TABLE1.tsv</v>
      </c>
      <c r="N225" s="3" t="s">
        <v>723</v>
      </c>
    </row>
    <row r="226" spans="1:39" ht="15" customHeight="1" x14ac:dyDescent="0.2">
      <c r="A226" s="3" t="s">
        <v>724</v>
      </c>
      <c r="C226" s="3" t="s">
        <v>725</v>
      </c>
      <c r="D226" s="3" t="s">
        <v>48</v>
      </c>
      <c r="E226" s="1" t="str">
        <f>RIGHT(A226,1)</f>
        <v>s</v>
      </c>
      <c r="F226" s="1" t="str">
        <f>G226 &amp; IF(H226&lt;&gt;"", "_" &amp; H226, "_") &amp; IF(I226&lt;&gt;"", "_" &amp; I226, "_") &amp; IF(B226&lt;&gt;"", "_" &amp; B226, "")</f>
        <v>Stephan_etal_1970</v>
      </c>
      <c r="G226" s="1" t="str">
        <f>SUBSTITUTE(SUBSTITUTE(_xlfn.TEXTBEFORE(A226,","), "-", ""), " ", "")</f>
        <v>Stephan</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_xlfn.TEXTBEFORE(_xlfn.TEXTAFTER(A226, "("), ")")</f>
        <v>1970</v>
      </c>
      <c r="J226" s="1" t="str">
        <f>_xlfn.LET(
_xlpm.doi,IF(C226&lt;&gt;"",C226,_xlfn.TEXTAFTER(A226,"https://doi.org/")),
SUBSTITUTE(
SUBSTITUTE(
SUBSTITUTE(
SUBSTITUTE(
_xlpm.doi,
"/","%2F"),
":","%3A"),
"&lt;","%3C"),
"&gt;","%3E")
)</f>
        <v>ISBN%3A0390672505</v>
      </c>
      <c r="K226" s="1" t="str">
        <f>TRIM(_xlfn.TEXTJOIN("_",FALSE(),F226,(SUBSTITUTE(SUBSTITUTE(D226," ",""), "_", ""))))</f>
        <v>Stephan_etal_1970_TABLE1</v>
      </c>
      <c r="L226" s="1" t="str">
        <f>J226 &amp; "_" &amp; SUBSTITUTE(SUBSTITUTE(SUBSTITUTE(D226,CHAR(160),"")," ",""),"_","")</f>
        <v>ISBN%3A0390672505_TABLE1</v>
      </c>
      <c r="M226" s="1" t="str">
        <f t="array" ref="M226">IFERROR(INDEX(FileList!$A$1:$A$1000,MATCH(TRUE(),EXACT(L226,IFERROR(_xlfn.TEXTBEFORE(FileList!$A$1:$A$1000,".tsv"),"")),0)),"notfound")</f>
        <v>ISBN%3A0390672505_TABLE1.tsv</v>
      </c>
      <c r="N226" s="3" t="s">
        <v>726</v>
      </c>
      <c r="V226" s="3" t="s">
        <v>41</v>
      </c>
      <c r="Z226" s="3" t="s">
        <v>99</v>
      </c>
      <c r="AF226" s="3" t="s">
        <v>79</v>
      </c>
      <c r="AG226" s="3" t="s">
        <v>111</v>
      </c>
      <c r="AJ226" s="3" t="s">
        <v>727</v>
      </c>
      <c r="AL226" s="3" t="s">
        <v>62</v>
      </c>
      <c r="AM226" s="3" t="s">
        <v>84</v>
      </c>
    </row>
    <row r="227" spans="1:39" ht="15" customHeight="1" x14ac:dyDescent="0.2">
      <c r="A227" s="3" t="s">
        <v>724</v>
      </c>
      <c r="C227" s="3" t="s">
        <v>725</v>
      </c>
      <c r="D227" s="3" t="s">
        <v>92</v>
      </c>
      <c r="E227" s="1" t="str">
        <f>RIGHT(A227,1)</f>
        <v>s</v>
      </c>
      <c r="F227" s="1" t="str">
        <f>G227 &amp; IF(H227&lt;&gt;"", "_" &amp; H227, "_") &amp; IF(I227&lt;&gt;"", "_" &amp; I227, "_") &amp; IF(B227&lt;&gt;"", "_" &amp; B227, "")</f>
        <v>Stephan_etal_1970</v>
      </c>
      <c r="G227" s="1" t="str">
        <f>SUBSTITUTE(SUBSTITUTE(_xlfn.TEXTBEFORE(A227,","), "-", ""), " ", "")</f>
        <v>Stephan</v>
      </c>
      <c r="H227" s="1"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 t="str">
        <f>_xlfn.TEXTBEFORE(_xlfn.TEXTAFTER(A227, "("), ")")</f>
        <v>1970</v>
      </c>
      <c r="J227" s="1" t="str">
        <f>_xlfn.LET(
_xlpm.doi,IF(C227&lt;&gt;"",C227,_xlfn.TEXTAFTER(A227,"https://doi.org/")),
SUBSTITUTE(
SUBSTITUTE(
SUBSTITUTE(
SUBSTITUTE(
_xlpm.doi,
"/","%2F"),
":","%3A"),
"&lt;","%3C"),
"&gt;","%3E")
)</f>
        <v>ISBN%3A0390672505</v>
      </c>
      <c r="K227" s="1" t="str">
        <f>TRIM(_xlfn.TEXTJOIN("_",FALSE(),F227,(SUBSTITUTE(SUBSTITUTE(D227," ",""), "_", ""))))</f>
        <v>Stephan_etal_1970_TABLE2</v>
      </c>
      <c r="L227" s="1" t="str">
        <f>J227 &amp; "_" &amp; SUBSTITUTE(SUBSTITUTE(SUBSTITUTE(D227,CHAR(160),"")," ",""),"_","")</f>
        <v>ISBN%3A0390672505_TABLE2</v>
      </c>
      <c r="M227" s="1" t="str">
        <f t="array" ref="M227">IFERROR(INDEX(FileList!$A$1:$A$1000,MATCH(TRUE(),EXACT(L227,IFERROR(_xlfn.TEXTBEFORE(FileList!$A$1:$A$1000,".tsv"),"")),0)),"notfound")</f>
        <v>ISBN%3A0390672505_TABLE2.tsv</v>
      </c>
      <c r="N227" s="3" t="s">
        <v>728</v>
      </c>
      <c r="V227" s="3" t="s">
        <v>41</v>
      </c>
      <c r="Z227" s="3" t="s">
        <v>99</v>
      </c>
      <c r="AF227" s="3" t="s">
        <v>79</v>
      </c>
      <c r="AG227" s="3" t="s">
        <v>111</v>
      </c>
      <c r="AJ227" s="3" t="s">
        <v>117</v>
      </c>
      <c r="AL227" s="3" t="s">
        <v>62</v>
      </c>
      <c r="AM227" s="3" t="s">
        <v>84</v>
      </c>
    </row>
    <row r="228" spans="1:39" ht="15" customHeight="1" x14ac:dyDescent="0.2">
      <c r="A228" s="3" t="s">
        <v>724</v>
      </c>
      <c r="C228" s="3" t="s">
        <v>725</v>
      </c>
      <c r="D228" s="3" t="s">
        <v>729</v>
      </c>
      <c r="E228" s="1" t="str">
        <f>RIGHT(A228,1)</f>
        <v>s</v>
      </c>
      <c r="F228" s="1" t="str">
        <f>G228 &amp; IF(H228&lt;&gt;"", "_" &amp; H228, "_") &amp; IF(I228&lt;&gt;"", "_" &amp; I228, "_") &amp; IF(B228&lt;&gt;"", "_" &amp; B228, "")</f>
        <v>Stephan_etal_1970</v>
      </c>
      <c r="G228" s="1" t="str">
        <f>SUBSTITUTE(SUBSTITUTE(_xlfn.TEXTBEFORE(A228,","), "-", ""), " ", "")</f>
        <v>Stephan</v>
      </c>
      <c r="H228" s="1"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 t="str">
        <f>_xlfn.TEXTBEFORE(_xlfn.TEXTAFTER(A228, "("), ")")</f>
        <v>1970</v>
      </c>
      <c r="J228" s="1" t="str">
        <f>_xlfn.LET(
_xlpm.doi,IF(C228&lt;&gt;"",C228,_xlfn.TEXTAFTER(A228,"https://doi.org/")),
SUBSTITUTE(
SUBSTITUTE(
SUBSTITUTE(
SUBSTITUTE(
_xlpm.doi,
"/","%2F"),
":","%3A"),
"&lt;","%3C"),
"&gt;","%3E")
)</f>
        <v>ISBN%3A0390672505</v>
      </c>
      <c r="K228" s="1" t="str">
        <f>TRIM(_xlfn.TEXTJOIN("_",FALSE(),F228,(SUBSTITUTE(SUBSTITUTE(D228," ",""), "_", ""))))</f>
        <v>Stephan_etal_1970_TABLE3</v>
      </c>
      <c r="L228" s="1" t="str">
        <f>J228 &amp; "_" &amp; SUBSTITUTE(SUBSTITUTE(SUBSTITUTE(D228,CHAR(160),"")," ",""),"_","")</f>
        <v>ISBN%3A0390672505_TABLE3</v>
      </c>
      <c r="M228" s="1" t="str">
        <f t="array" ref="M228">IFERROR(INDEX(FileList!$A$1:$A$1000,MATCH(TRUE(),EXACT(L228,IFERROR(_xlfn.TEXTBEFORE(FileList!$A$1:$A$1000,".tsv"),"")),0)),"notfound")</f>
        <v>ISBN%3A0390672505_TABLE3.tsv</v>
      </c>
      <c r="N228" s="3" t="s">
        <v>730</v>
      </c>
      <c r="V228" s="3" t="s">
        <v>41</v>
      </c>
      <c r="Z228" s="3" t="s">
        <v>99</v>
      </c>
      <c r="AF228" s="3" t="s">
        <v>79</v>
      </c>
      <c r="AG228" s="3" t="s">
        <v>111</v>
      </c>
      <c r="AJ228" s="3" t="s">
        <v>117</v>
      </c>
      <c r="AL228" s="3" t="s">
        <v>62</v>
      </c>
      <c r="AM228" s="3" t="s">
        <v>84</v>
      </c>
    </row>
    <row r="229" spans="1:39" ht="15" customHeight="1" x14ac:dyDescent="0.2">
      <c r="A229" s="3" t="s">
        <v>724</v>
      </c>
      <c r="C229" s="3" t="s">
        <v>725</v>
      </c>
      <c r="D229" s="3" t="s">
        <v>731</v>
      </c>
      <c r="E229" s="1" t="str">
        <f>RIGHT(A229,1)</f>
        <v>s</v>
      </c>
      <c r="F229" s="1" t="str">
        <f>G229 &amp; IF(H229&lt;&gt;"", "_" &amp; H229, "_") &amp; IF(I229&lt;&gt;"", "_" &amp; I229, "_") &amp; IF(B229&lt;&gt;"", "_" &amp; B229, "")</f>
        <v>Stephan_etal_1970</v>
      </c>
      <c r="G229" s="1" t="str">
        <f>SUBSTITUTE(SUBSTITUTE(_xlfn.TEXTBEFORE(A229,","), "-", ""), " ", "")</f>
        <v>Stephan</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_xlfn.TEXTBEFORE(_xlfn.TEXTAFTER(A229, "("), ")")</f>
        <v>1970</v>
      </c>
      <c r="J229" s="1" t="str">
        <f>_xlfn.LET(
_xlpm.doi,IF(C229&lt;&gt;"",C229,_xlfn.TEXTAFTER(A229,"https://doi.org/")),
SUBSTITUTE(
SUBSTITUTE(
SUBSTITUTE(
SUBSTITUTE(
_xlpm.doi,
"/","%2F"),
":","%3A"),
"&lt;","%3C"),
"&gt;","%3E")
)</f>
        <v>ISBN%3A0390672505</v>
      </c>
      <c r="K229" s="1" t="str">
        <f>TRIM(_xlfn.TEXTJOIN("_",FALSE(),F229,(SUBSTITUTE(SUBSTITUTE(D229," ",""), "_", ""))))</f>
        <v>Stephan_etal_1970_TABLE4</v>
      </c>
      <c r="L229" s="1" t="str">
        <f>J229 &amp; "_" &amp; SUBSTITUTE(SUBSTITUTE(SUBSTITUTE(D229,CHAR(160),"")," ",""),"_","")</f>
        <v>ISBN%3A0390672505_TABLE4</v>
      </c>
      <c r="M229" s="1" t="str">
        <f t="array" ref="M229">IFERROR(INDEX(FileList!$A$1:$A$1000,MATCH(TRUE(),EXACT(L229,IFERROR(_xlfn.TEXTBEFORE(FileList!$A$1:$A$1000,".tsv"),"")),0)),"notfound")</f>
        <v>ISBN%3A0390672505_TABLE4.tsv</v>
      </c>
      <c r="N229" s="3" t="s">
        <v>732</v>
      </c>
      <c r="V229" s="3" t="s">
        <v>41</v>
      </c>
      <c r="Z229" s="3" t="s">
        <v>99</v>
      </c>
      <c r="AF229" s="3" t="s">
        <v>79</v>
      </c>
      <c r="AG229" s="3" t="s">
        <v>111</v>
      </c>
      <c r="AJ229" s="3" t="s">
        <v>727</v>
      </c>
      <c r="AL229" s="3" t="s">
        <v>62</v>
      </c>
      <c r="AM229" s="3" t="s">
        <v>84</v>
      </c>
    </row>
    <row r="230" spans="1:39" ht="15" customHeight="1" x14ac:dyDescent="0.2">
      <c r="A230" s="3" t="s">
        <v>724</v>
      </c>
      <c r="C230" s="3" t="s">
        <v>725</v>
      </c>
      <c r="D230" s="3" t="s">
        <v>733</v>
      </c>
      <c r="E230" s="1" t="str">
        <f>RIGHT(A230,1)</f>
        <v>s</v>
      </c>
      <c r="F230" s="1" t="str">
        <f>G230 &amp; IF(H230&lt;&gt;"", "_" &amp; H230, "_") &amp; IF(I230&lt;&gt;"", "_" &amp; I230, "_") &amp; IF(B230&lt;&gt;"", "_" &amp; B230, "")</f>
        <v>Stephan_etal_1970</v>
      </c>
      <c r="G230" s="1" t="str">
        <f>SUBSTITUTE(SUBSTITUTE(_xlfn.TEXTBEFORE(A230,","), "-", ""), " ", "")</f>
        <v>Stephan</v>
      </c>
      <c r="H230" s="1"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 t="str">
        <f>_xlfn.TEXTBEFORE(_xlfn.TEXTAFTER(A230, "("), ")")</f>
        <v>1970</v>
      </c>
      <c r="J230" s="1" t="str">
        <f>_xlfn.LET(
_xlpm.doi,IF(C230&lt;&gt;"",C230,_xlfn.TEXTAFTER(A230,"https://doi.org/")),
SUBSTITUTE(
SUBSTITUTE(
SUBSTITUTE(
SUBSTITUTE(
_xlpm.doi,
"/","%2F"),
":","%3A"),
"&lt;","%3C"),
"&gt;","%3E")
)</f>
        <v>ISBN%3A0390672505</v>
      </c>
      <c r="K230" s="1" t="str">
        <f>TRIM(_xlfn.TEXTJOIN("_",FALSE(),F230,(SUBSTITUTE(SUBSTITUTE(D230," ",""), "_", ""))))</f>
        <v>Stephan_etal_1970_TABLE5</v>
      </c>
      <c r="L230" s="1" t="str">
        <f>J230 &amp; "_" &amp; SUBSTITUTE(SUBSTITUTE(SUBSTITUTE(D230,CHAR(160),"")," ",""),"_","")</f>
        <v>ISBN%3A0390672505_TABLE5</v>
      </c>
      <c r="M230" s="1" t="str">
        <f t="array" ref="M230">IFERROR(INDEX(FileList!$A$1:$A$1000,MATCH(TRUE(),EXACT(L230,IFERROR(_xlfn.TEXTBEFORE(FileList!$A$1:$A$1000,".tsv"),"")),0)),"notfound")</f>
        <v>ISBN%3A0390672505_TABLE5.tsv</v>
      </c>
      <c r="N230" s="3" t="s">
        <v>734</v>
      </c>
      <c r="V230" s="3" t="s">
        <v>41</v>
      </c>
      <c r="Z230" s="3" t="s">
        <v>99</v>
      </c>
      <c r="AF230" s="3" t="s">
        <v>79</v>
      </c>
      <c r="AG230" s="3" t="s">
        <v>111</v>
      </c>
      <c r="AJ230" s="3" t="s">
        <v>117</v>
      </c>
      <c r="AL230" s="3" t="s">
        <v>62</v>
      </c>
      <c r="AM230" s="3" t="s">
        <v>84</v>
      </c>
    </row>
    <row r="231" spans="1:39" ht="15" customHeight="1" x14ac:dyDescent="0.2">
      <c r="A231" s="3" t="s">
        <v>724</v>
      </c>
      <c r="C231" s="3" t="s">
        <v>725</v>
      </c>
      <c r="D231" s="3" t="s">
        <v>735</v>
      </c>
      <c r="E231" s="1" t="str">
        <f>RIGHT(A231,1)</f>
        <v>s</v>
      </c>
      <c r="F231" s="1" t="str">
        <f>G231 &amp; IF(H231&lt;&gt;"", "_" &amp; H231, "_") &amp; IF(I231&lt;&gt;"", "_" &amp; I231, "_") &amp; IF(B231&lt;&gt;"", "_" &amp; B231, "")</f>
        <v>Stephan_etal_1970</v>
      </c>
      <c r="G231" s="1" t="str">
        <f>SUBSTITUTE(SUBSTITUTE(_xlfn.TEXTBEFORE(A231,","), "-", ""), " ", "")</f>
        <v>Stephan</v>
      </c>
      <c r="H231" s="1"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 t="str">
        <f>_xlfn.TEXTBEFORE(_xlfn.TEXTAFTER(A231, "("), ")")</f>
        <v>1970</v>
      </c>
      <c r="J231" s="1" t="str">
        <f>_xlfn.LET(
_xlpm.doi,IF(C231&lt;&gt;"",C231,_xlfn.TEXTAFTER(A231,"https://doi.org/")),
SUBSTITUTE(
SUBSTITUTE(
SUBSTITUTE(
SUBSTITUTE(
_xlpm.doi,
"/","%2F"),
":","%3A"),
"&lt;","%3C"),
"&gt;","%3E")
)</f>
        <v>ISBN%3A0390672505</v>
      </c>
      <c r="K231" s="1" t="str">
        <f>TRIM(_xlfn.TEXTJOIN("_",FALSE(),F231,(SUBSTITUTE(SUBSTITUTE(D231," ",""), "_", ""))))</f>
        <v>Stephan_etal_1970_TABLE6</v>
      </c>
      <c r="L231" s="1" t="str">
        <f>J231 &amp; "_" &amp; SUBSTITUTE(SUBSTITUTE(SUBSTITUTE(D231,CHAR(160),"")," ",""),"_","")</f>
        <v>ISBN%3A0390672505_TABLE6</v>
      </c>
      <c r="M231" s="1" t="str">
        <f t="array" ref="M231">IFERROR(INDEX(FileList!$A$1:$A$1000,MATCH(TRUE(),EXACT(L231,IFERROR(_xlfn.TEXTBEFORE(FileList!$A$1:$A$1000,".tsv"),"")),0)),"notfound")</f>
        <v>ISBN%3A0390672505_TABLE6.tsv</v>
      </c>
      <c r="N231" s="3" t="s">
        <v>736</v>
      </c>
      <c r="V231" s="3" t="s">
        <v>41</v>
      </c>
      <c r="Z231" s="3" t="s">
        <v>99</v>
      </c>
      <c r="AF231" s="3" t="s">
        <v>79</v>
      </c>
      <c r="AG231" s="3" t="s">
        <v>111</v>
      </c>
      <c r="AJ231" s="3" t="s">
        <v>117</v>
      </c>
      <c r="AL231" s="3" t="s">
        <v>62</v>
      </c>
      <c r="AM231" s="3" t="s">
        <v>84</v>
      </c>
    </row>
    <row r="232" spans="1:39" ht="15" customHeight="1" x14ac:dyDescent="0.2">
      <c r="A232" s="3" t="s">
        <v>724</v>
      </c>
      <c r="C232" s="3" t="s">
        <v>725</v>
      </c>
      <c r="D232" s="3" t="s">
        <v>737</v>
      </c>
      <c r="E232" s="1" t="str">
        <f>RIGHT(A232,1)</f>
        <v>s</v>
      </c>
      <c r="F232" s="1" t="str">
        <f>G232 &amp; IF(H232&lt;&gt;"", "_" &amp; H232, "_") &amp; IF(I232&lt;&gt;"", "_" &amp; I232, "_") &amp; IF(B232&lt;&gt;"", "_" &amp; B232, "")</f>
        <v>Stephan_etal_1970</v>
      </c>
      <c r="G232" s="1" t="str">
        <f>SUBSTITUTE(SUBSTITUTE(_xlfn.TEXTBEFORE(A232,","), "-", ""), " ", "")</f>
        <v>Stephan</v>
      </c>
      <c r="H232" s="1"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 t="str">
        <f>_xlfn.TEXTBEFORE(_xlfn.TEXTAFTER(A232, "("), ")")</f>
        <v>1970</v>
      </c>
      <c r="J232" s="1" t="str">
        <f>_xlfn.LET(
_xlpm.doi,IF(C232&lt;&gt;"",C232,_xlfn.TEXTAFTER(A232,"https://doi.org/")),
SUBSTITUTE(
SUBSTITUTE(
SUBSTITUTE(
SUBSTITUTE(
_xlpm.doi,
"/","%2F"),
":","%3A"),
"&lt;","%3C"),
"&gt;","%3E")
)</f>
        <v>ISBN%3A0390672505</v>
      </c>
      <c r="K232" s="1" t="str">
        <f>TRIM(_xlfn.TEXTJOIN("_",FALSE(),F232,(SUBSTITUTE(SUBSTITUTE(D232," ",""), "_", ""))))</f>
        <v>Stephan_etal_1970_Tables1-6</v>
      </c>
      <c r="L232" s="1" t="str">
        <f>J232 &amp; "_" &amp; SUBSTITUTE(SUBSTITUTE(SUBSTITUTE(D232,CHAR(160),"")," ",""),"_","")</f>
        <v>ISBN%3A0390672505_Tables1-6</v>
      </c>
      <c r="M232" s="1" t="str">
        <f t="array" ref="M232">IFERROR(INDEX(FileList!$A$1:$A$1000,MATCH(TRUE(),EXACT(L232,IFERROR(_xlfn.TEXTBEFORE(FileList!$A$1:$A$1000,".tsv"),"")),0)),"notfound")</f>
        <v>ISBN%3A0390672505_Tables1-6.tsv</v>
      </c>
      <c r="O232" s="3" t="s">
        <v>738</v>
      </c>
      <c r="P232" s="3" t="s">
        <v>40</v>
      </c>
      <c r="V232" s="3" t="s">
        <v>688</v>
      </c>
      <c r="Y232" s="3" t="s">
        <v>99</v>
      </c>
      <c r="Z232" s="3" t="s">
        <v>99</v>
      </c>
      <c r="AF232" s="3" t="s">
        <v>79</v>
      </c>
      <c r="AG232" s="3" t="s">
        <v>111</v>
      </c>
      <c r="AJ232" s="3" t="s">
        <v>101</v>
      </c>
      <c r="AL232" s="3" t="s">
        <v>62</v>
      </c>
      <c r="AM232" s="3" t="s">
        <v>84</v>
      </c>
    </row>
    <row r="233" spans="1:39" ht="15" customHeight="1" x14ac:dyDescent="0.2">
      <c r="A233" s="3" t="s">
        <v>739</v>
      </c>
      <c r="C233" s="3" t="s">
        <v>740</v>
      </c>
      <c r="D233" s="3" t="s">
        <v>76</v>
      </c>
      <c r="E233" s="1" t="str">
        <f>RIGHT(A233,1)</f>
        <v>4</v>
      </c>
      <c r="F233" s="1" t="str">
        <f>G233 &amp; IF(H233&lt;&gt;"", "_" &amp; H233, "_") &amp; IF(I233&lt;&gt;"", "_" &amp; I233, "_") &amp; IF(B233&lt;&gt;"", "_" &amp; B233, "")</f>
        <v>Stephan_etal_1984</v>
      </c>
      <c r="G233" s="1" t="str">
        <f>SUBSTITUTE(SUBSTITUTE(_xlfn.TEXTBEFORE(A233,","), "-", ""), " ", "")</f>
        <v>Stephan</v>
      </c>
      <c r="H233" s="1"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 t="str">
        <f>_xlfn.TEXTBEFORE(_xlfn.TEXTAFTER(A233, "("), ")")</f>
        <v>1984</v>
      </c>
      <c r="J233" s="1" t="str">
        <f>_xlfn.LET(
_xlpm.doi,IF(C233&lt;&gt;"",C233,_xlfn.TEXTAFTER(A233,"https://doi.org/")),
SUBSTITUTE(
SUBSTITUTE(
SUBSTITUTE(
SUBSTITUTE(
_xlpm.doi,
"/","%2F"),
":","%3A"),
"&lt;","%3C"),
"&gt;","%3E")
)</f>
        <v>PMID%3A6481154</v>
      </c>
      <c r="K233" s="1" t="str">
        <f>TRIM(_xlfn.TEXTJOIN("_",FALSE(),F233,(SUBSTITUTE(SUBSTITUTE(D233," ",""), "_", ""))))</f>
        <v>Stephan_etal_1984_Table1</v>
      </c>
      <c r="L233" s="1" t="str">
        <f>J233 &amp; "_" &amp; SUBSTITUTE(SUBSTITUTE(SUBSTITUTE(D233,CHAR(160),"")," ",""),"_","")</f>
        <v>PMID%3A6481154_Table1</v>
      </c>
      <c r="M233" s="1" t="str">
        <f t="array" ref="M233">IFERROR(INDEX(FileList!$A$1:$A$1000,MATCH(TRUE(),EXACT(L233,IFERROR(_xlfn.TEXTBEFORE(FileList!$A$1:$A$1000,".tsv"),"")),0)),"notfound")</f>
        <v>PMID%3A6481154_Table1.tsv</v>
      </c>
      <c r="N233" s="3" t="s">
        <v>741</v>
      </c>
      <c r="P233" s="3" t="s">
        <v>40</v>
      </c>
      <c r="V233" s="3" t="s">
        <v>41</v>
      </c>
      <c r="W233" s="3" t="s">
        <v>104</v>
      </c>
      <c r="Y233" s="3" t="s">
        <v>99</v>
      </c>
      <c r="Z233" s="3" t="s">
        <v>99</v>
      </c>
      <c r="AF233" s="3" t="s">
        <v>79</v>
      </c>
      <c r="AG233" s="3" t="s">
        <v>111</v>
      </c>
      <c r="AI233" s="3" t="s">
        <v>742</v>
      </c>
      <c r="AJ233" s="3" t="s">
        <v>101</v>
      </c>
      <c r="AK233" s="3" t="s">
        <v>62</v>
      </c>
      <c r="AL233" s="3" t="s">
        <v>62</v>
      </c>
      <c r="AM233" s="3" t="s">
        <v>84</v>
      </c>
    </row>
    <row r="234" spans="1:39" ht="15" customHeight="1" x14ac:dyDescent="0.2">
      <c r="A234" s="3" t="s">
        <v>743</v>
      </c>
      <c r="C234" s="3" t="s">
        <v>744</v>
      </c>
      <c r="D234" s="3" t="s">
        <v>76</v>
      </c>
      <c r="E234" s="1" t="str">
        <f>RIGHT(A234,1)</f>
        <v>5</v>
      </c>
      <c r="F234" s="1" t="str">
        <f>G234 &amp; IF(H234&lt;&gt;"", "_" &amp; H234, "_") &amp; IF(I234&lt;&gt;"", "_" &amp; I234, "_") &amp; IF(B234&lt;&gt;"", "_" &amp; B234, "")</f>
        <v>Stephan_etal_1987</v>
      </c>
      <c r="G234" s="1" t="str">
        <f>SUBSTITUTE(SUBSTITUTE(_xlfn.TEXTBEFORE(A234,","), "-", ""), " ", "")</f>
        <v>Stephan</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_xlfn.TEXTBEFORE(_xlfn.TEXTAFTER(A234, "("), ")")</f>
        <v>1987</v>
      </c>
      <c r="J234" s="1" t="str">
        <f>_xlfn.LET(
_xlpm.doi,IF(C234&lt;&gt;"",C234,_xlfn.TEXTAFTER(A234,"https://doi.org/")),
SUBSTITUTE(
SUBSTITUTE(
SUBSTITUTE(
SUBSTITUTE(
_xlpm.doi,
"/","%2F"),
":","%3A"),
"&lt;","%3C"),
"&gt;","%3E")
)</f>
        <v>PMID%3A3693895</v>
      </c>
      <c r="K234" s="1" t="str">
        <f>TRIM(_xlfn.TEXTJOIN("_",FALSE(),F234,(SUBSTITUTE(SUBSTITUTE(D234," ",""), "_", ""))))</f>
        <v>Stephan_etal_1987_Table1</v>
      </c>
      <c r="L234" s="1" t="str">
        <f>J234 &amp; "_" &amp; SUBSTITUTE(SUBSTITUTE(SUBSTITUTE(D234,CHAR(160),"")," ",""),"_","")</f>
        <v>PMID%3A3693895_Table1</v>
      </c>
      <c r="M234" s="1" t="str">
        <f t="array" ref="M234">IFERROR(INDEX(FileList!$A$1:$A$1000,MATCH(TRUE(),EXACT(L234,IFERROR(_xlfn.TEXTBEFORE(FileList!$A$1:$A$1000,".tsv"),"")),0)),"notfound")</f>
        <v>PMID%3A3693895_Table1.tsv</v>
      </c>
      <c r="N234" s="3" t="s">
        <v>745</v>
      </c>
      <c r="P234" s="3" t="s">
        <v>40</v>
      </c>
      <c r="V234" s="3" t="s">
        <v>41</v>
      </c>
      <c r="W234" s="3" t="s">
        <v>104</v>
      </c>
      <c r="Y234" s="3" t="s">
        <v>99</v>
      </c>
      <c r="Z234" s="3" t="s">
        <v>99</v>
      </c>
      <c r="AF234" s="3" t="s">
        <v>79</v>
      </c>
      <c r="AG234" s="3" t="s">
        <v>111</v>
      </c>
      <c r="AI234" s="3" t="s">
        <v>746</v>
      </c>
      <c r="AJ234" s="3" t="s">
        <v>101</v>
      </c>
      <c r="AK234" s="3" t="s">
        <v>62</v>
      </c>
      <c r="AL234" s="3" t="s">
        <v>62</v>
      </c>
      <c r="AM234" s="3" t="s">
        <v>84</v>
      </c>
    </row>
    <row r="235" spans="1:39" ht="15" customHeight="1" x14ac:dyDescent="0.2">
      <c r="A235" s="3" t="s">
        <v>747</v>
      </c>
      <c r="D235" s="3" t="s">
        <v>352</v>
      </c>
      <c r="E235" s="1" t="str">
        <f>RIGHT(A235,1)</f>
        <v>3</v>
      </c>
      <c r="F235" s="1" t="str">
        <f>G235 &amp; IF(H235&lt;&gt;"", "_" &amp; H235, "_") &amp; IF(I235&lt;&gt;"", "_" &amp; I235, "_") &amp; IF(B235&lt;&gt;"", "_" &amp; B235, "")</f>
        <v>Stephan_etal_1981</v>
      </c>
      <c r="G235" s="1" t="str">
        <f>SUBSTITUTE(SUBSTITUTE(_xlfn.TEXTBEFORE(A235,","), "-", ""), " ", "")</f>
        <v>Stephan</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_xlfn.TEXTBEFORE(_xlfn.TEXTAFTER(A235, "("), ")")</f>
        <v>1981</v>
      </c>
      <c r="J235" s="1" t="str">
        <f>_xlfn.LET(
_xlpm.doi,IF(C235&lt;&gt;"",C235,_xlfn.TEXTAFTER(A235,"https://doi.org/")),
SUBSTITUTE(
SUBSTITUTE(
SUBSTITUTE(
SUBSTITUTE(
_xlpm.doi,
"/","%2F"),
":","%3A"),
"&lt;","%3C"),
"&gt;","%3E")
)</f>
        <v>10.1159%2F000155963</v>
      </c>
      <c r="K235" s="1" t="str">
        <f>TRIM(_xlfn.TEXTJOIN("_",FALSE(),F235,(SUBSTITUTE(SUBSTITUTE(D235," ",""), "_", ""))))</f>
        <v>Stephan_etal_1981_TableI</v>
      </c>
      <c r="L235" s="1" t="str">
        <f>J235 &amp; "_" &amp; SUBSTITUTE(SUBSTITUTE(SUBSTITUTE(D235,CHAR(160),"")," ",""),"_","")</f>
        <v>10.1159%2F000155963_TableI</v>
      </c>
      <c r="M235" s="1" t="str">
        <f t="array" ref="M235">IFERROR(INDEX(FileList!$A$1:$A$1000,MATCH(TRUE(),EXACT(L235,IFERROR(_xlfn.TEXTBEFORE(FileList!$A$1:$A$1000,".tsv"),"")),0)),"notfound")</f>
        <v>10.1159%2F000155963_TableI.tsv</v>
      </c>
      <c r="N235" s="3" t="s">
        <v>748</v>
      </c>
      <c r="V235" s="3" t="s">
        <v>41</v>
      </c>
      <c r="Y235" s="3" t="s">
        <v>99</v>
      </c>
      <c r="Z235" s="3" t="s">
        <v>99</v>
      </c>
      <c r="AF235" s="3" t="s">
        <v>79</v>
      </c>
      <c r="AG235" s="3" t="s">
        <v>111</v>
      </c>
      <c r="AI235" s="3" t="s">
        <v>749</v>
      </c>
      <c r="AJ235" s="3" t="s">
        <v>101</v>
      </c>
      <c r="AK235" s="3" t="s">
        <v>62</v>
      </c>
      <c r="AL235" s="3" t="s">
        <v>62</v>
      </c>
      <c r="AM235" s="3" t="s">
        <v>84</v>
      </c>
    </row>
    <row r="236" spans="1:39" ht="15" customHeight="1" x14ac:dyDescent="0.2">
      <c r="A236" s="3" t="s">
        <v>747</v>
      </c>
      <c r="D236" s="3" t="s">
        <v>750</v>
      </c>
      <c r="E236" s="1" t="str">
        <f>RIGHT(A236,1)</f>
        <v>3</v>
      </c>
      <c r="F236" s="1" t="str">
        <f>G236 &amp; IF(H236&lt;&gt;"", "_" &amp; H236, "_") &amp; IF(I236&lt;&gt;"", "_" &amp; I236, "_") &amp; IF(B236&lt;&gt;"", "_" &amp; B236, "")</f>
        <v>Stephan_etal_1981</v>
      </c>
      <c r="G236" s="1" t="str">
        <f>SUBSTITUTE(SUBSTITUTE(_xlfn.TEXTBEFORE(A236,","), "-", ""), " ", "")</f>
        <v>Stephan</v>
      </c>
      <c r="H236" s="1"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etal</v>
      </c>
      <c r="I236" s="1" t="str">
        <f>_xlfn.TEXTBEFORE(_xlfn.TEXTAFTER(A236, "("), ")")</f>
        <v>1981</v>
      </c>
      <c r="J236" s="1" t="str">
        <f>_xlfn.LET(
_xlpm.doi,IF(C236&lt;&gt;"",C236,_xlfn.TEXTAFTER(A236,"https://doi.org/")),
SUBSTITUTE(
SUBSTITUTE(
SUBSTITUTE(
SUBSTITUTE(
_xlpm.doi,
"/","%2F"),
":","%3A"),
"&lt;","%3C"),
"&gt;","%3E")
)</f>
        <v>10.1159%2F000155963</v>
      </c>
      <c r="K236" s="1" t="str">
        <f>TRIM(_xlfn.TEXTJOIN("_",FALSE(),F236,(SUBSTITUTE(SUBSTITUTE(D236," ",""), "_", ""))))</f>
        <v>Stephan_etal_1981_TableII</v>
      </c>
      <c r="L236" s="1" t="str">
        <f>J236 &amp; "_" &amp; SUBSTITUTE(SUBSTITUTE(SUBSTITUTE(D236,CHAR(160),"")," ",""),"_","")</f>
        <v>10.1159%2F000155963_TableII</v>
      </c>
      <c r="M236" s="1" t="str">
        <f t="array" ref="M236">IFERROR(INDEX(FileList!$A$1:$A$1000,MATCH(TRUE(),EXACT(L236,IFERROR(_xlfn.TEXTBEFORE(FileList!$A$1:$A$1000,".tsv"),"")),0)),"notfound")</f>
        <v>10.1159%2F000155963_TableII.tsv</v>
      </c>
      <c r="N236" s="3" t="s">
        <v>751</v>
      </c>
      <c r="V236" s="3" t="s">
        <v>41</v>
      </c>
      <c r="Y236" s="3" t="s">
        <v>99</v>
      </c>
      <c r="Z236" s="3" t="s">
        <v>99</v>
      </c>
      <c r="AF236" s="3" t="s">
        <v>79</v>
      </c>
      <c r="AG236" s="3" t="s">
        <v>111</v>
      </c>
      <c r="AI236" s="3" t="s">
        <v>749</v>
      </c>
      <c r="AJ236" s="3" t="s">
        <v>101</v>
      </c>
      <c r="AK236" s="3" t="s">
        <v>62</v>
      </c>
      <c r="AL236" s="3" t="s">
        <v>62</v>
      </c>
      <c r="AM236" s="3" t="s">
        <v>84</v>
      </c>
    </row>
    <row r="237" spans="1:39" ht="15" customHeight="1" x14ac:dyDescent="0.2">
      <c r="A237" s="3" t="s">
        <v>747</v>
      </c>
      <c r="D237" s="3" t="s">
        <v>752</v>
      </c>
      <c r="E237" s="1" t="str">
        <f>RIGHT(A237,1)</f>
        <v>3</v>
      </c>
      <c r="F237" s="1" t="str">
        <f>G237 &amp; IF(H237&lt;&gt;"", "_" &amp; H237, "_") &amp; IF(I237&lt;&gt;"", "_" &amp; I237, "_") &amp; IF(B237&lt;&gt;"", "_" &amp; B237, "")</f>
        <v>Stephan_etal_1981</v>
      </c>
      <c r="G237" s="1" t="str">
        <f>SUBSTITUTE(SUBSTITUTE(_xlfn.TEXTBEFORE(A237,","), "-", ""), " ", "")</f>
        <v>Stephan</v>
      </c>
      <c r="H237" s="1"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etal</v>
      </c>
      <c r="I237" s="1" t="str">
        <f>_xlfn.TEXTBEFORE(_xlfn.TEXTAFTER(A237, "("), ")")</f>
        <v>1981</v>
      </c>
      <c r="J237" s="1" t="str">
        <f>_xlfn.LET(
_xlpm.doi,IF(C237&lt;&gt;"",C237,_xlfn.TEXTAFTER(A237,"https://doi.org/")),
SUBSTITUTE(
SUBSTITUTE(
SUBSTITUTE(
SUBSTITUTE(
_xlpm.doi,
"/","%2F"),
":","%3A"),
"&lt;","%3C"),
"&gt;","%3E")
)</f>
        <v>10.1159%2F000155963</v>
      </c>
      <c r="K237" s="1" t="str">
        <f>TRIM(_xlfn.TEXTJOIN("_",FALSE(),F237,(SUBSTITUTE(SUBSTITUTE(D237," ",""), "_", ""))))</f>
        <v>Stephan_etal_1981_TableIII</v>
      </c>
      <c r="L237" s="1" t="str">
        <f>J237 &amp; "_" &amp; SUBSTITUTE(SUBSTITUTE(SUBSTITUTE(D237,CHAR(160),"")," ",""),"_","")</f>
        <v>10.1159%2F000155963_TableIII</v>
      </c>
      <c r="M237" s="1" t="str">
        <f t="array" ref="M237">IFERROR(INDEX(FileList!$A$1:$A$1000,MATCH(TRUE(),EXACT(L237,IFERROR(_xlfn.TEXTBEFORE(FileList!$A$1:$A$1000,".tsv"),"")),0)),"notfound")</f>
        <v>10.1159%2F000155963_TableIII.tsv</v>
      </c>
      <c r="N237" s="3" t="s">
        <v>753</v>
      </c>
      <c r="V237" s="3" t="s">
        <v>41</v>
      </c>
      <c r="Y237" s="3" t="s">
        <v>99</v>
      </c>
      <c r="Z237" s="3" t="s">
        <v>99</v>
      </c>
      <c r="AF237" s="3" t="s">
        <v>79</v>
      </c>
      <c r="AG237" s="3" t="s">
        <v>111</v>
      </c>
      <c r="AI237" s="3" t="s">
        <v>749</v>
      </c>
      <c r="AJ237" s="3" t="s">
        <v>101</v>
      </c>
      <c r="AK237" s="3" t="s">
        <v>62</v>
      </c>
      <c r="AL237" s="3" t="s">
        <v>62</v>
      </c>
      <c r="AM237" s="3" t="s">
        <v>84</v>
      </c>
    </row>
    <row r="238" spans="1:39" ht="15" customHeight="1" x14ac:dyDescent="0.2">
      <c r="A238" s="3" t="s">
        <v>747</v>
      </c>
      <c r="D238" s="3" t="s">
        <v>754</v>
      </c>
      <c r="E238" s="1" t="str">
        <f>RIGHT(A238,1)</f>
        <v>3</v>
      </c>
      <c r="F238" s="1" t="str">
        <f>G238 &amp; IF(H238&lt;&gt;"", "_" &amp; H238, "_") &amp; IF(I238&lt;&gt;"", "_" &amp; I238, "_") &amp; IF(B238&lt;&gt;"", "_" &amp; B238, "")</f>
        <v>Stephan_etal_1981</v>
      </c>
      <c r="G238" s="1" t="str">
        <f>SUBSTITUTE(SUBSTITUTE(_xlfn.TEXTBEFORE(A238,","), "-", ""), " ", "")</f>
        <v>Stephan</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_xlfn.TEXTBEFORE(_xlfn.TEXTAFTER(A238, "("), ")")</f>
        <v>1981</v>
      </c>
      <c r="J238" s="1" t="str">
        <f>_xlfn.LET(
_xlpm.doi,IF(C238&lt;&gt;"",C238,_xlfn.TEXTAFTER(A238,"https://doi.org/")),
SUBSTITUTE(
SUBSTITUTE(
SUBSTITUTE(
SUBSTITUTE(
_xlpm.doi,
"/","%2F"),
":","%3A"),
"&lt;","%3C"),
"&gt;","%3E")
)</f>
        <v>10.1159%2F000155963</v>
      </c>
      <c r="K238" s="1" t="str">
        <f>TRIM(_xlfn.TEXTJOIN("_",FALSE(),F238,(SUBSTITUTE(SUBSTITUTE(D238," ",""), "_", ""))))</f>
        <v>Stephan_etal_1981_TableIV</v>
      </c>
      <c r="L238" s="1" t="str">
        <f>J238 &amp; "_" &amp; SUBSTITUTE(SUBSTITUTE(SUBSTITUTE(D238,CHAR(160),"")," ",""),"_","")</f>
        <v>10.1159%2F000155963_TableIV</v>
      </c>
      <c r="M238" s="1" t="str">
        <f t="array" ref="M238">IFERROR(INDEX(FileList!$A$1:$A$1000,MATCH(TRUE(),EXACT(L238,IFERROR(_xlfn.TEXTBEFORE(FileList!$A$1:$A$1000,".tsv"),"")),0)),"notfound")</f>
        <v>10.1159%2F000155963_TableIV.tsv</v>
      </c>
      <c r="N238" s="3" t="s">
        <v>755</v>
      </c>
      <c r="V238" s="3" t="s">
        <v>41</v>
      </c>
      <c r="Y238" s="3" t="s">
        <v>99</v>
      </c>
      <c r="Z238" s="3" t="s">
        <v>99</v>
      </c>
      <c r="AF238" s="3" t="s">
        <v>79</v>
      </c>
      <c r="AG238" s="3" t="s">
        <v>111</v>
      </c>
      <c r="AI238" s="3" t="s">
        <v>749</v>
      </c>
      <c r="AJ238" s="3" t="s">
        <v>101</v>
      </c>
      <c r="AK238" s="3" t="s">
        <v>62</v>
      </c>
      <c r="AL238" s="3" t="s">
        <v>62</v>
      </c>
      <c r="AM238" s="3" t="s">
        <v>84</v>
      </c>
    </row>
    <row r="239" spans="1:39" ht="15" customHeight="1" x14ac:dyDescent="0.2">
      <c r="A239" s="3" t="s">
        <v>747</v>
      </c>
      <c r="D239" s="3" t="s">
        <v>756</v>
      </c>
      <c r="E239" s="1" t="str">
        <f>RIGHT(A239,1)</f>
        <v>3</v>
      </c>
      <c r="F239" s="1" t="str">
        <f>G239 &amp; IF(H239&lt;&gt;"", "_" &amp; H239, "_") &amp; IF(I239&lt;&gt;"", "_" &amp; I239, "_") &amp; IF(B239&lt;&gt;"", "_" &amp; B239, "")</f>
        <v>Stephan_etal_1981</v>
      </c>
      <c r="G239" s="1" t="str">
        <f>SUBSTITUTE(SUBSTITUTE(_xlfn.TEXTBEFORE(A239,","), "-", ""), " ", "")</f>
        <v>Stephan</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_xlfn.TEXTBEFORE(_xlfn.TEXTAFTER(A239, "("), ")")</f>
        <v>1981</v>
      </c>
      <c r="J239" s="1" t="str">
        <f>_xlfn.LET(
_xlpm.doi,IF(C239&lt;&gt;"",C239,_xlfn.TEXTAFTER(A239,"https://doi.org/")),
SUBSTITUTE(
SUBSTITUTE(
SUBSTITUTE(
SUBSTITUTE(
_xlpm.doi,
"/","%2F"),
":","%3A"),
"&lt;","%3C"),
"&gt;","%3E")
)</f>
        <v>10.1159%2F000155963</v>
      </c>
      <c r="K239" s="1" t="str">
        <f>TRIM(_xlfn.TEXTJOIN("_",FALSE(),F239,(SUBSTITUTE(SUBSTITUTE(D239," ",""), "_", ""))))</f>
        <v>Stephan_etal_1981_TableV</v>
      </c>
      <c r="L239" s="1" t="str">
        <f>J239 &amp; "_" &amp; SUBSTITUTE(SUBSTITUTE(SUBSTITUTE(D239,CHAR(160),"")," ",""),"_","")</f>
        <v>10.1159%2F000155963_TableV</v>
      </c>
      <c r="M239" s="1" t="str">
        <f t="array" ref="M239">IFERROR(INDEX(FileList!$A$1:$A$1000,MATCH(TRUE(),EXACT(L239,IFERROR(_xlfn.TEXTBEFORE(FileList!$A$1:$A$1000,".tsv"),"")),0)),"notfound")</f>
        <v>10.1159%2F000155963_TableV.tsv</v>
      </c>
      <c r="N239" s="3" t="s">
        <v>757</v>
      </c>
      <c r="V239" s="3" t="s">
        <v>41</v>
      </c>
      <c r="Y239" s="3" t="s">
        <v>99</v>
      </c>
      <c r="Z239" s="3" t="s">
        <v>99</v>
      </c>
      <c r="AF239" s="3" t="s">
        <v>79</v>
      </c>
      <c r="AG239" s="3" t="s">
        <v>111</v>
      </c>
      <c r="AI239" s="3" t="s">
        <v>749</v>
      </c>
      <c r="AJ239" s="3" t="s">
        <v>101</v>
      </c>
      <c r="AK239" s="3" t="s">
        <v>62</v>
      </c>
      <c r="AL239" s="3" t="s">
        <v>62</v>
      </c>
      <c r="AM239" s="3" t="s">
        <v>84</v>
      </c>
    </row>
    <row r="240" spans="1:39" ht="15" customHeight="1" x14ac:dyDescent="0.2">
      <c r="A240" s="3" t="s">
        <v>747</v>
      </c>
      <c r="D240" s="3" t="s">
        <v>758</v>
      </c>
      <c r="E240" s="1" t="str">
        <f>RIGHT(A240,1)</f>
        <v>3</v>
      </c>
      <c r="F240" s="1" t="str">
        <f>G240 &amp; IF(H240&lt;&gt;"", "_" &amp; H240, "_") &amp; IF(I240&lt;&gt;"", "_" &amp; I240, "_") &amp; IF(B240&lt;&gt;"", "_" &amp; B240, "")</f>
        <v>Stephan_etal_1981</v>
      </c>
      <c r="G240" s="1" t="str">
        <f>SUBSTITUTE(SUBSTITUTE(_xlfn.TEXTBEFORE(A240,","), "-", ""), " ", "")</f>
        <v>Stephan</v>
      </c>
      <c r="H240" s="1"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 t="str">
        <f>_xlfn.TEXTBEFORE(_xlfn.TEXTAFTER(A240, "("), ")")</f>
        <v>1981</v>
      </c>
      <c r="J240" s="1" t="str">
        <f>_xlfn.LET(
_xlpm.doi,IF(C240&lt;&gt;"",C240,_xlfn.TEXTAFTER(A240,"https://doi.org/")),
SUBSTITUTE(
SUBSTITUTE(
SUBSTITUTE(
SUBSTITUTE(
_xlpm.doi,
"/","%2F"),
":","%3A"),
"&lt;","%3C"),
"&gt;","%3E")
)</f>
        <v>10.1159%2F000155963</v>
      </c>
      <c r="K240" s="1" t="str">
        <f>TRIM(_xlfn.TEXTJOIN("_",FALSE(),F240,(SUBSTITUTE(SUBSTITUTE(D240," ",""), "_", ""))))</f>
        <v>Stephan_etal_1981_TableVI</v>
      </c>
      <c r="L240" s="1" t="str">
        <f>J240 &amp; "_" &amp; SUBSTITUTE(SUBSTITUTE(SUBSTITUTE(D240,CHAR(160),"")," ",""),"_","")</f>
        <v>10.1159%2F000155963_TableVI</v>
      </c>
      <c r="M240" s="1" t="str">
        <f t="array" ref="M240">IFERROR(INDEX(FileList!$A$1:$A$1000,MATCH(TRUE(),EXACT(L240,IFERROR(_xlfn.TEXTBEFORE(FileList!$A$1:$A$1000,".tsv"),"")),0)),"notfound")</f>
        <v>10.1159%2F000155963_TableVI.tsv</v>
      </c>
      <c r="N240" s="3" t="s">
        <v>759</v>
      </c>
      <c r="V240" s="3" t="s">
        <v>41</v>
      </c>
      <c r="Y240" s="3" t="s">
        <v>99</v>
      </c>
      <c r="Z240" s="3" t="s">
        <v>99</v>
      </c>
      <c r="AF240" s="3" t="s">
        <v>79</v>
      </c>
      <c r="AG240" s="3" t="s">
        <v>111</v>
      </c>
      <c r="AI240" s="3" t="s">
        <v>749</v>
      </c>
      <c r="AJ240" s="3" t="s">
        <v>101</v>
      </c>
      <c r="AK240" s="3" t="s">
        <v>62</v>
      </c>
      <c r="AL240" s="3" t="s">
        <v>62</v>
      </c>
      <c r="AM240" s="3" t="s">
        <v>84</v>
      </c>
    </row>
    <row r="241" spans="1:39" ht="15" customHeight="1" x14ac:dyDescent="0.2">
      <c r="A241" s="3" t="s">
        <v>747</v>
      </c>
      <c r="C241" s="3"/>
      <c r="D241" s="3" t="s">
        <v>760</v>
      </c>
      <c r="E241" s="1" t="str">
        <f>RIGHT(A241,1)</f>
        <v>3</v>
      </c>
      <c r="F241" s="1" t="str">
        <f>G241 &amp; IF(H241&lt;&gt;"", "_" &amp; H241, "_") &amp; IF(I241&lt;&gt;"", "_" &amp; I241, "_") &amp; IF(B241&lt;&gt;"", "_" &amp; B241, "")</f>
        <v>Stephan_etal_1981</v>
      </c>
      <c r="G241" s="1" t="str">
        <f>SUBSTITUTE(SUBSTITUTE(_xlfn.TEXTBEFORE(A241,","), "-", ""), " ", "")</f>
        <v>Stephan</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_xlfn.TEXTBEFORE(_xlfn.TEXTAFTER(A241, "("), ")")</f>
        <v>1981</v>
      </c>
      <c r="J241" s="1" t="str">
        <f>_xlfn.LET(
_xlpm.doi,IF(C241&lt;&gt;"",C241,_xlfn.TEXTAFTER(A241,"https://doi.org/")),
SUBSTITUTE(
SUBSTITUTE(
SUBSTITUTE(
SUBSTITUTE(
_xlpm.doi,
"/","%2F"),
":","%3A"),
"&lt;","%3C"),
"&gt;","%3E")
)</f>
        <v>10.1159%2F000155963</v>
      </c>
      <c r="K241" s="1" t="str">
        <f>TRIM(_xlfn.TEXTJOIN("_",FALSE(),F241,(SUBSTITUTE(SUBSTITUTE(D241," ",""), "_", ""))))</f>
        <v>Stephan_etal_1981_TableVII</v>
      </c>
      <c r="L241" s="1" t="str">
        <f>J241 &amp; "_" &amp; SUBSTITUTE(SUBSTITUTE(SUBSTITUTE(D241,CHAR(160),"")," ",""),"_","")</f>
        <v>10.1159%2F000155963_TableVII</v>
      </c>
      <c r="M241" s="1" t="str">
        <f t="array" ref="M241">IFERROR(INDEX(FileList!$A$1:$A$1000,MATCH(TRUE(),EXACT(L241,IFERROR(_xlfn.TEXTBEFORE(FileList!$A$1:$A$1000,".tsv"),"")),0)),"notfound")</f>
        <v>10.1159%2F000155963_TableVII.tsv</v>
      </c>
      <c r="N241" s="3" t="s">
        <v>761</v>
      </c>
      <c r="V241" s="3" t="s">
        <v>41</v>
      </c>
      <c r="Y241" s="3" t="s">
        <v>99</v>
      </c>
      <c r="Z241" s="3" t="s">
        <v>99</v>
      </c>
      <c r="AF241" s="3" t="s">
        <v>79</v>
      </c>
      <c r="AG241" s="3" t="s">
        <v>111</v>
      </c>
      <c r="AI241" s="3" t="s">
        <v>749</v>
      </c>
      <c r="AJ241" s="3" t="s">
        <v>101</v>
      </c>
      <c r="AK241" s="3" t="s">
        <v>62</v>
      </c>
      <c r="AL241" s="3" t="s">
        <v>62</v>
      </c>
      <c r="AM241" s="3" t="s">
        <v>84</v>
      </c>
    </row>
    <row r="242" spans="1:39" ht="15" customHeight="1" x14ac:dyDescent="0.2">
      <c r="A242" s="3" t="s">
        <v>747</v>
      </c>
      <c r="D242" s="3" t="s">
        <v>768</v>
      </c>
      <c r="E242" s="1" t="str">
        <f>RIGHT(A242,1)</f>
        <v>3</v>
      </c>
      <c r="F242" s="1" t="str">
        <f>G242 &amp; IF(H242&lt;&gt;"", "_" &amp; H242, "_") &amp; IF(I242&lt;&gt;"", "_" &amp; I242, "_") &amp; IF(B242&lt;&gt;"", "_" &amp; B242, "")</f>
        <v>Stephan_etal_1981</v>
      </c>
      <c r="G242" s="1" t="str">
        <f>SUBSTITUTE(SUBSTITUTE(_xlfn.TEXTBEFORE(A242,","), "-", ""), " ", "")</f>
        <v>Stephan</v>
      </c>
      <c r="H242" s="1"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etal</v>
      </c>
      <c r="I242" s="1" t="str">
        <f>_xlfn.TEXTBEFORE(_xlfn.TEXTAFTER(A242, "("), ")")</f>
        <v>1981</v>
      </c>
      <c r="J242" s="1" t="str">
        <f>_xlfn.LET(
_xlpm.doi,IF(C242&lt;&gt;"",C242,_xlfn.TEXTAFTER(A242,"https://doi.org/")),
SUBSTITUTE(
SUBSTITUTE(
SUBSTITUTE(
SUBSTITUTE(
_xlpm.doi,
"/","%2F"),
":","%3A"),
"&lt;","%3C"),
"&gt;","%3E")
)</f>
        <v>10.1159%2F000155963</v>
      </c>
      <c r="K242" s="1" t="str">
        <f>TRIM(_xlfn.TEXTJOIN("_",FALSE(),F242,(SUBSTITUTE(SUBSTITUTE(D242," ",""), "_", ""))))</f>
        <v>Stephan_etal_1981_TableXI</v>
      </c>
      <c r="L242" s="1" t="str">
        <f>J242 &amp; "_" &amp; SUBSTITUTE(SUBSTITUTE(SUBSTITUTE(D242,CHAR(160),"")," ",""),"_","")</f>
        <v>10.1159%2F000155963_TableXI</v>
      </c>
      <c r="M242" s="1" t="str">
        <f t="array" ref="M242">IFERROR(INDEX(FileList!$A$1:$A$1000,MATCH(TRUE(),EXACT(L242,IFERROR(_xlfn.TEXTBEFORE(FileList!$A$1:$A$1000,".tsv"),"")),0)),"notfound")</f>
        <v>10.1159%2F000155963_TableXI.tsv</v>
      </c>
      <c r="N242" s="3" t="s">
        <v>769</v>
      </c>
      <c r="V242" s="3" t="s">
        <v>41</v>
      </c>
      <c r="Y242" s="3" t="s">
        <v>99</v>
      </c>
      <c r="Z242" s="3" t="s">
        <v>99</v>
      </c>
      <c r="AF242" s="3" t="s">
        <v>79</v>
      </c>
      <c r="AG242" s="3" t="s">
        <v>111</v>
      </c>
      <c r="AI242" s="3" t="s">
        <v>749</v>
      </c>
      <c r="AJ242" s="3" t="s">
        <v>101</v>
      </c>
      <c r="AK242" s="3" t="s">
        <v>62</v>
      </c>
      <c r="AL242" s="3" t="s">
        <v>62</v>
      </c>
      <c r="AM242" s="3" t="s">
        <v>84</v>
      </c>
    </row>
    <row r="243" spans="1:39" ht="15" customHeight="1" x14ac:dyDescent="0.2">
      <c r="A243" s="3" t="s">
        <v>747</v>
      </c>
      <c r="D243" s="3" t="s">
        <v>770</v>
      </c>
      <c r="E243" s="1" t="str">
        <f>RIGHT(A243,1)</f>
        <v>3</v>
      </c>
      <c r="F243" s="1" t="str">
        <f>G243 &amp; IF(H243&lt;&gt;"", "_" &amp; H243, "_") &amp; IF(I243&lt;&gt;"", "_" &amp; I243, "_") &amp; IF(B243&lt;&gt;"", "_" &amp; B243, "")</f>
        <v>Stephan_etal_1981</v>
      </c>
      <c r="G243" s="1" t="str">
        <f>SUBSTITUTE(SUBSTITUTE(_xlfn.TEXTBEFORE(A243,","), "-", ""), " ", "")</f>
        <v>Stephan</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 t="str">
        <f>_xlfn.TEXTBEFORE(_xlfn.TEXTAFTER(A243, "("), ")")</f>
        <v>1981</v>
      </c>
      <c r="J243" s="1" t="str">
        <f>_xlfn.LET(
_xlpm.doi,IF(C243&lt;&gt;"",C243,_xlfn.TEXTAFTER(A243,"https://doi.org/")),
SUBSTITUTE(
SUBSTITUTE(
SUBSTITUTE(
SUBSTITUTE(
_xlpm.doi,
"/","%2F"),
":","%3A"),
"&lt;","%3C"),
"&gt;","%3E")
)</f>
        <v>10.1159%2F000155963</v>
      </c>
      <c r="K243" s="1" t="str">
        <f>TRIM(_xlfn.TEXTJOIN("_",FALSE(),F243,(SUBSTITUTE(SUBSTITUTE(D243," ",""), "_", ""))))</f>
        <v>Stephan_etal_1981_TableXII</v>
      </c>
      <c r="L243" s="1" t="str">
        <f>J243 &amp; "_" &amp; SUBSTITUTE(SUBSTITUTE(SUBSTITUTE(D243,CHAR(160),"")," ",""),"_","")</f>
        <v>10.1159%2F000155963_TableXII</v>
      </c>
      <c r="M243" s="1" t="str">
        <f t="array" ref="M243">IFERROR(INDEX(FileList!$A$1:$A$1000,MATCH(TRUE(),EXACT(L243,IFERROR(_xlfn.TEXTBEFORE(FileList!$A$1:$A$1000,".tsv"),"")),0)),"notfound")</f>
        <v>10.1159%2F000155963_TableXII.tsv</v>
      </c>
      <c r="N243" s="3" t="s">
        <v>771</v>
      </c>
      <c r="V243" s="3" t="s">
        <v>41</v>
      </c>
      <c r="Y243" s="3" t="s">
        <v>99</v>
      </c>
      <c r="Z243" s="3" t="s">
        <v>99</v>
      </c>
      <c r="AF243" s="3" t="s">
        <v>79</v>
      </c>
      <c r="AG243" s="3" t="s">
        <v>111</v>
      </c>
      <c r="AI243" s="3" t="s">
        <v>749</v>
      </c>
      <c r="AJ243" s="3" t="s">
        <v>101</v>
      </c>
      <c r="AK243" s="3" t="s">
        <v>62</v>
      </c>
      <c r="AL243" s="3" t="s">
        <v>62</v>
      </c>
      <c r="AM243" s="3" t="s">
        <v>84</v>
      </c>
    </row>
    <row r="244" spans="1:39" ht="15" customHeight="1" x14ac:dyDescent="0.2">
      <c r="A244" s="3" t="s">
        <v>747</v>
      </c>
      <c r="D244" s="3" t="s">
        <v>772</v>
      </c>
      <c r="E244" s="1" t="str">
        <f>RIGHT(A244,1)</f>
        <v>3</v>
      </c>
      <c r="F244" s="1" t="str">
        <f>G244 &amp; IF(H244&lt;&gt;"", "_" &amp; H244, "_") &amp; IF(I244&lt;&gt;"", "_" &amp; I244, "_") &amp; IF(B244&lt;&gt;"", "_" &amp; B244, "")</f>
        <v>Stephan_etal_1981</v>
      </c>
      <c r="G244" s="1" t="str">
        <f>SUBSTITUTE(SUBSTITUTE(_xlfn.TEXTBEFORE(A244,","), "-", ""), " ", "")</f>
        <v>Stephan</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 t="str">
        <f>_xlfn.TEXTBEFORE(_xlfn.TEXTAFTER(A244, "("), ")")</f>
        <v>1981</v>
      </c>
      <c r="J244" s="1" t="str">
        <f>_xlfn.LET(
_xlpm.doi,IF(C244&lt;&gt;"",C244,_xlfn.TEXTAFTER(A244,"https://doi.org/")),
SUBSTITUTE(
SUBSTITUTE(
SUBSTITUTE(
SUBSTITUTE(
_xlpm.doi,
"/","%2F"),
":","%3A"),
"&lt;","%3C"),
"&gt;","%3E")
)</f>
        <v>10.1159%2F000155963</v>
      </c>
      <c r="K244" s="1" t="str">
        <f>TRIM(_xlfn.TEXTJOIN("_",FALSE(),F244,(SUBSTITUTE(SUBSTITUTE(D244," ",""), "_", ""))))</f>
        <v>Stephan_etal_1981_TableXIII</v>
      </c>
      <c r="L244" s="1" t="str">
        <f>J244 &amp; "_" &amp; SUBSTITUTE(SUBSTITUTE(SUBSTITUTE(D244,CHAR(160),"")," ",""),"_","")</f>
        <v>10.1159%2F000155963_TableXIII</v>
      </c>
      <c r="M244" s="1" t="str">
        <f t="array" ref="M244">IFERROR(INDEX(FileList!$A$1:$A$1000,MATCH(TRUE(),EXACT(L244,IFERROR(_xlfn.TEXTBEFORE(FileList!$A$1:$A$1000,".tsv"),"")),0)),"notfound")</f>
        <v>10.1159%2F000155963_TableXIII.tsv</v>
      </c>
      <c r="N244" s="3" t="s">
        <v>773</v>
      </c>
      <c r="V244" s="3" t="s">
        <v>41</v>
      </c>
      <c r="Y244" s="3" t="s">
        <v>99</v>
      </c>
      <c r="Z244" s="3" t="s">
        <v>99</v>
      </c>
      <c r="AF244" s="3" t="s">
        <v>79</v>
      </c>
      <c r="AG244" s="3" t="s">
        <v>111</v>
      </c>
      <c r="AI244" s="3" t="s">
        <v>749</v>
      </c>
      <c r="AJ244" s="3" t="s">
        <v>101</v>
      </c>
      <c r="AK244" s="3" t="s">
        <v>62</v>
      </c>
      <c r="AL244" s="3" t="s">
        <v>62</v>
      </c>
      <c r="AM244" s="3" t="s">
        <v>84</v>
      </c>
    </row>
    <row r="245" spans="1:39" ht="15" customHeight="1" x14ac:dyDescent="0.2">
      <c r="A245" s="3" t="s">
        <v>747</v>
      </c>
      <c r="D245" s="3" t="s">
        <v>774</v>
      </c>
      <c r="E245" s="1" t="str">
        <f>RIGHT(A245,1)</f>
        <v>3</v>
      </c>
      <c r="F245" s="1" t="str">
        <f>G245 &amp; IF(H245&lt;&gt;"", "_" &amp; H245, "_") &amp; IF(I245&lt;&gt;"", "_" &amp; I245, "_") &amp; IF(B245&lt;&gt;"", "_" &amp; B245, "")</f>
        <v>Stephan_etal_1981</v>
      </c>
      <c r="G245" s="1" t="str">
        <f>SUBSTITUTE(SUBSTITUTE(_xlfn.TEXTBEFORE(A245,","), "-", ""), " ", "")</f>
        <v>Stephan</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etal</v>
      </c>
      <c r="I245" s="1" t="str">
        <f>_xlfn.TEXTBEFORE(_xlfn.TEXTAFTER(A245, "("), ")")</f>
        <v>1981</v>
      </c>
      <c r="J245" s="1" t="str">
        <f>_xlfn.LET(
_xlpm.doi,IF(C245&lt;&gt;"",C245,_xlfn.TEXTAFTER(A245,"https://doi.org/")),
SUBSTITUTE(
SUBSTITUTE(
SUBSTITUTE(
SUBSTITUTE(
_xlpm.doi,
"/","%2F"),
":","%3A"),
"&lt;","%3C"),
"&gt;","%3E")
)</f>
        <v>10.1159%2F000155963</v>
      </c>
      <c r="K245" s="1" t="str">
        <f>TRIM(_xlfn.TEXTJOIN("_",FALSE(),F245,(SUBSTITUTE(SUBSTITUTE(D245," ",""), "_", ""))))</f>
        <v>Stephan_etal_1981_TableXIV</v>
      </c>
      <c r="L245" s="1" t="str">
        <f>J245 &amp; "_" &amp; SUBSTITUTE(SUBSTITUTE(SUBSTITUTE(D245,CHAR(160),"")," ",""),"_","")</f>
        <v>10.1159%2F000155963_TableXIV</v>
      </c>
      <c r="M245" s="1" t="str">
        <f t="array" ref="M245">IFERROR(INDEX(FileList!$A$1:$A$1000,MATCH(TRUE(),EXACT(L245,IFERROR(_xlfn.TEXTBEFORE(FileList!$A$1:$A$1000,".tsv"),"")),0)),"notfound")</f>
        <v>10.1159%2F000155963_TableXIV.tsv</v>
      </c>
      <c r="N245" s="3" t="s">
        <v>775</v>
      </c>
      <c r="V245" s="3" t="s">
        <v>41</v>
      </c>
      <c r="Y245" s="3" t="s">
        <v>99</v>
      </c>
      <c r="Z245" s="3" t="s">
        <v>99</v>
      </c>
      <c r="AF245" s="3" t="s">
        <v>79</v>
      </c>
      <c r="AG245" s="3" t="s">
        <v>111</v>
      </c>
      <c r="AI245" s="3" t="s">
        <v>749</v>
      </c>
      <c r="AJ245" s="3" t="s">
        <v>101</v>
      </c>
      <c r="AK245" s="3" t="s">
        <v>62</v>
      </c>
      <c r="AL245" s="3" t="s">
        <v>62</v>
      </c>
      <c r="AM245" s="3" t="s">
        <v>84</v>
      </c>
    </row>
    <row r="246" spans="1:39" ht="15" customHeight="1" x14ac:dyDescent="0.2">
      <c r="A246" s="3" t="s">
        <v>747</v>
      </c>
      <c r="D246" s="3" t="s">
        <v>776</v>
      </c>
      <c r="E246" s="1" t="str">
        <f>RIGHT(A246,1)</f>
        <v>3</v>
      </c>
      <c r="F246" s="1" t="str">
        <f>G246 &amp; IF(H246&lt;&gt;"", "_" &amp; H246, "_") &amp; IF(I246&lt;&gt;"", "_" &amp; I246, "_") &amp; IF(B246&lt;&gt;"", "_" &amp; B246, "")</f>
        <v>Stephan_etal_1981</v>
      </c>
      <c r="G246" s="1" t="str">
        <f>SUBSTITUTE(SUBSTITUTE(_xlfn.TEXTBEFORE(A246,","), "-", ""), " ", "")</f>
        <v>Stephan</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 t="str">
        <f>_xlfn.TEXTBEFORE(_xlfn.TEXTAFTER(A246, "("), ")")</f>
        <v>1981</v>
      </c>
      <c r="J246" s="1" t="str">
        <f>_xlfn.LET(
_xlpm.doi,IF(C246&lt;&gt;"",C246,_xlfn.TEXTAFTER(A246,"https://doi.org/")),
SUBSTITUTE(
SUBSTITUTE(
SUBSTITUTE(
SUBSTITUTE(
_xlpm.doi,
"/","%2F"),
":","%3A"),
"&lt;","%3C"),
"&gt;","%3E")
)</f>
        <v>10.1159%2F000155963</v>
      </c>
      <c r="K246" s="1" t="str">
        <f>TRIM(_xlfn.TEXTJOIN("_",FALSE(),F246,(SUBSTITUTE(SUBSTITUTE(D246," ",""), "_", ""))))</f>
        <v>Stephan_etal_1981_TableXV</v>
      </c>
      <c r="L246" s="1" t="str">
        <f>J246 &amp; "_" &amp; SUBSTITUTE(SUBSTITUTE(SUBSTITUTE(D246,CHAR(160),"")," ",""),"_","")</f>
        <v>10.1159%2F000155963_TableXV</v>
      </c>
      <c r="M246" s="1" t="str">
        <f t="array" ref="M246">IFERROR(INDEX(FileList!$A$1:$A$1000,MATCH(TRUE(),EXACT(L246,IFERROR(_xlfn.TEXTBEFORE(FileList!$A$1:$A$1000,".tsv"),"")),0)),"notfound")</f>
        <v>10.1159%2F000155963_TableXV.tsv</v>
      </c>
      <c r="N246" s="3" t="s">
        <v>777</v>
      </c>
      <c r="V246" s="3" t="s">
        <v>41</v>
      </c>
      <c r="Y246" s="3" t="s">
        <v>99</v>
      </c>
      <c r="Z246" s="3" t="s">
        <v>99</v>
      </c>
      <c r="AF246" s="3" t="s">
        <v>79</v>
      </c>
      <c r="AG246" s="3" t="s">
        <v>111</v>
      </c>
      <c r="AI246" s="3" t="s">
        <v>749</v>
      </c>
      <c r="AJ246" s="3" t="s">
        <v>101</v>
      </c>
      <c r="AK246" s="3" t="s">
        <v>62</v>
      </c>
      <c r="AL246" s="3" t="s">
        <v>62</v>
      </c>
      <c r="AM246" s="3" t="s">
        <v>84</v>
      </c>
    </row>
    <row r="247" spans="1:39" x14ac:dyDescent="0.2">
      <c r="A247" s="3" t="s">
        <v>747</v>
      </c>
      <c r="D247" s="3" t="s">
        <v>778</v>
      </c>
      <c r="E247" s="1" t="str">
        <f>RIGHT(A247,1)</f>
        <v>3</v>
      </c>
      <c r="F247" s="1" t="str">
        <f>G247 &amp; IF(H247&lt;&gt;"", "_" &amp; H247, "_") &amp; IF(I247&lt;&gt;"", "_" &amp; I247, "_") &amp; IF(B247&lt;&gt;"", "_" &amp; B247, "")</f>
        <v>Stephan_etal_1981</v>
      </c>
      <c r="G247" s="1" t="str">
        <f>SUBSTITUTE(SUBSTITUTE(_xlfn.TEXTBEFORE(A247,","), "-", ""), " ", "")</f>
        <v>Stephan</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 t="str">
        <f>_xlfn.TEXTBEFORE(_xlfn.TEXTAFTER(A247, "("), ")")</f>
        <v>1981</v>
      </c>
      <c r="J247" s="1" t="str">
        <f>_xlfn.LET(
_xlpm.doi,IF(C247&lt;&gt;"",C247,_xlfn.TEXTAFTER(A247,"https://doi.org/")),
SUBSTITUTE(
SUBSTITUTE(
SUBSTITUTE(
SUBSTITUTE(
_xlpm.doi,
"/","%2F"),
":","%3A"),
"&lt;","%3C"),
"&gt;","%3E")
)</f>
        <v>10.1159%2F000155963</v>
      </c>
      <c r="K247" s="1" t="str">
        <f>TRIM(_xlfn.TEXTJOIN("_",FALSE(),F247,(SUBSTITUTE(SUBSTITUTE(D247," ",""), "_", ""))))</f>
        <v>Stephan_etal_1981_TableXVI</v>
      </c>
      <c r="L247" s="1" t="str">
        <f>J247 &amp; "_" &amp; SUBSTITUTE(SUBSTITUTE(SUBSTITUTE(D247,CHAR(160),"")," ",""),"_","")</f>
        <v>10.1159%2F000155963_TableXVI</v>
      </c>
      <c r="M247" s="1" t="str">
        <f t="array" ref="M247">IFERROR(INDEX(FileList!$A$1:$A$1000,MATCH(TRUE(),EXACT(L247,IFERROR(_xlfn.TEXTBEFORE(FileList!$A$1:$A$1000,".tsv"),"")),0)),"notfound")</f>
        <v>10.1159%2F000155963_TableXVI.tsv</v>
      </c>
      <c r="N247" s="3" t="s">
        <v>779</v>
      </c>
      <c r="V247" s="3" t="s">
        <v>41</v>
      </c>
      <c r="Y247" s="3" t="s">
        <v>99</v>
      </c>
      <c r="Z247" s="3" t="s">
        <v>99</v>
      </c>
      <c r="AF247" s="3" t="s">
        <v>79</v>
      </c>
      <c r="AG247" s="3" t="s">
        <v>111</v>
      </c>
      <c r="AI247" s="3" t="s">
        <v>749</v>
      </c>
      <c r="AJ247" s="3" t="s">
        <v>101</v>
      </c>
      <c r="AK247" s="3" t="s">
        <v>62</v>
      </c>
      <c r="AL247" s="3" t="s">
        <v>62</v>
      </c>
      <c r="AM247" s="3" t="s">
        <v>84</v>
      </c>
    </row>
    <row r="248" spans="1:39" x14ac:dyDescent="0.2">
      <c r="A248" s="3" t="s">
        <v>747</v>
      </c>
      <c r="C248" s="3"/>
      <c r="D248" s="3" t="s">
        <v>780</v>
      </c>
      <c r="E248" s="1" t="str">
        <f>RIGHT(A248,1)</f>
        <v>3</v>
      </c>
      <c r="F248" s="1" t="str">
        <f>G248 &amp; IF(H248&lt;&gt;"", "_" &amp; H248, "_") &amp; IF(I248&lt;&gt;"", "_" &amp; I248, "_") &amp; IF(B248&lt;&gt;"", "_" &amp; B248, "")</f>
        <v>Stephan_etal_1981</v>
      </c>
      <c r="G248" s="1" t="str">
        <f>SUBSTITUTE(SUBSTITUTE(_xlfn.TEXTBEFORE(A248,","), "-", ""), " ", "")</f>
        <v>Stephan</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 t="str">
        <f>_xlfn.TEXTBEFORE(_xlfn.TEXTAFTER(A248, "("), ")")</f>
        <v>1981</v>
      </c>
      <c r="J248" s="1" t="str">
        <f>_xlfn.LET(
_xlpm.doi,IF(C248&lt;&gt;"",C248,_xlfn.TEXTAFTER(A248,"https://doi.org/")),
SUBSTITUTE(
SUBSTITUTE(
SUBSTITUTE(
SUBSTITUTE(
_xlpm.doi,
"/","%2F"),
":","%3A"),
"&lt;","%3C"),
"&gt;","%3E")
)</f>
        <v>10.1159%2F000155963</v>
      </c>
      <c r="K248" s="1" t="str">
        <f>TRIM(_xlfn.TEXTJOIN("_",FALSE(),F248,(SUBSTITUTE(SUBSTITUTE(D248," ",""), "_", ""))))</f>
        <v>Stephan_etal_1981_TablesI-VI</v>
      </c>
      <c r="L248" s="1" t="str">
        <f>J248 &amp; "_" &amp; SUBSTITUTE(SUBSTITUTE(SUBSTITUTE(D248,CHAR(160),"")," ",""),"_","")</f>
        <v>10.1159%2F000155963_TablesI-VI</v>
      </c>
      <c r="M248" s="1" t="str">
        <f t="array" ref="M248">IFERROR(INDEX(FileList!$A$1:$A$1000,MATCH(TRUE(),EXACT(L248,IFERROR(_xlfn.TEXTBEFORE(FileList!$A$1:$A$1000,".tsv"),"")),0)),"notfound")</f>
        <v>10.1159%2F000155963_TablesI-VI.tsv</v>
      </c>
      <c r="O248" s="3" t="s">
        <v>781</v>
      </c>
      <c r="P248" s="3" t="s">
        <v>40</v>
      </c>
      <c r="V248" s="3" t="s">
        <v>41</v>
      </c>
      <c r="Y248" s="3" t="s">
        <v>99</v>
      </c>
      <c r="Z248" s="3" t="s">
        <v>99</v>
      </c>
      <c r="AF248" s="3" t="s">
        <v>79</v>
      </c>
      <c r="AG248" s="3" t="s">
        <v>111</v>
      </c>
      <c r="AI248" s="3" t="s">
        <v>749</v>
      </c>
      <c r="AJ248" s="3" t="s">
        <v>101</v>
      </c>
      <c r="AK248" s="3" t="s">
        <v>62</v>
      </c>
      <c r="AL248" s="3" t="s">
        <v>62</v>
      </c>
      <c r="AM248" s="3" t="s">
        <v>84</v>
      </c>
    </row>
    <row r="249" spans="1:39" x14ac:dyDescent="0.2">
      <c r="A249" s="4" t="s">
        <v>747</v>
      </c>
      <c r="C249" s="3"/>
      <c r="D249" s="3" t="s">
        <v>762</v>
      </c>
      <c r="E249" s="1" t="str">
        <f>RIGHT(A249,1)</f>
        <v>3</v>
      </c>
      <c r="F249" s="1" t="str">
        <f>G249 &amp; IF(H249&lt;&gt;"", "_" &amp; H249, "_") &amp; IF(I249&lt;&gt;"", "_" &amp; I249, "_") &amp; IF(B249&lt;&gt;"", "_" &amp; B249, "")</f>
        <v>Stephan_etal_1981</v>
      </c>
      <c r="G249" s="1" t="str">
        <f>SUBSTITUTE(SUBSTITUTE(_xlfn.TEXTBEFORE(A249,","), "-", ""), " ", "")</f>
        <v>Stephan</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_xlfn.TEXTBEFORE(_xlfn.TEXTAFTER(A249, "("), ")")</f>
        <v>1981</v>
      </c>
      <c r="J249" s="1" t="str">
        <f>_xlfn.LET(
_xlpm.doi,IF(C249&lt;&gt;"",C249,_xlfn.TEXTAFTER(A249,"https://doi.org/")),
SUBSTITUTE(
SUBSTITUTE(
SUBSTITUTE(
SUBSTITUTE(
_xlpm.doi,
"/","%2F"),
":","%3A"),
"&lt;","%3C"),
"&gt;","%3E")
)</f>
        <v>10.1159%2F000155963</v>
      </c>
      <c r="K249" s="1" t="str">
        <f>TRIM(_xlfn.TEXTJOIN("_",FALSE(),F249,(SUBSTITUTE(SUBSTITUTE(D249," ",""), "_", ""))))</f>
        <v>Stephan_etal_1981_TableVIII</v>
      </c>
      <c r="L249" s="1" t="str">
        <f>J249 &amp; "_" &amp; SUBSTITUTE(SUBSTITUTE(SUBSTITUTE(D249,CHAR(160),"")," ",""),"_","")</f>
        <v>10.1159%2F000155963_TableVIII</v>
      </c>
      <c r="M249" s="1" t="str">
        <f t="array" ref="M249">IFERROR(INDEX(FileList!$A$1:$A$1000,MATCH(TRUE(),EXACT(L249,IFERROR(_xlfn.TEXTBEFORE(FileList!$A$1:$A$1000,".tsv"),"")),0)),"notfound")</f>
        <v>10.1159%2F000155963_TableVIII.tsv</v>
      </c>
      <c r="N249" s="3" t="s">
        <v>763</v>
      </c>
    </row>
    <row r="250" spans="1:39" x14ac:dyDescent="0.2">
      <c r="A250" s="4" t="s">
        <v>747</v>
      </c>
      <c r="C250" s="3"/>
      <c r="D250" s="3" t="s">
        <v>764</v>
      </c>
      <c r="E250" s="1" t="str">
        <f>RIGHT(A250,1)</f>
        <v>3</v>
      </c>
      <c r="F250" s="1" t="str">
        <f>G250 &amp; IF(H250&lt;&gt;"", "_" &amp; H250, "_") &amp; IF(I250&lt;&gt;"", "_" &amp; I250, "_") &amp; IF(B250&lt;&gt;"", "_" &amp; B250, "")</f>
        <v>Stephan_etal_1981</v>
      </c>
      <c r="G250" s="1" t="str">
        <f>SUBSTITUTE(SUBSTITUTE(_xlfn.TEXTBEFORE(A250,","), "-", ""), " ", "")</f>
        <v>Stephan</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_xlfn.TEXTBEFORE(_xlfn.TEXTAFTER(A250, "("), ")")</f>
        <v>1981</v>
      </c>
      <c r="J250" s="1" t="str">
        <f>_xlfn.LET(
_xlpm.doi,IF(C250&lt;&gt;"",C250,_xlfn.TEXTAFTER(A250,"https://doi.org/")),
SUBSTITUTE(
SUBSTITUTE(
SUBSTITUTE(
SUBSTITUTE(
_xlpm.doi,
"/","%2F"),
":","%3A"),
"&lt;","%3C"),
"&gt;","%3E")
)</f>
        <v>10.1159%2F000155963</v>
      </c>
      <c r="K250" s="1" t="str">
        <f>TRIM(_xlfn.TEXTJOIN("_",FALSE(),F250,(SUBSTITUTE(SUBSTITUTE(D250," ",""), "_", ""))))</f>
        <v>Stephan_etal_1981_TableIX</v>
      </c>
      <c r="L250" s="1" t="str">
        <f>J250 &amp; "_" &amp; SUBSTITUTE(SUBSTITUTE(SUBSTITUTE(D250,CHAR(160),"")," ",""),"_","")</f>
        <v>10.1159%2F000155963_TableIX</v>
      </c>
      <c r="M250" s="1" t="str">
        <f t="array" ref="M250">IFERROR(INDEX(FileList!$A$1:$A$1000,MATCH(TRUE(),EXACT(L250,IFERROR(_xlfn.TEXTBEFORE(FileList!$A$1:$A$1000,".tsv"),"")),0)),"notfound")</f>
        <v>10.1159%2F000155963_TableIX.tsv</v>
      </c>
      <c r="N250" s="3" t="s">
        <v>765</v>
      </c>
    </row>
    <row r="251" spans="1:39" x14ac:dyDescent="0.2">
      <c r="A251" s="4" t="s">
        <v>747</v>
      </c>
      <c r="C251" s="3"/>
      <c r="D251" s="3" t="s">
        <v>766</v>
      </c>
      <c r="E251" s="1" t="str">
        <f>RIGHT(A251,1)</f>
        <v>3</v>
      </c>
      <c r="F251" s="1" t="str">
        <f>G251 &amp; IF(H251&lt;&gt;"", "_" &amp; H251, "_") &amp; IF(I251&lt;&gt;"", "_" &amp; I251, "_") &amp; IF(B251&lt;&gt;"", "_" &amp; B251, "")</f>
        <v>Stephan_etal_1981</v>
      </c>
      <c r="G251" s="1" t="str">
        <f>SUBSTITUTE(SUBSTITUTE(_xlfn.TEXTBEFORE(A251,","), "-", ""), " ", "")</f>
        <v>Stephan</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_xlfn.TEXTBEFORE(_xlfn.TEXTAFTER(A251, "("), ")")</f>
        <v>1981</v>
      </c>
      <c r="J251" s="1" t="str">
        <f>_xlfn.LET(
_xlpm.doi,IF(C251&lt;&gt;"",C251,_xlfn.TEXTAFTER(A251,"https://doi.org/")),
SUBSTITUTE(
SUBSTITUTE(
SUBSTITUTE(
SUBSTITUTE(
_xlpm.doi,
"/","%2F"),
":","%3A"),
"&lt;","%3C"),
"&gt;","%3E")
)</f>
        <v>10.1159%2F000155963</v>
      </c>
      <c r="K251" s="1" t="str">
        <f>TRIM(_xlfn.TEXTJOIN("_",FALSE(),F251,(SUBSTITUTE(SUBSTITUTE(D251," ",""), "_", ""))))</f>
        <v>Stephan_etal_1981_TableX</v>
      </c>
      <c r="L251" s="1" t="str">
        <f>J251 &amp; "_" &amp; SUBSTITUTE(SUBSTITUTE(SUBSTITUTE(D251,CHAR(160),"")," ",""),"_","")</f>
        <v>10.1159%2F000155963_TableX</v>
      </c>
      <c r="M251" s="1" t="str">
        <f t="array" ref="M251">IFERROR(INDEX(FileList!$A$1:$A$1000,MATCH(TRUE(),EXACT(L251,IFERROR(_xlfn.TEXTBEFORE(FileList!$A$1:$A$1000,".tsv"),"")),0)),"notfound")</f>
        <v>10.1159%2F000155963_TableX.tsv</v>
      </c>
      <c r="N251" s="3" t="s">
        <v>767</v>
      </c>
    </row>
    <row r="252" spans="1:39" x14ac:dyDescent="0.2">
      <c r="A252" s="3" t="s">
        <v>782</v>
      </c>
      <c r="D252" s="3" t="s">
        <v>783</v>
      </c>
      <c r="E252" s="1" t="str">
        <f>RIGHT(A252,1)</f>
        <v>8</v>
      </c>
      <c r="F252" s="1" t="str">
        <f>G252 &amp; IF(H252&lt;&gt;"", "_" &amp; H252, "_") &amp; IF(I252&lt;&gt;"", "_" &amp; I252, "_") &amp; IF(B252&lt;&gt;"", "_" &amp; B252, "")</f>
        <v>Stimpson_etal_2015</v>
      </c>
      <c r="G252" s="1" t="str">
        <f>SUBSTITUTE(SUBSTITUTE(_xlfn.TEXTBEFORE(A252,","), "-", ""), " ", "")</f>
        <v>Stimpson</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_xlfn.TEXTBEFORE(_xlfn.TEXTAFTER(A252, "("), ")")</f>
        <v>2015</v>
      </c>
      <c r="J252" s="1" t="str">
        <f>_xlfn.LET(
_xlpm.doi,IF(C252&lt;&gt;"",C252,_xlfn.TEXTAFTER(A252,"https://doi.org/")),
SUBSTITUTE(
SUBSTITUTE(
SUBSTITUTE(
SUBSTITUTE(
_xlpm.doi,
"/","%2F"),
":","%3A"),
"&lt;","%3C"),
"&gt;","%3E")
)</f>
        <v>10.1093%2Fscan%2Fnsv128</v>
      </c>
      <c r="K252" s="1" t="str">
        <f>TRIM(_xlfn.TEXTJOIN("_",FALSE(),F252,(SUBSTITUTE(SUBSTITUTE(D252," ",""), "_", ""))))</f>
        <v>Stimpson_etal_2015_TableS1</v>
      </c>
      <c r="L252" s="1" t="str">
        <f>J252 &amp; "_" &amp; SUBSTITUTE(SUBSTITUTE(SUBSTITUTE(D252,CHAR(160),"")," ",""),"_","")</f>
        <v>10.1093%2Fscan%2Fnsv128_TableS1</v>
      </c>
      <c r="M252" s="1" t="str">
        <f t="array" ref="M252">IFERROR(INDEX(FileList!$A$1:$A$1000,MATCH(TRUE(),EXACT(L252,IFERROR(_xlfn.TEXTBEFORE(FileList!$A$1:$A$1000,".tsv"),"")),0)),"notfound")</f>
        <v>10.1093%2Fscan%2Fnsv128_TableS1.tsv</v>
      </c>
      <c r="N252" s="3" t="s">
        <v>783</v>
      </c>
      <c r="P252" s="3" t="s">
        <v>40</v>
      </c>
      <c r="V252" s="3" t="s">
        <v>41</v>
      </c>
      <c r="Y252" s="3" t="s">
        <v>679</v>
      </c>
      <c r="Z252" s="3" t="s">
        <v>679</v>
      </c>
      <c r="AF252" s="3" t="s">
        <v>79</v>
      </c>
      <c r="AG252" s="3" t="s">
        <v>111</v>
      </c>
      <c r="AL252" s="3" t="s">
        <v>62</v>
      </c>
      <c r="AM252" s="3" t="s">
        <v>84</v>
      </c>
    </row>
    <row r="253" spans="1:39" x14ac:dyDescent="0.2">
      <c r="A253" s="3" t="s">
        <v>782</v>
      </c>
      <c r="D253" s="3" t="s">
        <v>784</v>
      </c>
      <c r="E253" s="1" t="str">
        <f>RIGHT(A253,1)</f>
        <v>8</v>
      </c>
      <c r="F253" s="1" t="str">
        <f>G253 &amp; IF(H253&lt;&gt;"", "_" &amp; H253, "_") &amp; IF(I253&lt;&gt;"", "_" &amp; I253, "_") &amp; IF(B253&lt;&gt;"", "_" &amp; B253, "")</f>
        <v>Stimpson_etal_2015</v>
      </c>
      <c r="G253" s="1" t="str">
        <f>SUBSTITUTE(SUBSTITUTE(_xlfn.TEXTBEFORE(A253,","), "-", ""), " ", "")</f>
        <v>Stimpson</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_xlfn.TEXTBEFORE(_xlfn.TEXTAFTER(A253, "("), ")")</f>
        <v>2015</v>
      </c>
      <c r="J253" s="1" t="str">
        <f>_xlfn.LET(
_xlpm.doi,IF(C253&lt;&gt;"",C253,_xlfn.TEXTAFTER(A253,"https://doi.org/")),
SUBSTITUTE(
SUBSTITUTE(
SUBSTITUTE(
SUBSTITUTE(
_xlpm.doi,
"/","%2F"),
":","%3A"),
"&lt;","%3C"),
"&gt;","%3E")
)</f>
        <v>10.1093%2Fscan%2Fnsv128</v>
      </c>
      <c r="K253" s="1" t="str">
        <f>TRIM(_xlfn.TEXTJOIN("_",FALSE(),F253,(SUBSTITUTE(SUBSTITUTE(D253," ",""), "_", ""))))</f>
        <v>Stimpson_etal_2015_TableS2</v>
      </c>
      <c r="L253" s="1" t="str">
        <f>J253 &amp; "_" &amp; SUBSTITUTE(SUBSTITUTE(SUBSTITUTE(D253,CHAR(160),"")," ",""),"_","")</f>
        <v>10.1093%2Fscan%2Fnsv128_TableS2</v>
      </c>
      <c r="M253" s="1" t="str">
        <f t="array" ref="M253">IFERROR(INDEX(FileList!$A$1:$A$1000,MATCH(TRUE(),EXACT(L253,IFERROR(_xlfn.TEXTBEFORE(FileList!$A$1:$A$1000,".tsv"),"")),0)),"notfound")</f>
        <v>10.1093%2Fscan%2Fnsv128_TableS2.tsv</v>
      </c>
      <c r="N253" s="3" t="s">
        <v>784</v>
      </c>
      <c r="P253" s="3" t="s">
        <v>40</v>
      </c>
      <c r="V253" s="3" t="s">
        <v>41</v>
      </c>
      <c r="Y253" s="3" t="s">
        <v>679</v>
      </c>
      <c r="Z253" s="3" t="s">
        <v>679</v>
      </c>
      <c r="AF253" s="3" t="s">
        <v>79</v>
      </c>
      <c r="AG253" s="3" t="s">
        <v>111</v>
      </c>
      <c r="AL253" s="3" t="s">
        <v>62</v>
      </c>
      <c r="AM253" s="3" t="s">
        <v>84</v>
      </c>
    </row>
    <row r="254" spans="1:39" x14ac:dyDescent="0.2">
      <c r="A254" s="3" t="s">
        <v>785</v>
      </c>
      <c r="D254" s="3" t="s">
        <v>76</v>
      </c>
      <c r="E254" s="1" t="str">
        <f>RIGHT(A254,1)</f>
        <v>2</v>
      </c>
      <c r="F254" s="1" t="str">
        <f>G254 &amp; IF(H254&lt;&gt;"", "_" &amp; H254, "_") &amp; IF(I254&lt;&gt;"", "_" &amp; I254, "_") &amp; IF(B254&lt;&gt;"", "_" &amp; B254, "")</f>
        <v>Turner_etal_2016</v>
      </c>
      <c r="G254" s="1" t="str">
        <f>SUBSTITUTE(SUBSTITUTE(_xlfn.TEXTBEFORE(A254,","), "-", ""), " ", "")</f>
        <v>Turner</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_xlfn.TEXTBEFORE(_xlfn.TEXTAFTER(A254, "("), ")")</f>
        <v>2016</v>
      </c>
      <c r="J254" s="1" t="str">
        <f>_xlfn.LET(
_xlpm.doi,IF(C254&lt;&gt;"",C254,_xlfn.TEXTAFTER(A254,"https://doi.org/")),
SUBSTITUTE(
SUBSTITUTE(
SUBSTITUTE(
SUBSTITUTE(
_xlpm.doi,
"/","%2F"),
":","%3A"),
"&lt;","%3C"),
"&gt;","%3E")
)</f>
        <v>10.1159%2F000446762</v>
      </c>
      <c r="K254" s="1" t="str">
        <f>TRIM(_xlfn.TEXTJOIN("_",FALSE(),F254,(SUBSTITUTE(SUBSTITUTE(D254," ",""), "_", ""))))</f>
        <v>Turner_etal_2016_Table1</v>
      </c>
      <c r="L254" s="1" t="str">
        <f>J254 &amp; "_" &amp; SUBSTITUTE(SUBSTITUTE(SUBSTITUTE(D254,CHAR(160),"")," ",""),"_","")</f>
        <v>10.1159%2F000446762_Table1</v>
      </c>
      <c r="M254" s="1" t="str">
        <f t="array" ref="M254">IFERROR(INDEX(FileList!$A$1:$A$1000,MATCH(TRUE(),EXACT(L254,IFERROR(_xlfn.TEXTBEFORE(FileList!$A$1:$A$1000,".tsv"),"")),0)),"notfound")</f>
        <v>10.1159%2F000446762_Table1.tsv</v>
      </c>
      <c r="N254" s="3" t="s">
        <v>786</v>
      </c>
      <c r="AI254" s="3" t="s">
        <v>787</v>
      </c>
      <c r="AJ254" s="3" t="s">
        <v>139</v>
      </c>
      <c r="AL254" s="3" t="s">
        <v>62</v>
      </c>
      <c r="AM254" s="3" t="s">
        <v>126</v>
      </c>
    </row>
    <row r="255" spans="1:39" x14ac:dyDescent="0.2">
      <c r="A255" s="3" t="s">
        <v>788</v>
      </c>
      <c r="C255" s="3" t="s">
        <v>789</v>
      </c>
      <c r="D255" s="3" t="s">
        <v>790</v>
      </c>
      <c r="E255" s="1" t="str">
        <f>RIGHT(A255,1)</f>
        <v>.</v>
      </c>
      <c r="F255" s="1" t="str">
        <f>G255 &amp; IF(H255&lt;&gt;"", "_" &amp; H255, "_") &amp; IF(I255&lt;&gt;"", "_" &amp; I255, "_") &amp; IF(B255&lt;&gt;"", "_" &amp; B255, "")</f>
        <v>Weaver__2001</v>
      </c>
      <c r="G255" s="1" t="str">
        <f>SUBSTITUTE(SUBSTITUTE(_xlfn.TEXTBEFORE(A255,","), "-", ""), " ", "")</f>
        <v>Weaver</v>
      </c>
      <c r="H255" s="1"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
      </c>
      <c r="I255" s="1" t="str">
        <f>_xlfn.TEXTBEFORE(_xlfn.TEXTAFTER(A255, "("), ")")</f>
        <v>2001</v>
      </c>
      <c r="J255" s="1" t="str">
        <f>_xlfn.LET(
_xlpm.doi,IF(C255&lt;&gt;"",C255,_xlfn.TEXTAFTER(A255,"https://doi.org/")),
SUBSTITUTE(
SUBSTITUTE(
SUBSTITUTE(
SUBSTITUTE(
_xlpm.doi,
"/","%2F"),
":","%3A"),
"&lt;","%3C"),
"&gt;","%3E")
)</f>
        <v>UMI%3A3017523</v>
      </c>
      <c r="K255" s="1" t="str">
        <f>TRIM(_xlfn.TEXTJOIN("_",FALSE(),F255,(SUBSTITUTE(SUBSTITUTE(D255," ",""), "_", ""))))</f>
        <v>Weaver__2001_NotesforTableA-15</v>
      </c>
      <c r="L255" s="1" t="str">
        <f>J255 &amp; "_" &amp; SUBSTITUTE(SUBSTITUTE(SUBSTITUTE(D255,CHAR(160),"")," ",""),"_","")</f>
        <v>UMI%3A3017523_NotesforTableA-15</v>
      </c>
      <c r="M255" s="1" t="str">
        <f t="array" ref="M255">IFERROR(INDEX(FileList!$A$1:$A$1000,MATCH(TRUE(),EXACT(L255,IFERROR(_xlfn.TEXTBEFORE(FileList!$A$1:$A$1000,".tsv"),"")),0)),"notfound")</f>
        <v>UMI%3A3017523_NotesforTableA-15.tsv</v>
      </c>
      <c r="N255" s="3" t="s">
        <v>790</v>
      </c>
    </row>
    <row r="256" spans="1:39" x14ac:dyDescent="0.2">
      <c r="A256" s="3" t="s">
        <v>788</v>
      </c>
      <c r="C256" s="3" t="s">
        <v>789</v>
      </c>
      <c r="D256" s="3" t="s">
        <v>791</v>
      </c>
      <c r="E256" s="1" t="str">
        <f>RIGHT(A256,1)</f>
        <v>.</v>
      </c>
      <c r="F256" s="1" t="str">
        <f>G256 &amp; IF(H256&lt;&gt;"", "_" &amp; H256, "_") &amp; IF(I256&lt;&gt;"", "_" &amp; I256, "_") &amp; IF(B256&lt;&gt;"", "_" &amp; B256, "")</f>
        <v>Weaver__2001</v>
      </c>
      <c r="G256" s="1" t="str">
        <f>SUBSTITUTE(SUBSTITUTE(_xlfn.TEXTBEFORE(A256,","), "-", ""), " ", "")</f>
        <v>Weaver</v>
      </c>
      <c r="H256" s="1"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
      </c>
      <c r="I256" s="1" t="str">
        <f>_xlfn.TEXTBEFORE(_xlfn.TEXTAFTER(A256, "("), ")")</f>
        <v>2001</v>
      </c>
      <c r="J256" s="1" t="str">
        <f>_xlfn.LET(
_xlpm.doi,IF(C256&lt;&gt;"",C256,_xlfn.TEXTAFTER(A256,"https://doi.org/")),
SUBSTITUTE(
SUBSTITUTE(
SUBSTITUTE(
SUBSTITUTE(
_xlpm.doi,
"/","%2F"),
":","%3A"),
"&lt;","%3C"),
"&gt;","%3E")
)</f>
        <v>UMI%3A3017523</v>
      </c>
      <c r="K256" s="1" t="str">
        <f>TRIM(_xlfn.TEXTJOIN("_",FALSE(),F256,(SUBSTITUTE(SUBSTITUTE(D256," ",""), "_", ""))))</f>
        <v>Weaver__2001_TableA-15</v>
      </c>
      <c r="L256" s="1" t="str">
        <f>J256 &amp; "_" &amp; SUBSTITUTE(SUBSTITUTE(SUBSTITUTE(D256,CHAR(160),"")," ",""),"_","")</f>
        <v>UMI%3A3017523_TableA-15</v>
      </c>
      <c r="M256" s="1" t="str">
        <f t="array" ref="M256">IFERROR(INDEX(FileList!$A$1:$A$1000,MATCH(TRUE(),EXACT(L256,IFERROR(_xlfn.TEXTBEFORE(FileList!$A$1:$A$1000,".tsv"),"")),0)),"notfound")</f>
        <v>UMI%3A3017523_TableA-15.tsv</v>
      </c>
      <c r="N256" s="3" t="s">
        <v>792</v>
      </c>
    </row>
    <row r="257" spans="1:39" x14ac:dyDescent="0.2">
      <c r="A257" s="3" t="s">
        <v>788</v>
      </c>
      <c r="C257" s="3" t="s">
        <v>789</v>
      </c>
      <c r="D257" s="3" t="s">
        <v>824</v>
      </c>
      <c r="E257" s="1" t="str">
        <f>RIGHT(A257,1)</f>
        <v>.</v>
      </c>
      <c r="F257" s="1" t="str">
        <f>G257 &amp; IF(H257&lt;&gt;"", "_" &amp; H257, "_") &amp; IF(I257&lt;&gt;"", "_" &amp; I257, "_") &amp; IF(B257&lt;&gt;"", "_" &amp; B257, "")</f>
        <v>Weaver__2001</v>
      </c>
      <c r="G257" s="1" t="str">
        <f>SUBSTITUTE(SUBSTITUTE(_xlfn.TEXTBEFORE(A257,","), "-", ""), " ", "")</f>
        <v>Weaver</v>
      </c>
      <c r="H257" s="1"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
      </c>
      <c r="I257" s="1" t="str">
        <f>_xlfn.TEXTBEFORE(_xlfn.TEXTAFTER(A257, "("), ")")</f>
        <v>2001</v>
      </c>
      <c r="J257" s="1" t="str">
        <f>_xlfn.LET(
_xlpm.doi,IF(C257&lt;&gt;"",C257,_xlfn.TEXTAFTER(A257,"https://doi.org/")),
SUBSTITUTE(
SUBSTITUTE(
SUBSTITUTE(
SUBSTITUTE(
_xlpm.doi,
"/","%2F"),
":","%3A"),
"&lt;","%3C"),
"&gt;","%3E")
)</f>
        <v>UMI%3A3017523</v>
      </c>
      <c r="K257" s="1" t="str">
        <f>TRIM(_xlfn.TEXTJOIN("_",FALSE(),F257,(SUBSTITUTE(SUBSTITUTE(D257," ",""), "_", ""))))</f>
        <v>Weaver__2001_TableA-11</v>
      </c>
      <c r="L257" s="1" t="str">
        <f>J257 &amp; "_" &amp; SUBSTITUTE(SUBSTITUTE(SUBSTITUTE(D257,CHAR(160),"")," ",""),"_","")</f>
        <v>UMI%3A3017523_TableA-11</v>
      </c>
      <c r="M257" s="1" t="str">
        <f t="array" ref="M257">IFERROR(INDEX(FileList!$A$1:$A$1000,MATCH(TRUE(),EXACT(L257,IFERROR(_xlfn.TEXTBEFORE(FileList!$A$1:$A$1000,".tsv"),"")),0)),"notfound")</f>
        <v>UMI%3A3017523_TableA-11.tsv</v>
      </c>
      <c r="N257" s="3" t="s">
        <v>825</v>
      </c>
    </row>
    <row r="258" spans="1:39" x14ac:dyDescent="0.2">
      <c r="A258" s="3" t="s">
        <v>870</v>
      </c>
      <c r="C258" s="3"/>
      <c r="D258" s="3"/>
      <c r="E258" s="1" t="str">
        <f>RIGHT(A258,1)</f>
        <v>2</v>
      </c>
      <c r="F258" s="1" t="str">
        <f>G258 &amp; IF(H258&lt;&gt;"", "_" &amp; H258, "_") &amp; IF(I258&lt;&gt;"", "_" &amp; I258, "_") &amp; IF(B258&lt;&gt;"", "_" &amp; B258, "")</f>
        <v>Weaver__2005</v>
      </c>
      <c r="G258" s="1" t="str">
        <f>SUBSTITUTE(SUBSTITUTE(_xlfn.TEXTBEFORE(A258,","), "-", ""), " ", "")</f>
        <v>Weaver</v>
      </c>
      <c r="H258" s="1"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
      </c>
      <c r="I258" s="1" t="str">
        <f>_xlfn.TEXTBEFORE(_xlfn.TEXTAFTER(A258, "("), ")")</f>
        <v>2005</v>
      </c>
      <c r="J258" s="1" t="str">
        <f>_xlfn.LET(
_xlpm.doi,IF(C258&lt;&gt;"",C258,_xlfn.TEXTAFTER(A258,"https://doi.org/")),
SUBSTITUTE(
SUBSTITUTE(
SUBSTITUTE(
SUBSTITUTE(
_xlpm.doi,
"/","%2F"),
":","%3A"),
"&lt;","%3C"),
"&gt;","%3E")
)</f>
        <v>10.1073%2Fpnas.0500692102</v>
      </c>
      <c r="K258" s="1" t="str">
        <f>TRIM(_xlfn.TEXTJOIN("_",FALSE(),F258,(SUBSTITUTE(SUBSTITUTE(D258," ",""), "_", ""))))</f>
        <v>Weaver__2005_</v>
      </c>
      <c r="L258" s="1" t="str">
        <f>J258 &amp; "_" &amp; SUBSTITUTE(SUBSTITUTE(SUBSTITUTE(D258,CHAR(160),"")," ",""),"_","")</f>
        <v>10.1073%2Fpnas.0500692102_</v>
      </c>
      <c r="M258" s="1" t="str">
        <f t="array" ref="M258">IFERROR(INDEX(FileList!$A$1:$A$1000,MATCH(TRUE(),EXACT(L258,IFERROR(_xlfn.TEXTBEFORE(FileList!$A$1:$A$1000,".tsv"),"")),0)),"notfound")</f>
        <v>notfound</v>
      </c>
      <c r="N258" s="3"/>
      <c r="O258" s="4" t="s">
        <v>871</v>
      </c>
    </row>
    <row r="259" spans="1:39" x14ac:dyDescent="0.2">
      <c r="A259" s="3" t="s">
        <v>793</v>
      </c>
      <c r="D259" s="3" t="s">
        <v>794</v>
      </c>
      <c r="E259" s="1" t="str">
        <f>RIGHT(A259,1)</f>
        <v>1</v>
      </c>
      <c r="F259" s="1" t="str">
        <f>G259 &amp; IF(H259&lt;&gt;"", "_" &amp; H259, "_") &amp; IF(I259&lt;&gt;"", "_" &amp; I259, "_") &amp; IF(B259&lt;&gt;"", "_" &amp; B259, "")</f>
        <v>Wilman_etal_2014</v>
      </c>
      <c r="G259" s="1" t="str">
        <f>SUBSTITUTE(SUBSTITUTE(_xlfn.TEXTBEFORE(A259,","), "-", ""), " ", "")</f>
        <v>Wilman</v>
      </c>
      <c r="H259" s="1"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 t="str">
        <f>_xlfn.TEXTBEFORE(_xlfn.TEXTAFTER(A259, "("), ")")</f>
        <v>2014</v>
      </c>
      <c r="J259" s="1" t="str">
        <f>_xlfn.LET(
_xlpm.doi,IF(C259&lt;&gt;"",C259,_xlfn.TEXTAFTER(A259,"https://doi.org/")),
SUBSTITUTE(
SUBSTITUTE(
SUBSTITUTE(
SUBSTITUTE(
_xlpm.doi,
"/","%2F"),
":","%3A"),
"&lt;","%3C"),
"&gt;","%3E")
)</f>
        <v>10.1890%2F13-1917.1</v>
      </c>
      <c r="K259" s="1" t="str">
        <f>TRIM(_xlfn.TEXTJOIN("_",FALSE(),F259,(SUBSTITUTE(SUBSTITUTE(D259," ",""), "_", ""))))</f>
        <v>Wilman_etal_2014_MamFuncDat</v>
      </c>
      <c r="L259" s="1" t="str">
        <f>J259 &amp; "_" &amp; SUBSTITUTE(SUBSTITUTE(SUBSTITUTE(D259,CHAR(160),"")," ",""),"_","")</f>
        <v>10.1890%2F13-1917.1_MamFuncDat</v>
      </c>
      <c r="M259" s="1" t="str">
        <f t="array" ref="M259">IFERROR(INDEX(FileList!$A$1:$A$1000,MATCH(TRUE(),EXACT(L259,IFERROR(_xlfn.TEXTBEFORE(FileList!$A$1:$A$1000,".tsv"),"")),0)),"notfound")</f>
        <v>10.1890%2F13-1917.1_MamFuncDat.tsv</v>
      </c>
      <c r="AI259" s="3" t="s">
        <v>795</v>
      </c>
      <c r="AJ259" s="3" t="s">
        <v>139</v>
      </c>
      <c r="AL259" s="3" t="s">
        <v>140</v>
      </c>
      <c r="AM259" s="3" t="s">
        <v>796</v>
      </c>
    </row>
    <row r="260" spans="1:39" x14ac:dyDescent="0.2">
      <c r="A260" s="3" t="s">
        <v>797</v>
      </c>
      <c r="D260" s="3" t="s">
        <v>798</v>
      </c>
      <c r="E260" s="1" t="str">
        <f>RIGHT(A260,1)</f>
        <v>7</v>
      </c>
      <c r="F260" s="1" t="str">
        <f>G260 &amp; IF(H260&lt;&gt;"", "_" &amp; H260, "_") &amp; IF(I260&lt;&gt;"", "_" &amp; I260, "_") &amp; IF(B260&lt;&gt;"", "_" &amp; B260, "")</f>
        <v>Wimberly_etal_2021</v>
      </c>
      <c r="G260" s="1" t="str">
        <f>SUBSTITUTE(SUBSTITUTE(_xlfn.TEXTBEFORE(A260,","), "-", ""), " ", "")</f>
        <v>Wimberly</v>
      </c>
      <c r="H260" s="1"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1" t="str">
        <f>_xlfn.TEXTBEFORE(_xlfn.TEXTAFTER(A260, "("), ")")</f>
        <v>2021</v>
      </c>
      <c r="J260" s="1" t="str">
        <f>_xlfn.LET(
_xlpm.doi,IF(C260&lt;&gt;"",C260,_xlfn.TEXTAFTER(A260,"https://doi.org/")),
SUBSTITUTE(
SUBSTITUTE(
SUBSTITUTE(
SUBSTITUTE(
_xlpm.doi,
"/","%2F"),
":","%3A"),
"&lt;","%3C"),
"&gt;","%3E")
)</f>
        <v>10.1098%2Frspb.2021.0937</v>
      </c>
      <c r="K260" s="1" t="str">
        <f>TRIM(_xlfn.TEXTJOIN("_",FALSE(),F260,(SUBSTITUTE(SUBSTITUTE(D260," ",""), "_", ""))))</f>
        <v>Wimberly_etal_2021_MammalGait</v>
      </c>
      <c r="L260" s="1" t="str">
        <f>J260 &amp; "_" &amp; SUBSTITUTE(SUBSTITUTE(SUBSTITUTE(D260,CHAR(160),"")," ",""),"_","")</f>
        <v>10.1098%2Frspb.2021.0937_MammalGait</v>
      </c>
      <c r="M260" s="1" t="str">
        <f t="array" ref="M260">IFERROR(INDEX(FileList!$A$1:$A$1000,MATCH(TRUE(),EXACT(L260,IFERROR(_xlfn.TEXTBEFORE(FileList!$A$1:$A$1000,".tsv"),"")),0)),"notfound")</f>
        <v>10.1098%2Frspb.2021.0937_MammalGait.tsv</v>
      </c>
      <c r="P260" s="3" t="s">
        <v>334</v>
      </c>
      <c r="AJ260" s="3" t="s">
        <v>42</v>
      </c>
      <c r="AL260" s="3" t="s">
        <v>42</v>
      </c>
      <c r="AM260" s="3" t="s">
        <v>42</v>
      </c>
    </row>
    <row r="261" spans="1:39" x14ac:dyDescent="0.2">
      <c r="A261" s="3" t="s">
        <v>799</v>
      </c>
      <c r="D261" s="3" t="s">
        <v>800</v>
      </c>
      <c r="E261" s="1" t="str">
        <f>RIGHT(A261,1)</f>
        <v>5</v>
      </c>
      <c r="F261" s="1" t="str">
        <f>G261 &amp; IF(H261&lt;&gt;"", "_" &amp; H261, "_") &amp; IF(I261&lt;&gt;"", "_" &amp; I261, "_") &amp; IF(B261&lt;&gt;"", "_" &amp; B261, "")</f>
        <v>Winkler_Bryant_2021</v>
      </c>
      <c r="G261" s="1" t="str">
        <f>SUBSTITUTE(SUBSTITUTE(_xlfn.TEXTBEFORE(A261,","), "-", ""), " ", "")</f>
        <v>Winkler</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Bryant</v>
      </c>
      <c r="I261" s="1" t="str">
        <f>_xlfn.TEXTBEFORE(_xlfn.TEXTAFTER(A261, "("), ")")</f>
        <v>2021</v>
      </c>
      <c r="J261" s="1" t="str">
        <f>_xlfn.LET(
_xlpm.doi,IF(C261&lt;&gt;"",C261,_xlfn.TEXTAFTER(A261,"https://doi.org/")),
SUBSTITUTE(
SUBSTITUTE(
SUBSTITUTE(
SUBSTITUTE(
_xlpm.doi,
"/","%2F"),
":","%3A"),
"&lt;","%3C"),
"&gt;","%3E")
)</f>
        <v>10.1080%2F09524622.2021.1905065</v>
      </c>
      <c r="K261" s="1" t="str">
        <f>TRIM(_xlfn.TEXTJOIN("_",FALSE(),F261,(SUBSTITUTE(SUBSTITUTE(D261," ",""), "_", ""))))</f>
        <v>Winkler_Bryant_2021_Figure1</v>
      </c>
      <c r="L261" s="1" t="str">
        <f>J261 &amp; "_" &amp; SUBSTITUTE(SUBSTITUTE(SUBSTITUTE(D261,CHAR(160),"")," ",""),"_","")</f>
        <v>10.1080%2F09524622.2021.1905065_Figure1</v>
      </c>
      <c r="M261" s="1" t="str">
        <f t="array" ref="M261">IFERROR(INDEX(FileList!$A$1:$A$1000,MATCH(TRUE(),EXACT(L261,IFERROR(_xlfn.TEXTBEFORE(FileList!$A$1:$A$1000,".tsv"),"")),0)),"notfound")</f>
        <v>10.1080%2F09524622.2021.1905065_Figure1.tsv</v>
      </c>
      <c r="P261" s="3" t="s">
        <v>334</v>
      </c>
      <c r="Q261" s="3" t="s">
        <v>201</v>
      </c>
      <c r="T261" s="3" t="str">
        <f>IF(S261="N", R261, "write file name")</f>
        <v>write file name</v>
      </c>
      <c r="U261" s="3" t="s">
        <v>54</v>
      </c>
      <c r="V261" s="3" t="s">
        <v>801</v>
      </c>
      <c r="AH261" s="3" t="s">
        <v>137</v>
      </c>
      <c r="AI261" s="3" t="s">
        <v>802</v>
      </c>
      <c r="AJ261" s="3" t="s">
        <v>139</v>
      </c>
      <c r="AL261" s="3" t="s">
        <v>140</v>
      </c>
      <c r="AM261" s="3" t="s">
        <v>803</v>
      </c>
    </row>
    <row r="262" spans="1:39" x14ac:dyDescent="0.2">
      <c r="A262" s="3" t="s">
        <v>804</v>
      </c>
      <c r="D262" s="3" t="s">
        <v>76</v>
      </c>
      <c r="E262" s="1" t="str">
        <f>RIGHT(A262,1)</f>
        <v>0</v>
      </c>
      <c r="F262" s="1" t="str">
        <f>G262 &amp; IF(H262&lt;&gt;"", "_" &amp; H262, "_") &amp; IF(I262&lt;&gt;"", "_" &amp; I262, "_") &amp; IF(B262&lt;&gt;"", "_" &amp; B262, "")</f>
        <v>Young_etal_2013</v>
      </c>
      <c r="G262" s="1" t="str">
        <f>SUBSTITUTE(SUBSTITUTE(_xlfn.TEXTBEFORE(A262,","), "-", ""), " ", "")</f>
        <v>Young</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 t="str">
        <f>_xlfn.TEXTBEFORE(_xlfn.TEXTAFTER(A262, "("), ")")</f>
        <v>2013</v>
      </c>
      <c r="J262" s="1" t="str">
        <f>_xlfn.LET(
_xlpm.doi,IF(C262&lt;&gt;"",C262,_xlfn.TEXTAFTER(A262,"https://doi.org/")),
SUBSTITUTE(
SUBSTITUTE(
SUBSTITUTE(
SUBSTITUTE(
_xlpm.doi,
"/","%2F"),
":","%3A"),
"&lt;","%3C"),
"&gt;","%3E")
)</f>
        <v>10.3389%2Ffncir.2013.00030</v>
      </c>
      <c r="K262" s="1" t="str">
        <f>TRIM(_xlfn.TEXTJOIN("_",FALSE(),F262,(SUBSTITUTE(SUBSTITUTE(D262," ",""), "_", ""))))</f>
        <v>Young_etal_2013_Table1</v>
      </c>
      <c r="L262" s="1" t="str">
        <f>J262 &amp; "_" &amp; SUBSTITUTE(SUBSTITUTE(SUBSTITUTE(D262,CHAR(160),"")," ",""),"_","")</f>
        <v>10.3389%2Ffncir.2013.00030_Table1</v>
      </c>
      <c r="M262" s="1" t="str">
        <f t="array" ref="M262">IFERROR(INDEX(FileList!$A$1:$A$1000,MATCH(TRUE(),EXACT(L262,IFERROR(_xlfn.TEXTBEFORE(FileList!$A$1:$A$1000,".tsv"),"")),0)),"notfound")</f>
        <v>10.3389%2Ffncir.2013.00030_Table1.tsv</v>
      </c>
      <c r="P262" s="3" t="s">
        <v>687</v>
      </c>
      <c r="Q262" s="3" t="s">
        <v>201</v>
      </c>
      <c r="T262" s="3" t="str">
        <f>IF(S262="N", R262, "write file name")</f>
        <v>write file name</v>
      </c>
      <c r="U262" s="3" t="s">
        <v>54</v>
      </c>
      <c r="V262" s="3" t="s">
        <v>41</v>
      </c>
      <c r="AH262" s="3" t="s">
        <v>176</v>
      </c>
      <c r="AI262" s="3" t="s">
        <v>805</v>
      </c>
      <c r="AJ262" s="3" t="s">
        <v>117</v>
      </c>
      <c r="AK262" s="3" t="s">
        <v>62</v>
      </c>
      <c r="AL262" s="3" t="s">
        <v>62</v>
      </c>
      <c r="AM262" s="3" t="s">
        <v>806</v>
      </c>
    </row>
    <row r="263" spans="1:39" x14ac:dyDescent="0.2">
      <c r="A263" s="3" t="s">
        <v>807</v>
      </c>
      <c r="D263" s="3" t="s">
        <v>76</v>
      </c>
      <c r="E263" s="1" t="str">
        <f>RIGHT(A263,1)</f>
        <v>0</v>
      </c>
      <c r="F263" s="1" t="str">
        <f>G263 &amp; IF(H263&lt;&gt;"", "_" &amp; H263, "_") &amp; IF(I263&lt;&gt;"", "_" &amp; I263, "_") &amp; IF(B263&lt;&gt;"", "_" &amp; B263, "")</f>
        <v>Young_etal_2013</v>
      </c>
      <c r="G263" s="1" t="str">
        <f>SUBSTITUTE(SUBSTITUTE(_xlfn.TEXTBEFORE(A263,","), "-", ""), " ", "")</f>
        <v>Young</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_xlfn.TEXTBEFORE(_xlfn.TEXTAFTER(A263, "("), ")")</f>
        <v>2013</v>
      </c>
      <c r="J263" s="1" t="str">
        <f>_xlfn.LET(
_xlpm.doi,IF(C263&lt;&gt;"",C263,_xlfn.TEXTAFTER(A263,"https://doi.org/")),
SUBSTITUTE(
SUBSTITUTE(
SUBSTITUTE(
SUBSTITUTE(
_xlpm.doi,
"/","%2F"),
":","%3A"),
"&lt;","%3C"),
"&gt;","%3E")
)</f>
        <v>10.1073%2Fpnas.1318894110</v>
      </c>
      <c r="K263" s="1" t="str">
        <f>TRIM(_xlfn.TEXTJOIN("_",FALSE(),F263,(SUBSTITUTE(SUBSTITUTE(D263," ",""), "_", ""))))</f>
        <v>Young_etal_2013_Table1</v>
      </c>
      <c r="L263" s="1" t="str">
        <f>J263 &amp; "_" &amp; SUBSTITUTE(SUBSTITUTE(SUBSTITUTE(D263,CHAR(160),"")," ",""),"_","")</f>
        <v>10.1073%2Fpnas.1318894110_Table1</v>
      </c>
      <c r="M263" s="1" t="str">
        <f t="array" ref="M263">IFERROR(INDEX(FileList!$A$1:$A$1000,MATCH(TRUE(),EXACT(L263,IFERROR(_xlfn.TEXTBEFORE(FileList!$A$1:$A$1000,".tsv"),"")),0)),"notfound")</f>
        <v>10.1073%2Fpnas.1318894110_Table1.tsv</v>
      </c>
      <c r="N263" s="3" t="s">
        <v>808</v>
      </c>
      <c r="V263" s="3" t="s">
        <v>41</v>
      </c>
      <c r="Y263" s="3" t="s">
        <v>222</v>
      </c>
      <c r="AG263" s="3" t="s">
        <v>58</v>
      </c>
      <c r="AI263" s="3" t="s">
        <v>809</v>
      </c>
      <c r="AJ263" s="3" t="s">
        <v>810</v>
      </c>
      <c r="AK263" s="3" t="s">
        <v>62</v>
      </c>
      <c r="AL263" s="3" t="s">
        <v>62</v>
      </c>
      <c r="AM263" s="3" t="s">
        <v>811</v>
      </c>
    </row>
    <row r="264" spans="1:39" x14ac:dyDescent="0.2">
      <c r="A264" s="3" t="s">
        <v>812</v>
      </c>
      <c r="C264" s="3" t="s">
        <v>813</v>
      </c>
      <c r="D264" s="3" t="s">
        <v>814</v>
      </c>
      <c r="E264" s="1" t="str">
        <f>RIGHT(A264,1)</f>
        <v>s</v>
      </c>
      <c r="F264" s="1" t="str">
        <f>G264 &amp; IF(H264&lt;&gt;"", "_" &amp; H264, "_") &amp; IF(I264&lt;&gt;"", "_" &amp; I264, "_") &amp; IF(B264&lt;&gt;"", "_" &amp; B264, "")</f>
        <v>Zilles_Rehkämper_1988</v>
      </c>
      <c r="G264" s="1" t="str">
        <f>SUBSTITUTE(SUBSTITUTE(_xlfn.TEXTBEFORE(A264,","), "-", ""), " ", "")</f>
        <v>Zilles</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Rehkämper</v>
      </c>
      <c r="I264" s="1" t="str">
        <f>_xlfn.TEXTBEFORE(_xlfn.TEXTAFTER(A264, "("), ")")</f>
        <v>1988</v>
      </c>
      <c r="J264" s="1" t="str">
        <f>_xlfn.LET(
_xlpm.doi,IF(C264&lt;&gt;"",C264,_xlfn.TEXTAFTER(A264,"https://doi.org/")),
SUBSTITUTE(
SUBSTITUTE(
SUBSTITUTE(
SUBSTITUTE(
_xlpm.doi,
"/","%2F"),
":","%3A"),
"&lt;","%3C"),
"&gt;","%3E")
)</f>
        <v>ISBN%3A9780195043716</v>
      </c>
      <c r="K264" s="1" t="str">
        <f>TRIM(_xlfn.TEXTJOIN("_",FALSE(),F264,(SUBSTITUTE(SUBSTITUTE(D264," ",""), "_", ""))))</f>
        <v>Zilles_Rehkämper_1988_Table12-2</v>
      </c>
      <c r="L264" s="1" t="str">
        <f>J264 &amp; "_" &amp; SUBSTITUTE(SUBSTITUTE(SUBSTITUTE(D264,CHAR(160),"")," ",""),"_","")</f>
        <v>ISBN%3A9780195043716_Table12-2</v>
      </c>
      <c r="M264" s="1" t="str">
        <f t="array" ref="M264">IFERROR(INDEX(FileList!$A$1:$A$1000,MATCH(TRUE(),EXACT(L264,IFERROR(_xlfn.TEXTBEFORE(FileList!$A$1:$A$1000,".tsv"),"")),0)),"notfound")</f>
        <v>ISBN%3A9780195043716_Table12-2.tsv</v>
      </c>
      <c r="N264" s="3" t="s">
        <v>815</v>
      </c>
      <c r="Y264" s="3" t="s">
        <v>99</v>
      </c>
      <c r="Z264" s="3" t="s">
        <v>232</v>
      </c>
      <c r="AF264" s="3" t="s">
        <v>79</v>
      </c>
      <c r="AG264" s="3" t="s">
        <v>111</v>
      </c>
      <c r="AI264" s="3" t="s">
        <v>816</v>
      </c>
      <c r="AJ264" s="3" t="s">
        <v>817</v>
      </c>
      <c r="AL264" s="3" t="s">
        <v>62</v>
      </c>
      <c r="AM264" s="3" t="s">
        <v>84</v>
      </c>
    </row>
    <row r="265" spans="1:39" x14ac:dyDescent="0.2">
      <c r="A265" s="3" t="s">
        <v>818</v>
      </c>
      <c r="D265" s="3" t="s">
        <v>76</v>
      </c>
      <c r="E265" s="1" t="str">
        <f>RIGHT(A265,1)</f>
        <v>6</v>
      </c>
      <c r="F265" s="1" t="str">
        <f>G265 &amp; IF(H265&lt;&gt;"", "_" &amp; H265, "_") &amp; IF(I265&lt;&gt;"", "_" &amp; I265, "_") &amp; IF(B265&lt;&gt;"", "_" &amp; B265, "")</f>
        <v>Zilles_etal_2013</v>
      </c>
      <c r="G265" s="1" t="str">
        <f>SUBSTITUTE(SUBSTITUTE(_xlfn.TEXTBEFORE(A265,","), "-", ""), " ", "")</f>
        <v>Zilles</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_xlfn.TEXTBEFORE(_xlfn.TEXTAFTER(A265, "("), ")")</f>
        <v>2013</v>
      </c>
      <c r="J265" s="1" t="str">
        <f>_xlfn.LET(
_xlpm.doi,IF(C265&lt;&gt;"",C265,_xlfn.TEXTAFTER(A265,"https://doi.org/")),
SUBSTITUTE(
SUBSTITUTE(
SUBSTITUTE(
SUBSTITUTE(
_xlpm.doi,
"/","%2F"),
":","%3A"),
"&lt;","%3C"),
"&gt;","%3E")
)</f>
        <v>10.1016%2Fj.tins.2013.01.006</v>
      </c>
      <c r="K265" s="1" t="str">
        <f>TRIM(_xlfn.TEXTJOIN("_",FALSE(),F265,(SUBSTITUTE(SUBSTITUTE(D265," ",""), "_", ""))))</f>
        <v>Zilles_etal_2013_Table1</v>
      </c>
      <c r="L265" s="1" t="str">
        <f>J265 &amp; "_" &amp; SUBSTITUTE(SUBSTITUTE(SUBSTITUTE(D265,CHAR(160),"")," ",""),"_","")</f>
        <v>10.1016%2Fj.tins.2013.01.006_Table1</v>
      </c>
      <c r="M265" s="1" t="str">
        <f t="array" ref="M265">IFERROR(INDEX(FileList!$A$1:$A$1000,MATCH(TRUE(),EXACT(L265,IFERROR(_xlfn.TEXTBEFORE(FileList!$A$1:$A$1000,".tsv"),"")),0)),"notfound")</f>
        <v>10.1016%2Fj.tins.2013.01.006_Table1.tsv</v>
      </c>
      <c r="N265" s="3" t="s">
        <v>819</v>
      </c>
      <c r="V265" s="3" t="s">
        <v>41</v>
      </c>
      <c r="Y265" s="3" t="s">
        <v>78</v>
      </c>
      <c r="AG265" s="3" t="s">
        <v>42</v>
      </c>
      <c r="AI265" s="3" t="s">
        <v>820</v>
      </c>
      <c r="AJ265" s="3" t="s">
        <v>821</v>
      </c>
      <c r="AK265" s="3" t="s">
        <v>62</v>
      </c>
      <c r="AL265" s="3" t="s">
        <v>140</v>
      </c>
      <c r="AM265" s="3" t="s">
        <v>822</v>
      </c>
    </row>
    <row r="266" spans="1:39" x14ac:dyDescent="0.2">
      <c r="A266" s="3"/>
      <c r="D266" s="3"/>
      <c r="E266" s="1"/>
      <c r="F266" s="1"/>
      <c r="G266" s="1"/>
      <c r="H266" s="1"/>
      <c r="I266" s="1"/>
      <c r="J266" s="1"/>
      <c r="K266" s="1"/>
      <c r="L266" s="1"/>
      <c r="M266" s="1"/>
      <c r="AG266" s="3"/>
      <c r="AJ266" s="3"/>
      <c r="AL266" s="3"/>
      <c r="AM266" s="3"/>
    </row>
  </sheetData>
  <sortState xmlns:xlrd2="http://schemas.microsoft.com/office/spreadsheetml/2017/richdata2" ref="A2:AM266">
    <sortCondition ref="A266"/>
  </sortState>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8"/>
  <sheetViews>
    <sheetView workbookViewId="0"/>
  </sheetViews>
  <sheetFormatPr baseColWidth="10" defaultRowHeight="16" x14ac:dyDescent="0.2"/>
  <sheetData>
    <row r="1" spans="1:1" x14ac:dyDescent="0.2">
      <c r="A1" t="s">
        <v>877</v>
      </c>
    </row>
    <row r="2" spans="1:1" x14ac:dyDescent="0.2">
      <c r="A2" t="s">
        <v>878</v>
      </c>
    </row>
    <row r="3" spans="1:1" x14ac:dyDescent="0.2">
      <c r="A3" t="s">
        <v>879</v>
      </c>
    </row>
    <row r="4" spans="1:1" x14ac:dyDescent="0.2">
      <c r="A4" t="s">
        <v>880</v>
      </c>
    </row>
    <row r="5" spans="1:1" x14ac:dyDescent="0.2">
      <c r="A5" t="s">
        <v>881</v>
      </c>
    </row>
    <row r="6" spans="1:1" x14ac:dyDescent="0.2">
      <c r="A6" t="s">
        <v>882</v>
      </c>
    </row>
    <row r="7" spans="1:1" x14ac:dyDescent="0.2">
      <c r="A7" t="s">
        <v>883</v>
      </c>
    </row>
    <row r="8" spans="1:1" x14ac:dyDescent="0.2">
      <c r="A8" t="s">
        <v>884</v>
      </c>
    </row>
    <row r="9" spans="1:1" x14ac:dyDescent="0.2">
      <c r="A9" t="s">
        <v>885</v>
      </c>
    </row>
    <row r="10" spans="1:1" x14ac:dyDescent="0.2">
      <c r="A10" t="s">
        <v>886</v>
      </c>
    </row>
    <row r="11" spans="1:1" x14ac:dyDescent="0.2">
      <c r="A11" t="s">
        <v>887</v>
      </c>
    </row>
    <row r="12" spans="1:1" x14ac:dyDescent="0.2">
      <c r="A12" t="s">
        <v>888</v>
      </c>
    </row>
    <row r="13" spans="1:1" x14ac:dyDescent="0.2">
      <c r="A13" t="s">
        <v>889</v>
      </c>
    </row>
    <row r="14" spans="1:1" x14ac:dyDescent="0.2">
      <c r="A14" t="s">
        <v>890</v>
      </c>
    </row>
    <row r="15" spans="1:1" x14ac:dyDescent="0.2">
      <c r="A15" t="s">
        <v>891</v>
      </c>
    </row>
    <row r="16" spans="1:1" x14ac:dyDescent="0.2">
      <c r="A16" t="s">
        <v>892</v>
      </c>
    </row>
    <row r="17" spans="1:1" x14ac:dyDescent="0.2">
      <c r="A17" t="s">
        <v>893</v>
      </c>
    </row>
    <row r="18" spans="1:1" x14ac:dyDescent="0.2">
      <c r="A18" t="s">
        <v>894</v>
      </c>
    </row>
    <row r="19" spans="1:1" x14ac:dyDescent="0.2">
      <c r="A19" t="s">
        <v>895</v>
      </c>
    </row>
    <row r="20" spans="1:1" x14ac:dyDescent="0.2">
      <c r="A20" t="s">
        <v>896</v>
      </c>
    </row>
    <row r="21" spans="1:1" x14ac:dyDescent="0.2">
      <c r="A21" t="s">
        <v>897</v>
      </c>
    </row>
    <row r="22" spans="1:1" x14ac:dyDescent="0.2">
      <c r="A22" t="s">
        <v>898</v>
      </c>
    </row>
    <row r="23" spans="1:1" x14ac:dyDescent="0.2">
      <c r="A23" t="s">
        <v>899</v>
      </c>
    </row>
    <row r="24" spans="1:1" x14ac:dyDescent="0.2">
      <c r="A24" t="s">
        <v>900</v>
      </c>
    </row>
    <row r="25" spans="1:1" x14ac:dyDescent="0.2">
      <c r="A25" t="s">
        <v>901</v>
      </c>
    </row>
    <row r="26" spans="1:1" x14ac:dyDescent="0.2">
      <c r="A26" t="s">
        <v>902</v>
      </c>
    </row>
    <row r="27" spans="1:1" x14ac:dyDescent="0.2">
      <c r="A27" t="s">
        <v>903</v>
      </c>
    </row>
    <row r="28" spans="1:1" x14ac:dyDescent="0.2">
      <c r="A28" t="s">
        <v>904</v>
      </c>
    </row>
    <row r="29" spans="1:1" x14ac:dyDescent="0.2">
      <c r="A29" t="s">
        <v>905</v>
      </c>
    </row>
    <row r="30" spans="1:1" x14ac:dyDescent="0.2">
      <c r="A30" t="s">
        <v>906</v>
      </c>
    </row>
    <row r="31" spans="1:1" x14ac:dyDescent="0.2">
      <c r="A31" t="s">
        <v>907</v>
      </c>
    </row>
    <row r="32" spans="1:1" x14ac:dyDescent="0.2">
      <c r="A32" t="s">
        <v>908</v>
      </c>
    </row>
    <row r="33" spans="1:1" x14ac:dyDescent="0.2">
      <c r="A33" t="s">
        <v>909</v>
      </c>
    </row>
    <row r="34" spans="1:1" x14ac:dyDescent="0.2">
      <c r="A34" t="s">
        <v>910</v>
      </c>
    </row>
    <row r="35" spans="1:1" x14ac:dyDescent="0.2">
      <c r="A35" t="s">
        <v>911</v>
      </c>
    </row>
    <row r="36" spans="1:1" x14ac:dyDescent="0.2">
      <c r="A36" t="s">
        <v>912</v>
      </c>
    </row>
    <row r="37" spans="1:1" x14ac:dyDescent="0.2">
      <c r="A37" t="s">
        <v>913</v>
      </c>
    </row>
    <row r="38" spans="1:1" x14ac:dyDescent="0.2">
      <c r="A38" t="s">
        <v>914</v>
      </c>
    </row>
    <row r="39" spans="1:1" x14ac:dyDescent="0.2">
      <c r="A39" t="s">
        <v>915</v>
      </c>
    </row>
    <row r="40" spans="1:1" x14ac:dyDescent="0.2">
      <c r="A40" t="s">
        <v>916</v>
      </c>
    </row>
    <row r="41" spans="1:1" x14ac:dyDescent="0.2">
      <c r="A41" t="s">
        <v>917</v>
      </c>
    </row>
    <row r="42" spans="1:1" x14ac:dyDescent="0.2">
      <c r="A42" t="s">
        <v>918</v>
      </c>
    </row>
    <row r="43" spans="1:1" x14ac:dyDescent="0.2">
      <c r="A43" t="s">
        <v>919</v>
      </c>
    </row>
    <row r="44" spans="1:1" x14ac:dyDescent="0.2">
      <c r="A44" t="s">
        <v>920</v>
      </c>
    </row>
    <row r="45" spans="1:1" x14ac:dyDescent="0.2">
      <c r="A45" t="s">
        <v>921</v>
      </c>
    </row>
    <row r="46" spans="1:1" x14ac:dyDescent="0.2">
      <c r="A46" t="s">
        <v>922</v>
      </c>
    </row>
    <row r="47" spans="1:1" x14ac:dyDescent="0.2">
      <c r="A47" t="s">
        <v>923</v>
      </c>
    </row>
    <row r="48" spans="1:1" x14ac:dyDescent="0.2">
      <c r="A48" t="s">
        <v>924</v>
      </c>
    </row>
    <row r="49" spans="1:1" x14ac:dyDescent="0.2">
      <c r="A49" t="s">
        <v>925</v>
      </c>
    </row>
    <row r="50" spans="1:1" x14ac:dyDescent="0.2">
      <c r="A50" t="s">
        <v>926</v>
      </c>
    </row>
    <row r="51" spans="1:1" x14ac:dyDescent="0.2">
      <c r="A51" t="s">
        <v>927</v>
      </c>
    </row>
    <row r="52" spans="1:1" x14ac:dyDescent="0.2">
      <c r="A52" t="s">
        <v>928</v>
      </c>
    </row>
    <row r="53" spans="1:1" x14ac:dyDescent="0.2">
      <c r="A53" t="s">
        <v>929</v>
      </c>
    </row>
    <row r="54" spans="1:1" x14ac:dyDescent="0.2">
      <c r="A54" t="s">
        <v>930</v>
      </c>
    </row>
    <row r="55" spans="1:1" x14ac:dyDescent="0.2">
      <c r="A55" t="s">
        <v>931</v>
      </c>
    </row>
    <row r="56" spans="1:1" x14ac:dyDescent="0.2">
      <c r="A56" t="s">
        <v>932</v>
      </c>
    </row>
    <row r="57" spans="1:1" x14ac:dyDescent="0.2">
      <c r="A57" t="s">
        <v>933</v>
      </c>
    </row>
    <row r="58" spans="1:1" x14ac:dyDescent="0.2">
      <c r="A58" t="s">
        <v>934</v>
      </c>
    </row>
    <row r="59" spans="1:1" x14ac:dyDescent="0.2">
      <c r="A59" t="s">
        <v>935</v>
      </c>
    </row>
    <row r="60" spans="1:1" x14ac:dyDescent="0.2">
      <c r="A60" t="s">
        <v>936</v>
      </c>
    </row>
    <row r="61" spans="1:1" x14ac:dyDescent="0.2">
      <c r="A61" t="s">
        <v>937</v>
      </c>
    </row>
    <row r="62" spans="1:1" x14ac:dyDescent="0.2">
      <c r="A62" t="s">
        <v>938</v>
      </c>
    </row>
    <row r="63" spans="1:1" x14ac:dyDescent="0.2">
      <c r="A63" t="s">
        <v>939</v>
      </c>
    </row>
    <row r="64" spans="1:1" x14ac:dyDescent="0.2">
      <c r="A64" t="s">
        <v>940</v>
      </c>
    </row>
    <row r="65" spans="1:1" x14ac:dyDescent="0.2">
      <c r="A65" t="s">
        <v>941</v>
      </c>
    </row>
    <row r="66" spans="1:1" x14ac:dyDescent="0.2">
      <c r="A66" t="s">
        <v>942</v>
      </c>
    </row>
    <row r="67" spans="1:1" x14ac:dyDescent="0.2">
      <c r="A67" t="s">
        <v>943</v>
      </c>
    </row>
    <row r="68" spans="1:1" x14ac:dyDescent="0.2">
      <c r="A68" t="s">
        <v>944</v>
      </c>
    </row>
    <row r="69" spans="1:1" x14ac:dyDescent="0.2">
      <c r="A69" t="s">
        <v>945</v>
      </c>
    </row>
    <row r="70" spans="1:1" x14ac:dyDescent="0.2">
      <c r="A70" t="s">
        <v>946</v>
      </c>
    </row>
    <row r="71" spans="1:1" x14ac:dyDescent="0.2">
      <c r="A71" t="s">
        <v>947</v>
      </c>
    </row>
    <row r="72" spans="1:1" x14ac:dyDescent="0.2">
      <c r="A72" t="s">
        <v>948</v>
      </c>
    </row>
    <row r="73" spans="1:1" x14ac:dyDescent="0.2">
      <c r="A73" t="s">
        <v>949</v>
      </c>
    </row>
    <row r="74" spans="1:1" x14ac:dyDescent="0.2">
      <c r="A74" t="s">
        <v>950</v>
      </c>
    </row>
    <row r="75" spans="1:1" x14ac:dyDescent="0.2">
      <c r="A75" t="s">
        <v>951</v>
      </c>
    </row>
    <row r="76" spans="1:1" x14ac:dyDescent="0.2">
      <c r="A76" t="s">
        <v>952</v>
      </c>
    </row>
    <row r="77" spans="1:1" x14ac:dyDescent="0.2">
      <c r="A77" t="s">
        <v>953</v>
      </c>
    </row>
    <row r="78" spans="1:1" x14ac:dyDescent="0.2">
      <c r="A78" t="s">
        <v>954</v>
      </c>
    </row>
    <row r="79" spans="1:1" x14ac:dyDescent="0.2">
      <c r="A79" t="s">
        <v>955</v>
      </c>
    </row>
    <row r="80" spans="1:1" x14ac:dyDescent="0.2">
      <c r="A80" t="s">
        <v>956</v>
      </c>
    </row>
    <row r="81" spans="1:1" x14ac:dyDescent="0.2">
      <c r="A81" t="s">
        <v>957</v>
      </c>
    </row>
    <row r="82" spans="1:1" x14ac:dyDescent="0.2">
      <c r="A82" t="s">
        <v>958</v>
      </c>
    </row>
    <row r="83" spans="1:1" x14ac:dyDescent="0.2">
      <c r="A83" t="s">
        <v>959</v>
      </c>
    </row>
    <row r="84" spans="1:1" x14ac:dyDescent="0.2">
      <c r="A84" t="s">
        <v>960</v>
      </c>
    </row>
    <row r="85" spans="1:1" x14ac:dyDescent="0.2">
      <c r="A85" t="s">
        <v>961</v>
      </c>
    </row>
    <row r="86" spans="1:1" x14ac:dyDescent="0.2">
      <c r="A86" t="s">
        <v>962</v>
      </c>
    </row>
    <row r="87" spans="1:1" x14ac:dyDescent="0.2">
      <c r="A87" t="s">
        <v>963</v>
      </c>
    </row>
    <row r="88" spans="1:1" x14ac:dyDescent="0.2">
      <c r="A88" t="s">
        <v>964</v>
      </c>
    </row>
    <row r="89" spans="1:1" x14ac:dyDescent="0.2">
      <c r="A89" t="s">
        <v>965</v>
      </c>
    </row>
    <row r="90" spans="1:1" x14ac:dyDescent="0.2">
      <c r="A90" t="s">
        <v>966</v>
      </c>
    </row>
    <row r="91" spans="1:1" x14ac:dyDescent="0.2">
      <c r="A91" t="s">
        <v>967</v>
      </c>
    </row>
    <row r="92" spans="1:1" x14ac:dyDescent="0.2">
      <c r="A92" t="s">
        <v>968</v>
      </c>
    </row>
    <row r="93" spans="1:1" x14ac:dyDescent="0.2">
      <c r="A93" t="s">
        <v>969</v>
      </c>
    </row>
    <row r="94" spans="1:1" x14ac:dyDescent="0.2">
      <c r="A94" t="s">
        <v>970</v>
      </c>
    </row>
    <row r="95" spans="1:1" x14ac:dyDescent="0.2">
      <c r="A95" t="s">
        <v>971</v>
      </c>
    </row>
    <row r="96" spans="1:1" x14ac:dyDescent="0.2">
      <c r="A96" t="s">
        <v>972</v>
      </c>
    </row>
    <row r="97" spans="1:1" x14ac:dyDescent="0.2">
      <c r="A97" t="s">
        <v>973</v>
      </c>
    </row>
    <row r="98" spans="1:1" x14ac:dyDescent="0.2">
      <c r="A98" t="s">
        <v>974</v>
      </c>
    </row>
    <row r="99" spans="1:1" x14ac:dyDescent="0.2">
      <c r="A99" t="s">
        <v>975</v>
      </c>
    </row>
    <row r="100" spans="1:1" x14ac:dyDescent="0.2">
      <c r="A100" t="s">
        <v>976</v>
      </c>
    </row>
    <row r="101" spans="1:1" x14ac:dyDescent="0.2">
      <c r="A101" t="s">
        <v>977</v>
      </c>
    </row>
    <row r="102" spans="1:1" x14ac:dyDescent="0.2">
      <c r="A102" t="s">
        <v>978</v>
      </c>
    </row>
    <row r="103" spans="1:1" x14ac:dyDescent="0.2">
      <c r="A103" t="s">
        <v>979</v>
      </c>
    </row>
    <row r="104" spans="1:1" x14ac:dyDescent="0.2">
      <c r="A104" t="s">
        <v>980</v>
      </c>
    </row>
    <row r="105" spans="1:1" x14ac:dyDescent="0.2">
      <c r="A105" t="s">
        <v>981</v>
      </c>
    </row>
    <row r="106" spans="1:1" x14ac:dyDescent="0.2">
      <c r="A106" t="s">
        <v>982</v>
      </c>
    </row>
    <row r="107" spans="1:1" x14ac:dyDescent="0.2">
      <c r="A107" t="s">
        <v>983</v>
      </c>
    </row>
    <row r="108" spans="1:1" x14ac:dyDescent="0.2">
      <c r="A108" t="s">
        <v>984</v>
      </c>
    </row>
    <row r="109" spans="1:1" x14ac:dyDescent="0.2">
      <c r="A109" t="s">
        <v>985</v>
      </c>
    </row>
    <row r="110" spans="1:1" x14ac:dyDescent="0.2">
      <c r="A110" t="s">
        <v>986</v>
      </c>
    </row>
    <row r="111" spans="1:1" x14ac:dyDescent="0.2">
      <c r="A111" t="s">
        <v>987</v>
      </c>
    </row>
    <row r="112" spans="1:1" x14ac:dyDescent="0.2">
      <c r="A112" t="s">
        <v>988</v>
      </c>
    </row>
    <row r="113" spans="1:1" x14ac:dyDescent="0.2">
      <c r="A113" t="s">
        <v>989</v>
      </c>
    </row>
    <row r="114" spans="1:1" x14ac:dyDescent="0.2">
      <c r="A114" t="s">
        <v>990</v>
      </c>
    </row>
    <row r="115" spans="1:1" x14ac:dyDescent="0.2">
      <c r="A115" t="s">
        <v>991</v>
      </c>
    </row>
    <row r="116" spans="1:1" x14ac:dyDescent="0.2">
      <c r="A116" t="s">
        <v>992</v>
      </c>
    </row>
    <row r="117" spans="1:1" x14ac:dyDescent="0.2">
      <c r="A117" t="s">
        <v>993</v>
      </c>
    </row>
    <row r="118" spans="1:1" x14ac:dyDescent="0.2">
      <c r="A118" t="s">
        <v>994</v>
      </c>
    </row>
    <row r="119" spans="1:1" x14ac:dyDescent="0.2">
      <c r="A119" t="s">
        <v>995</v>
      </c>
    </row>
    <row r="120" spans="1:1" x14ac:dyDescent="0.2">
      <c r="A120" t="s">
        <v>996</v>
      </c>
    </row>
    <row r="121" spans="1:1" x14ac:dyDescent="0.2">
      <c r="A121" t="s">
        <v>997</v>
      </c>
    </row>
    <row r="122" spans="1:1" x14ac:dyDescent="0.2">
      <c r="A122" t="s">
        <v>998</v>
      </c>
    </row>
    <row r="123" spans="1:1" x14ac:dyDescent="0.2">
      <c r="A123" t="s">
        <v>999</v>
      </c>
    </row>
    <row r="124" spans="1:1" x14ac:dyDescent="0.2">
      <c r="A124" t="s">
        <v>1000</v>
      </c>
    </row>
    <row r="125" spans="1:1" x14ac:dyDescent="0.2">
      <c r="A125" t="s">
        <v>1001</v>
      </c>
    </row>
    <row r="126" spans="1:1" x14ac:dyDescent="0.2">
      <c r="A126" t="s">
        <v>1002</v>
      </c>
    </row>
    <row r="127" spans="1:1" x14ac:dyDescent="0.2">
      <c r="A127" t="s">
        <v>1003</v>
      </c>
    </row>
    <row r="128" spans="1:1" x14ac:dyDescent="0.2">
      <c r="A128" t="s">
        <v>1004</v>
      </c>
    </row>
    <row r="129" spans="1:1" x14ac:dyDescent="0.2">
      <c r="A129" t="s">
        <v>1005</v>
      </c>
    </row>
    <row r="130" spans="1:1" x14ac:dyDescent="0.2">
      <c r="A130" t="s">
        <v>1006</v>
      </c>
    </row>
    <row r="131" spans="1:1" x14ac:dyDescent="0.2">
      <c r="A131" t="s">
        <v>1007</v>
      </c>
    </row>
    <row r="132" spans="1:1" x14ac:dyDescent="0.2">
      <c r="A132" t="s">
        <v>1008</v>
      </c>
    </row>
    <row r="133" spans="1:1" x14ac:dyDescent="0.2">
      <c r="A133" t="s">
        <v>1009</v>
      </c>
    </row>
    <row r="134" spans="1:1" x14ac:dyDescent="0.2">
      <c r="A134" t="s">
        <v>1010</v>
      </c>
    </row>
    <row r="135" spans="1:1" x14ac:dyDescent="0.2">
      <c r="A135" t="s">
        <v>1011</v>
      </c>
    </row>
    <row r="136" spans="1:1" x14ac:dyDescent="0.2">
      <c r="A136" t="s">
        <v>1012</v>
      </c>
    </row>
    <row r="137" spans="1:1" x14ac:dyDescent="0.2">
      <c r="A137" t="s">
        <v>1013</v>
      </c>
    </row>
    <row r="138" spans="1:1" x14ac:dyDescent="0.2">
      <c r="A138" t="s">
        <v>1014</v>
      </c>
    </row>
    <row r="139" spans="1:1" x14ac:dyDescent="0.2">
      <c r="A139" t="s">
        <v>1015</v>
      </c>
    </row>
    <row r="140" spans="1:1" x14ac:dyDescent="0.2">
      <c r="A140" t="s">
        <v>1016</v>
      </c>
    </row>
    <row r="141" spans="1:1" x14ac:dyDescent="0.2">
      <c r="A141" t="s">
        <v>1017</v>
      </c>
    </row>
    <row r="142" spans="1:1" x14ac:dyDescent="0.2">
      <c r="A142" t="s">
        <v>1018</v>
      </c>
    </row>
    <row r="143" spans="1:1" x14ac:dyDescent="0.2">
      <c r="A143" t="s">
        <v>1019</v>
      </c>
    </row>
    <row r="144" spans="1:1" x14ac:dyDescent="0.2">
      <c r="A144" t="s">
        <v>1020</v>
      </c>
    </row>
    <row r="145" spans="1:1" x14ac:dyDescent="0.2">
      <c r="A145" t="s">
        <v>1021</v>
      </c>
    </row>
    <row r="146" spans="1:1" x14ac:dyDescent="0.2">
      <c r="A146" t="s">
        <v>1022</v>
      </c>
    </row>
    <row r="147" spans="1:1" x14ac:dyDescent="0.2">
      <c r="A147" t="s">
        <v>1023</v>
      </c>
    </row>
    <row r="148" spans="1:1" x14ac:dyDescent="0.2">
      <c r="A148" t="s">
        <v>1024</v>
      </c>
    </row>
    <row r="149" spans="1:1" x14ac:dyDescent="0.2">
      <c r="A149" t="s">
        <v>1025</v>
      </c>
    </row>
    <row r="150" spans="1:1" x14ac:dyDescent="0.2">
      <c r="A150" t="s">
        <v>1026</v>
      </c>
    </row>
    <row r="151" spans="1:1" x14ac:dyDescent="0.2">
      <c r="A151" t="s">
        <v>1027</v>
      </c>
    </row>
    <row r="152" spans="1:1" x14ac:dyDescent="0.2">
      <c r="A152" t="s">
        <v>1028</v>
      </c>
    </row>
    <row r="153" spans="1:1" x14ac:dyDescent="0.2">
      <c r="A153" t="s">
        <v>1029</v>
      </c>
    </row>
    <row r="154" spans="1:1" x14ac:dyDescent="0.2">
      <c r="A154" t="s">
        <v>1030</v>
      </c>
    </row>
    <row r="155" spans="1:1" x14ac:dyDescent="0.2">
      <c r="A155" t="s">
        <v>1031</v>
      </c>
    </row>
    <row r="156" spans="1:1" x14ac:dyDescent="0.2">
      <c r="A156" t="s">
        <v>1032</v>
      </c>
    </row>
    <row r="157" spans="1:1" x14ac:dyDescent="0.2">
      <c r="A157" t="s">
        <v>1033</v>
      </c>
    </row>
    <row r="158" spans="1:1" x14ac:dyDescent="0.2">
      <c r="A158" t="s">
        <v>1034</v>
      </c>
    </row>
    <row r="159" spans="1:1" x14ac:dyDescent="0.2">
      <c r="A159" t="s">
        <v>1035</v>
      </c>
    </row>
    <row r="160" spans="1:1" x14ac:dyDescent="0.2">
      <c r="A160" t="s">
        <v>1036</v>
      </c>
    </row>
    <row r="161" spans="1:1" x14ac:dyDescent="0.2">
      <c r="A161" t="s">
        <v>1037</v>
      </c>
    </row>
    <row r="162" spans="1:1" x14ac:dyDescent="0.2">
      <c r="A162" t="s">
        <v>1038</v>
      </c>
    </row>
    <row r="163" spans="1:1" x14ac:dyDescent="0.2">
      <c r="A163" t="s">
        <v>1039</v>
      </c>
    </row>
    <row r="164" spans="1:1" x14ac:dyDescent="0.2">
      <c r="A164" t="s">
        <v>1040</v>
      </c>
    </row>
    <row r="165" spans="1:1" x14ac:dyDescent="0.2">
      <c r="A165" t="s">
        <v>1041</v>
      </c>
    </row>
    <row r="166" spans="1:1" x14ac:dyDescent="0.2">
      <c r="A166" t="s">
        <v>1042</v>
      </c>
    </row>
    <row r="167" spans="1:1" x14ac:dyDescent="0.2">
      <c r="A167" t="s">
        <v>1043</v>
      </c>
    </row>
    <row r="168" spans="1:1" x14ac:dyDescent="0.2">
      <c r="A168" t="s">
        <v>1044</v>
      </c>
    </row>
    <row r="169" spans="1:1" x14ac:dyDescent="0.2">
      <c r="A169" t="s">
        <v>1045</v>
      </c>
    </row>
    <row r="170" spans="1:1" x14ac:dyDescent="0.2">
      <c r="A170" t="s">
        <v>1046</v>
      </c>
    </row>
    <row r="171" spans="1:1" x14ac:dyDescent="0.2">
      <c r="A171" t="s">
        <v>1047</v>
      </c>
    </row>
    <row r="172" spans="1:1" x14ac:dyDescent="0.2">
      <c r="A172" t="s">
        <v>1048</v>
      </c>
    </row>
    <row r="173" spans="1:1" x14ac:dyDescent="0.2">
      <c r="A173" t="s">
        <v>1049</v>
      </c>
    </row>
    <row r="174" spans="1:1" x14ac:dyDescent="0.2">
      <c r="A174" t="s">
        <v>1050</v>
      </c>
    </row>
    <row r="175" spans="1:1" x14ac:dyDescent="0.2">
      <c r="A175" t="s">
        <v>1051</v>
      </c>
    </row>
    <row r="176" spans="1:1" x14ac:dyDescent="0.2">
      <c r="A176" t="s">
        <v>1052</v>
      </c>
    </row>
    <row r="177" spans="1:1" x14ac:dyDescent="0.2">
      <c r="A177" t="s">
        <v>1053</v>
      </c>
    </row>
    <row r="178" spans="1:1" x14ac:dyDescent="0.2">
      <c r="A178" t="s">
        <v>1054</v>
      </c>
    </row>
    <row r="179" spans="1:1" x14ac:dyDescent="0.2">
      <c r="A179" t="s">
        <v>1055</v>
      </c>
    </row>
    <row r="180" spans="1:1" x14ac:dyDescent="0.2">
      <c r="A180" t="s">
        <v>1056</v>
      </c>
    </row>
    <row r="181" spans="1:1" x14ac:dyDescent="0.2">
      <c r="A181" t="s">
        <v>1057</v>
      </c>
    </row>
    <row r="182" spans="1:1" x14ac:dyDescent="0.2">
      <c r="A182" t="s">
        <v>1058</v>
      </c>
    </row>
    <row r="183" spans="1:1" x14ac:dyDescent="0.2">
      <c r="A183" t="s">
        <v>1059</v>
      </c>
    </row>
    <row r="184" spans="1:1" x14ac:dyDescent="0.2">
      <c r="A184" t="s">
        <v>1060</v>
      </c>
    </row>
    <row r="185" spans="1:1" x14ac:dyDescent="0.2">
      <c r="A185" t="s">
        <v>1061</v>
      </c>
    </row>
    <row r="186" spans="1:1" x14ac:dyDescent="0.2">
      <c r="A186" t="s">
        <v>1062</v>
      </c>
    </row>
    <row r="187" spans="1:1" x14ac:dyDescent="0.2">
      <c r="A187" t="s">
        <v>1063</v>
      </c>
    </row>
    <row r="188" spans="1:1" x14ac:dyDescent="0.2">
      <c r="A188" t="s">
        <v>1064</v>
      </c>
    </row>
    <row r="189" spans="1:1" x14ac:dyDescent="0.2">
      <c r="A189" t="s">
        <v>1065</v>
      </c>
    </row>
    <row r="190" spans="1:1" x14ac:dyDescent="0.2">
      <c r="A190" t="s">
        <v>1066</v>
      </c>
    </row>
    <row r="191" spans="1:1" x14ac:dyDescent="0.2">
      <c r="A191" t="s">
        <v>1067</v>
      </c>
    </row>
    <row r="192" spans="1:1" x14ac:dyDescent="0.2">
      <c r="A192" t="s">
        <v>1068</v>
      </c>
    </row>
    <row r="193" spans="1:1" x14ac:dyDescent="0.2">
      <c r="A193" t="s">
        <v>1069</v>
      </c>
    </row>
    <row r="194" spans="1:1" x14ac:dyDescent="0.2">
      <c r="A194" t="s">
        <v>1070</v>
      </c>
    </row>
    <row r="195" spans="1:1" x14ac:dyDescent="0.2">
      <c r="A195" t="s">
        <v>1071</v>
      </c>
    </row>
    <row r="196" spans="1:1" x14ac:dyDescent="0.2">
      <c r="A196" t="s">
        <v>1072</v>
      </c>
    </row>
    <row r="197" spans="1:1" x14ac:dyDescent="0.2">
      <c r="A197" t="s">
        <v>1073</v>
      </c>
    </row>
    <row r="198" spans="1:1" x14ac:dyDescent="0.2">
      <c r="A198" t="s">
        <v>1074</v>
      </c>
    </row>
    <row r="199" spans="1:1" x14ac:dyDescent="0.2">
      <c r="A199" t="s">
        <v>1075</v>
      </c>
    </row>
    <row r="200" spans="1:1" x14ac:dyDescent="0.2">
      <c r="A200" t="s">
        <v>1076</v>
      </c>
    </row>
    <row r="201" spans="1:1" x14ac:dyDescent="0.2">
      <c r="A201" t="s">
        <v>1077</v>
      </c>
    </row>
    <row r="202" spans="1:1" x14ac:dyDescent="0.2">
      <c r="A202" t="s">
        <v>1078</v>
      </c>
    </row>
    <row r="203" spans="1:1" x14ac:dyDescent="0.2">
      <c r="A203" t="s">
        <v>1079</v>
      </c>
    </row>
    <row r="204" spans="1:1" x14ac:dyDescent="0.2">
      <c r="A204" t="s">
        <v>1080</v>
      </c>
    </row>
    <row r="205" spans="1:1" x14ac:dyDescent="0.2">
      <c r="A205" t="s">
        <v>1081</v>
      </c>
    </row>
    <row r="206" spans="1:1" x14ac:dyDescent="0.2">
      <c r="A206" t="s">
        <v>1082</v>
      </c>
    </row>
    <row r="207" spans="1:1" x14ac:dyDescent="0.2">
      <c r="A207" t="s">
        <v>1083</v>
      </c>
    </row>
    <row r="208" spans="1:1" x14ac:dyDescent="0.2">
      <c r="A208" t="s">
        <v>1084</v>
      </c>
    </row>
    <row r="209" spans="1:1" x14ac:dyDescent="0.2">
      <c r="A209" t="s">
        <v>1085</v>
      </c>
    </row>
    <row r="210" spans="1:1" x14ac:dyDescent="0.2">
      <c r="A210" t="s">
        <v>1086</v>
      </c>
    </row>
    <row r="211" spans="1:1" x14ac:dyDescent="0.2">
      <c r="A211" t="s">
        <v>1087</v>
      </c>
    </row>
    <row r="212" spans="1:1" x14ac:dyDescent="0.2">
      <c r="A212" t="s">
        <v>1088</v>
      </c>
    </row>
    <row r="213" spans="1:1" x14ac:dyDescent="0.2">
      <c r="A213" t="s">
        <v>1089</v>
      </c>
    </row>
    <row r="214" spans="1:1" x14ac:dyDescent="0.2">
      <c r="A214" t="s">
        <v>1090</v>
      </c>
    </row>
    <row r="215" spans="1:1" x14ac:dyDescent="0.2">
      <c r="A215" t="s">
        <v>1091</v>
      </c>
    </row>
    <row r="216" spans="1:1" x14ac:dyDescent="0.2">
      <c r="A216" t="s">
        <v>1092</v>
      </c>
    </row>
    <row r="217" spans="1:1" x14ac:dyDescent="0.2">
      <c r="A217" t="s">
        <v>1093</v>
      </c>
    </row>
    <row r="218" spans="1:1" x14ac:dyDescent="0.2">
      <c r="A218" t="s">
        <v>1094</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43041A-0505-4966-B06B-E71F0071B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A2ADB5-A324-48E4-8DDA-A13F2959E387}">
  <ds:schemaRefs>
    <ds:schemaRef ds:uri="http://schemas.microsoft.com/office/2006/documentManagement/types"/>
    <ds:schemaRef ds:uri="http://purl.org/dc/terms/"/>
    <ds:schemaRef ds:uri="8e1efd23-f4ba-42d2-85fd-6a510437bae6"/>
    <ds:schemaRef ds:uri="http://purl.org/dc/elements/1.1/"/>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3bad6c6a-329d-45e9-b8b0-1ebecc8a8764"/>
  </ds:schemaRefs>
</ds:datastoreItem>
</file>

<file path=customXml/itemProps3.xml><?xml version="1.0" encoding="utf-8"?>
<ds:datastoreItem xmlns:ds="http://schemas.openxmlformats.org/officeDocument/2006/customXml" ds:itemID="{6FB662B5-615B-46F7-9186-E6A01D2225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2026-08-06T18:03:54Z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