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4"/>
  <workbookPr/>
  <mc:AlternateContent xmlns:mc="http://schemas.openxmlformats.org/markup-compatibility/2006">
    <mc:Choice Requires="x15">
      <x15ac:absPath xmlns:x15ac="http://schemas.microsoft.com/office/spreadsheetml/2010/11/ac" url="https://alleninstitute.sharepoint.com/sites/MammalianM1/Shared Documents/General/Species/Evo-M1-Trait-Data/"/>
    </mc:Choice>
  </mc:AlternateContent>
  <xr:revisionPtr revIDLastSave="57" documentId="11_FFD271E7C4A475BD4A9BFB05E8F0A690F9029ADD" xr6:coauthVersionLast="47" xr6:coauthVersionMax="47" xr10:uidLastSave="{0919565E-E4F4-4B50-AB8C-6208A2A2C94C}"/>
  <bookViews>
    <workbookView xWindow="51020" yWindow="-5860" windowWidth="33480" windowHeight="26820" xr2:uid="{00000000-000D-0000-FFFF-FFFF00000000}"/>
  </bookViews>
  <sheets>
    <sheet name="Sheet1" sheetId="1" r:id="rId1"/>
    <sheet name="SOURCE_DISPOSITION" sheetId="3" r:id="rId2"/>
    <sheet name="AUTO_Public_TSV_FileList" sheetId="4" r:id="rId3"/>
  </sheets>
  <definedNames>
    <definedName name="_xlnm._FilterDatabase" localSheetId="0" hidden="1">Sheet1!$A$1:$AP$556</definedName>
  </definedNames>
  <calcPr calcId="191028"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87" i="1" l="1"/>
  <c r="G487" i="1"/>
  <c r="F487" i="1" s="1" a="1"/>
  <c r="F487" i="1" s="1"/>
  <c r="I487" i="1"/>
  <c r="K487" i="1" s="1"/>
  <c r="L487" i="1" s="1" a="1"/>
  <c r="L487" i="1" s="1"/>
  <c r="E488" i="1"/>
  <c r="G488" i="1"/>
  <c r="F488" i="1" s="1" a="1"/>
  <c r="F488" i="1" s="1"/>
  <c r="I488" i="1"/>
  <c r="K488" i="1" s="1"/>
  <c r="L488" i="1" s="1" a="1"/>
  <c r="L488" i="1" s="1"/>
  <c r="E489" i="1"/>
  <c r="G489" i="1"/>
  <c r="F489" i="1" s="1" a="1"/>
  <c r="F489" i="1" s="1"/>
  <c r="I489" i="1"/>
  <c r="K489" i="1" s="1"/>
  <c r="L489" i="1" s="1" a="1"/>
  <c r="L489" i="1" s="1"/>
  <c r="E490" i="1"/>
  <c r="G490" i="1"/>
  <c r="F490" i="1" s="1" a="1"/>
  <c r="F490" i="1" s="1"/>
  <c r="I490" i="1"/>
  <c r="K490" i="1" s="1"/>
  <c r="L490" i="1" s="1" a="1"/>
  <c r="L490" i="1" s="1"/>
  <c r="E491" i="1"/>
  <c r="G491" i="1"/>
  <c r="F491" i="1" s="1" a="1"/>
  <c r="F491" i="1" s="1"/>
  <c r="I491" i="1"/>
  <c r="K491" i="1" s="1"/>
  <c r="L491" i="1" s="1" a="1"/>
  <c r="L491" i="1" s="1"/>
  <c r="E492" i="1"/>
  <c r="G492" i="1"/>
  <c r="F492" i="1" s="1" a="1"/>
  <c r="F492" i="1" s="1"/>
  <c r="I492" i="1"/>
  <c r="K492" i="1" s="1"/>
  <c r="L492" i="1" s="1" a="1"/>
  <c r="L492" i="1" s="1"/>
  <c r="E493" i="1"/>
  <c r="G493" i="1"/>
  <c r="F493" i="1" s="1" a="1"/>
  <c r="F493" i="1" s="1"/>
  <c r="I493" i="1"/>
  <c r="K493" i="1" s="1"/>
  <c r="L493" i="1" s="1" a="1"/>
  <c r="L493" i="1" s="1"/>
  <c r="E494" i="1"/>
  <c r="G494" i="1"/>
  <c r="F494" i="1" s="1" a="1"/>
  <c r="F494" i="1" s="1"/>
  <c r="I494" i="1"/>
  <c r="K494" i="1" s="1"/>
  <c r="L494" i="1" s="1" a="1"/>
  <c r="L494" i="1" s="1"/>
  <c r="E495" i="1"/>
  <c r="G495" i="1"/>
  <c r="F495" i="1" s="1" a="1"/>
  <c r="F495" i="1" s="1"/>
  <c r="I495" i="1"/>
  <c r="K495" i="1" s="1"/>
  <c r="L495" i="1" s="1" a="1"/>
  <c r="L495" i="1" s="1"/>
  <c r="E496" i="1"/>
  <c r="G496" i="1"/>
  <c r="F496" i="1" s="1" a="1"/>
  <c r="F496" i="1" s="1"/>
  <c r="I496" i="1"/>
  <c r="K496" i="1" s="1"/>
  <c r="L496" i="1" s="1" a="1"/>
  <c r="L496" i="1" s="1"/>
  <c r="E497" i="1"/>
  <c r="G497" i="1"/>
  <c r="F497" i="1" s="1" a="1"/>
  <c r="F497" i="1" s="1"/>
  <c r="I497" i="1"/>
  <c r="K497" i="1" s="1"/>
  <c r="L497" i="1" s="1" a="1"/>
  <c r="L497" i="1" s="1"/>
  <c r="E498" i="1"/>
  <c r="G498" i="1"/>
  <c r="F498" i="1" s="1" a="1"/>
  <c r="F498" i="1" s="1"/>
  <c r="I498" i="1"/>
  <c r="K498" i="1" s="1"/>
  <c r="L498" i="1" s="1" a="1"/>
  <c r="L498" i="1" s="1"/>
  <c r="E499" i="1"/>
  <c r="G499" i="1"/>
  <c r="F499" i="1" s="1" a="1"/>
  <c r="F499" i="1" s="1"/>
  <c r="I499" i="1"/>
  <c r="K499" i="1" s="1"/>
  <c r="L499" i="1" s="1" a="1"/>
  <c r="L499" i="1" s="1"/>
  <c r="E500" i="1"/>
  <c r="G500" i="1"/>
  <c r="F500" i="1" s="1" a="1"/>
  <c r="F500" i="1" s="1"/>
  <c r="I500" i="1"/>
  <c r="K500" i="1" s="1"/>
  <c r="L500" i="1" s="1" a="1"/>
  <c r="L500" i="1" s="1"/>
  <c r="E501" i="1"/>
  <c r="G501" i="1"/>
  <c r="F501" i="1" s="1" a="1"/>
  <c r="F501" i="1" s="1"/>
  <c r="I501" i="1"/>
  <c r="K501" i="1" s="1"/>
  <c r="L501" i="1" s="1" a="1"/>
  <c r="L501" i="1" s="1"/>
  <c r="E502" i="1"/>
  <c r="G502" i="1"/>
  <c r="F502" i="1" s="1" a="1"/>
  <c r="F502" i="1" s="1"/>
  <c r="I502" i="1"/>
  <c r="K502" i="1" s="1"/>
  <c r="L502" i="1" s="1" a="1"/>
  <c r="L502" i="1" s="1"/>
  <c r="E503" i="1"/>
  <c r="G503" i="1"/>
  <c r="F503" i="1" s="1" a="1"/>
  <c r="F503" i="1" s="1"/>
  <c r="I503" i="1"/>
  <c r="K503" i="1" s="1"/>
  <c r="L503" i="1" s="1" a="1"/>
  <c r="L503" i="1" s="1"/>
  <c r="E504" i="1"/>
  <c r="G504" i="1"/>
  <c r="F504" i="1" s="1" a="1"/>
  <c r="F504" i="1" s="1"/>
  <c r="I504" i="1"/>
  <c r="K504" i="1" s="1"/>
  <c r="L504" i="1" s="1" a="1"/>
  <c r="L504" i="1" s="1"/>
  <c r="E505" i="1"/>
  <c r="G505" i="1"/>
  <c r="F505" i="1" s="1" a="1"/>
  <c r="F505" i="1" s="1"/>
  <c r="I505" i="1"/>
  <c r="K505" i="1" s="1"/>
  <c r="L505" i="1" s="1" a="1"/>
  <c r="L505" i="1" s="1"/>
  <c r="E506" i="1"/>
  <c r="G506" i="1"/>
  <c r="F506" i="1" s="1" a="1"/>
  <c r="F506" i="1" s="1"/>
  <c r="I506" i="1"/>
  <c r="K506" i="1" s="1"/>
  <c r="L506" i="1" s="1" a="1"/>
  <c r="L506" i="1" s="1"/>
  <c r="E507" i="1"/>
  <c r="G507" i="1"/>
  <c r="F507" i="1" s="1" a="1"/>
  <c r="F507" i="1" s="1"/>
  <c r="I507" i="1"/>
  <c r="K507" i="1" s="1"/>
  <c r="L507" i="1" s="1" a="1"/>
  <c r="L507" i="1" s="1"/>
  <c r="E508" i="1"/>
  <c r="G508" i="1"/>
  <c r="F508" i="1" s="1" a="1"/>
  <c r="F508" i="1" s="1"/>
  <c r="I508" i="1"/>
  <c r="K508" i="1" s="1"/>
  <c r="L508" i="1" s="1" a="1"/>
  <c r="L508" i="1" s="1"/>
  <c r="E509" i="1"/>
  <c r="G509" i="1"/>
  <c r="F509" i="1" s="1" a="1"/>
  <c r="F509" i="1" s="1"/>
  <c r="I509" i="1"/>
  <c r="K509" i="1" s="1"/>
  <c r="L509" i="1" s="1" a="1"/>
  <c r="L509" i="1" s="1"/>
  <c r="E510" i="1"/>
  <c r="G510" i="1"/>
  <c r="F510" i="1" s="1" a="1"/>
  <c r="F510" i="1" s="1"/>
  <c r="I510" i="1"/>
  <c r="K510" i="1" s="1"/>
  <c r="L510" i="1" s="1" a="1"/>
  <c r="L510" i="1" s="1"/>
  <c r="E511" i="1"/>
  <c r="G511" i="1"/>
  <c r="F511" i="1" s="1" a="1"/>
  <c r="F511" i="1" s="1"/>
  <c r="I511" i="1"/>
  <c r="K511" i="1" s="1"/>
  <c r="L511" i="1" s="1" a="1"/>
  <c r="L511" i="1" s="1"/>
  <c r="E512" i="1"/>
  <c r="G512" i="1"/>
  <c r="F512" i="1" s="1" a="1"/>
  <c r="F512" i="1" s="1"/>
  <c r="I512" i="1"/>
  <c r="K512" i="1" s="1"/>
  <c r="L512" i="1" s="1" a="1"/>
  <c r="L512" i="1" s="1"/>
  <c r="E513" i="1"/>
  <c r="G513" i="1"/>
  <c r="F513" i="1" s="1" a="1"/>
  <c r="F513" i="1" s="1"/>
  <c r="I513" i="1"/>
  <c r="K513" i="1" s="1"/>
  <c r="L513" i="1" s="1" a="1"/>
  <c r="L513" i="1" s="1"/>
  <c r="E514" i="1"/>
  <c r="G514" i="1"/>
  <c r="F514" i="1" s="1" a="1"/>
  <c r="F514" i="1" s="1"/>
  <c r="I514" i="1"/>
  <c r="K514" i="1" s="1"/>
  <c r="L514" i="1" s="1" a="1"/>
  <c r="L514" i="1" s="1"/>
  <c r="E515" i="1"/>
  <c r="G515" i="1"/>
  <c r="F515" i="1" s="1" a="1"/>
  <c r="F515" i="1" s="1"/>
  <c r="I515" i="1"/>
  <c r="K515" i="1" s="1"/>
  <c r="L515" i="1" s="1" a="1"/>
  <c r="L515" i="1" s="1"/>
  <c r="E516" i="1"/>
  <c r="G516" i="1"/>
  <c r="F516" i="1" s="1" a="1"/>
  <c r="F516" i="1" s="1"/>
  <c r="I516" i="1"/>
  <c r="K516" i="1" s="1"/>
  <c r="L516" i="1" s="1" a="1"/>
  <c r="L516" i="1" s="1"/>
  <c r="E517" i="1"/>
  <c r="G517" i="1"/>
  <c r="F517" i="1" s="1" a="1"/>
  <c r="F517" i="1" s="1"/>
  <c r="I517" i="1"/>
  <c r="K517" i="1" s="1"/>
  <c r="L517" i="1" s="1" a="1"/>
  <c r="L517" i="1" s="1"/>
  <c r="E518" i="1"/>
  <c r="G518" i="1"/>
  <c r="F518" i="1" s="1" a="1"/>
  <c r="F518" i="1" s="1"/>
  <c r="I518" i="1"/>
  <c r="K518" i="1" s="1"/>
  <c r="L518" i="1" s="1" a="1"/>
  <c r="L518" i="1" s="1"/>
  <c r="E519" i="1"/>
  <c r="G519" i="1"/>
  <c r="F519" i="1" s="1" a="1"/>
  <c r="F519" i="1" s="1"/>
  <c r="I519" i="1"/>
  <c r="K519" i="1" s="1"/>
  <c r="L519" i="1" s="1" a="1"/>
  <c r="L519" i="1" s="1"/>
  <c r="E520" i="1"/>
  <c r="G520" i="1"/>
  <c r="F520" i="1" s="1" a="1"/>
  <c r="F520" i="1" s="1"/>
  <c r="I520" i="1"/>
  <c r="K520" i="1" s="1"/>
  <c r="L520" i="1" s="1" a="1"/>
  <c r="L520" i="1" s="1"/>
  <c r="E521" i="1"/>
  <c r="G521" i="1"/>
  <c r="F521" i="1" s="1" a="1"/>
  <c r="F521" i="1" s="1"/>
  <c r="I521" i="1"/>
  <c r="K521" i="1" s="1"/>
  <c r="L521" i="1" s="1" a="1"/>
  <c r="L521" i="1" s="1"/>
  <c r="E522" i="1"/>
  <c r="G522" i="1"/>
  <c r="F522" i="1" s="1" a="1"/>
  <c r="F522" i="1" s="1"/>
  <c r="I522" i="1"/>
  <c r="K522" i="1" s="1"/>
  <c r="L522" i="1" s="1" a="1"/>
  <c r="L522" i="1" s="1"/>
  <c r="E523" i="1"/>
  <c r="G523" i="1"/>
  <c r="F523" i="1" s="1" a="1"/>
  <c r="F523" i="1" s="1"/>
  <c r="I523" i="1"/>
  <c r="K523" i="1" s="1"/>
  <c r="L523" i="1" s="1" a="1"/>
  <c r="L523" i="1" s="1"/>
  <c r="E524" i="1"/>
  <c r="G524" i="1"/>
  <c r="F524" i="1" s="1" a="1"/>
  <c r="F524" i="1" s="1"/>
  <c r="I524" i="1"/>
  <c r="K524" i="1" s="1"/>
  <c r="L524" i="1" s="1" a="1"/>
  <c r="L524" i="1" s="1"/>
  <c r="E525" i="1"/>
  <c r="G525" i="1"/>
  <c r="F525" i="1" s="1" a="1"/>
  <c r="F525" i="1" s="1"/>
  <c r="I525" i="1"/>
  <c r="K525" i="1" s="1"/>
  <c r="L525" i="1" s="1" a="1"/>
  <c r="L525" i="1" s="1"/>
  <c r="E526" i="1"/>
  <c r="G526" i="1"/>
  <c r="F526" i="1" s="1" a="1"/>
  <c r="F526" i="1" s="1"/>
  <c r="I526" i="1"/>
  <c r="K526" i="1" s="1"/>
  <c r="L526" i="1" s="1" a="1"/>
  <c r="L526" i="1" s="1"/>
  <c r="E527" i="1"/>
  <c r="G527" i="1"/>
  <c r="F527" i="1" s="1" a="1"/>
  <c r="F527" i="1" s="1"/>
  <c r="I527" i="1"/>
  <c r="K527" i="1" s="1"/>
  <c r="L527" i="1" s="1" a="1"/>
  <c r="L527" i="1" s="1"/>
  <c r="E528" i="1"/>
  <c r="G528" i="1"/>
  <c r="F528" i="1" s="1" a="1"/>
  <c r="F528" i="1" s="1"/>
  <c r="I528" i="1"/>
  <c r="K528" i="1" s="1"/>
  <c r="L528" i="1" s="1" a="1"/>
  <c r="L528" i="1" s="1"/>
  <c r="E529" i="1"/>
  <c r="G529" i="1"/>
  <c r="F529" i="1" s="1" a="1"/>
  <c r="F529" i="1" s="1"/>
  <c r="I529" i="1"/>
  <c r="K529" i="1" s="1"/>
  <c r="L529" i="1" s="1" a="1"/>
  <c r="L529" i="1" s="1"/>
  <c r="E530" i="1"/>
  <c r="G530" i="1"/>
  <c r="F530" i="1" s="1" a="1"/>
  <c r="F530" i="1" s="1"/>
  <c r="I530" i="1"/>
  <c r="K530" i="1" s="1"/>
  <c r="L530" i="1" s="1" a="1"/>
  <c r="L530" i="1" s="1"/>
  <c r="E531" i="1"/>
  <c r="G531" i="1"/>
  <c r="F531" i="1" s="1" a="1"/>
  <c r="F531" i="1" s="1"/>
  <c r="I531" i="1"/>
  <c r="K531" i="1" s="1"/>
  <c r="L531" i="1" s="1" a="1"/>
  <c r="L531" i="1" s="1"/>
  <c r="E532" i="1"/>
  <c r="G532" i="1"/>
  <c r="F532" i="1" s="1" a="1"/>
  <c r="F532" i="1" s="1"/>
  <c r="I532" i="1"/>
  <c r="K532" i="1" s="1"/>
  <c r="L532" i="1" s="1" a="1"/>
  <c r="L532" i="1" s="1"/>
  <c r="E533" i="1"/>
  <c r="G533" i="1"/>
  <c r="F533" i="1" s="1" a="1"/>
  <c r="F533" i="1" s="1"/>
  <c r="I533" i="1"/>
  <c r="K533" i="1" s="1"/>
  <c r="L533" i="1" s="1" a="1"/>
  <c r="L533" i="1" s="1"/>
  <c r="E534" i="1"/>
  <c r="G534" i="1"/>
  <c r="F534" i="1" s="1" a="1"/>
  <c r="F534" i="1" s="1"/>
  <c r="I534" i="1"/>
  <c r="K534" i="1" s="1"/>
  <c r="L534" i="1" s="1" a="1"/>
  <c r="L534" i="1" s="1"/>
  <c r="E535" i="1"/>
  <c r="G535" i="1"/>
  <c r="F535" i="1" s="1" a="1"/>
  <c r="F535" i="1" s="1"/>
  <c r="I535" i="1"/>
  <c r="K535" i="1" s="1"/>
  <c r="L535" i="1" s="1" a="1"/>
  <c r="L535" i="1" s="1"/>
  <c r="E536" i="1"/>
  <c r="G536" i="1"/>
  <c r="F536" i="1" s="1" a="1"/>
  <c r="F536" i="1" s="1"/>
  <c r="I536" i="1"/>
  <c r="K536" i="1" s="1"/>
  <c r="L536" i="1" s="1" a="1"/>
  <c r="L536" i="1" s="1"/>
  <c r="E537" i="1"/>
  <c r="G537" i="1"/>
  <c r="F537" i="1" s="1" a="1"/>
  <c r="F537" i="1" s="1"/>
  <c r="I537" i="1"/>
  <c r="K537" i="1" s="1"/>
  <c r="L537" i="1" s="1" a="1"/>
  <c r="L537" i="1" s="1"/>
  <c r="E538" i="1"/>
  <c r="G538" i="1"/>
  <c r="F538" i="1" s="1" a="1"/>
  <c r="F538" i="1" s="1"/>
  <c r="I538" i="1"/>
  <c r="K538" i="1" s="1"/>
  <c r="L538" i="1" s="1" a="1"/>
  <c r="L538" i="1" s="1"/>
  <c r="E539" i="1"/>
  <c r="G539" i="1"/>
  <c r="F539" i="1" s="1" a="1"/>
  <c r="F539" i="1" s="1"/>
  <c r="I539" i="1"/>
  <c r="K539" i="1" s="1"/>
  <c r="L539" i="1" s="1" a="1"/>
  <c r="L539" i="1" s="1"/>
  <c r="E540" i="1"/>
  <c r="G540" i="1"/>
  <c r="F540" i="1" s="1" a="1"/>
  <c r="F540" i="1" s="1"/>
  <c r="I540" i="1"/>
  <c r="K540" i="1" s="1"/>
  <c r="L540" i="1" s="1" a="1"/>
  <c r="L540" i="1" s="1"/>
  <c r="E541" i="1"/>
  <c r="G541" i="1"/>
  <c r="F541" i="1" s="1" a="1"/>
  <c r="F541" i="1" s="1"/>
  <c r="I541" i="1"/>
  <c r="K541" i="1" s="1"/>
  <c r="L541" i="1" s="1" a="1"/>
  <c r="L541" i="1" s="1"/>
  <c r="E542" i="1"/>
  <c r="G542" i="1"/>
  <c r="F542" i="1" s="1" a="1"/>
  <c r="F542" i="1" s="1"/>
  <c r="I542" i="1"/>
  <c r="K542" i="1" s="1"/>
  <c r="L542" i="1" s="1" a="1"/>
  <c r="L542" i="1" s="1"/>
  <c r="E543" i="1"/>
  <c r="G543" i="1"/>
  <c r="F543" i="1" s="1" a="1"/>
  <c r="F543" i="1" s="1"/>
  <c r="I543" i="1"/>
  <c r="K543" i="1" s="1"/>
  <c r="L543" i="1" s="1" a="1"/>
  <c r="L543" i="1" s="1"/>
  <c r="E544" i="1"/>
  <c r="G544" i="1"/>
  <c r="F544" i="1" s="1" a="1"/>
  <c r="F544" i="1" s="1"/>
  <c r="I544" i="1"/>
  <c r="K544" i="1" s="1"/>
  <c r="L544" i="1" s="1" a="1"/>
  <c r="L544" i="1" s="1"/>
  <c r="E545" i="1"/>
  <c r="G545" i="1"/>
  <c r="F545" i="1" s="1" a="1"/>
  <c r="F545" i="1" s="1"/>
  <c r="I545" i="1"/>
  <c r="K545" i="1" s="1"/>
  <c r="L545" i="1" s="1" a="1"/>
  <c r="L545" i="1" s="1"/>
  <c r="E546" i="1"/>
  <c r="G546" i="1"/>
  <c r="F546" i="1" s="1" a="1"/>
  <c r="F546" i="1" s="1"/>
  <c r="I546" i="1"/>
  <c r="K546" i="1" s="1"/>
  <c r="L546" i="1" s="1" a="1"/>
  <c r="L546" i="1" s="1"/>
  <c r="E547" i="1"/>
  <c r="G547" i="1"/>
  <c r="F547" i="1" s="1" a="1"/>
  <c r="F547" i="1" s="1"/>
  <c r="I547" i="1"/>
  <c r="K547" i="1" s="1"/>
  <c r="L547" i="1" s="1" a="1"/>
  <c r="L547" i="1" s="1"/>
  <c r="E548" i="1"/>
  <c r="G548" i="1"/>
  <c r="F548" i="1" s="1" a="1"/>
  <c r="F548" i="1" s="1"/>
  <c r="I548" i="1"/>
  <c r="K548" i="1" s="1"/>
  <c r="L548" i="1" s="1" a="1"/>
  <c r="L548" i="1" s="1"/>
  <c r="E549" i="1"/>
  <c r="G549" i="1"/>
  <c r="F549" i="1" s="1" a="1"/>
  <c r="F549" i="1" s="1"/>
  <c r="I549" i="1"/>
  <c r="K549" i="1" s="1"/>
  <c r="L549" i="1" s="1" a="1"/>
  <c r="L549" i="1" s="1"/>
  <c r="E550" i="1"/>
  <c r="G550" i="1"/>
  <c r="F550" i="1" s="1" a="1"/>
  <c r="F550" i="1" s="1"/>
  <c r="I550" i="1"/>
  <c r="K550" i="1" s="1"/>
  <c r="L550" i="1" s="1" a="1"/>
  <c r="L550" i="1" s="1"/>
  <c r="E551" i="1"/>
  <c r="G551" i="1"/>
  <c r="F551" i="1" s="1" a="1"/>
  <c r="F551" i="1" s="1"/>
  <c r="I551" i="1"/>
  <c r="K551" i="1" s="1"/>
  <c r="L551" i="1" s="1" a="1"/>
  <c r="L551" i="1" s="1"/>
  <c r="E552" i="1"/>
  <c r="G552" i="1"/>
  <c r="F552" i="1" s="1" a="1"/>
  <c r="F552" i="1" s="1"/>
  <c r="I552" i="1"/>
  <c r="K552" i="1" s="1"/>
  <c r="L552" i="1" s="1" a="1"/>
  <c r="L552" i="1" s="1"/>
  <c r="E553" i="1"/>
  <c r="G553" i="1"/>
  <c r="F553" i="1" s="1" a="1"/>
  <c r="F553" i="1" s="1"/>
  <c r="I553" i="1"/>
  <c r="K553" i="1" s="1"/>
  <c r="L553" i="1" s="1" a="1"/>
  <c r="L553" i="1" s="1"/>
  <c r="E554" i="1"/>
  <c r="G554" i="1"/>
  <c r="F554" i="1" s="1" a="1"/>
  <c r="F554" i="1" s="1"/>
  <c r="I554" i="1"/>
  <c r="K554" i="1" s="1"/>
  <c r="L554" i="1" s="1" a="1"/>
  <c r="L554" i="1" s="1"/>
  <c r="E555" i="1"/>
  <c r="G555" i="1"/>
  <c r="F555" i="1" s="1" a="1"/>
  <c r="F555" i="1" s="1"/>
  <c r="I555" i="1"/>
  <c r="K555" i="1" s="1"/>
  <c r="L555" i="1" s="1" a="1"/>
  <c r="L555" i="1" s="1"/>
  <c r="E556" i="1"/>
  <c r="G556" i="1"/>
  <c r="F556" i="1" s="1" a="1"/>
  <c r="F556" i="1" s="1"/>
  <c r="I556" i="1"/>
  <c r="K556" i="1" s="1"/>
  <c r="L556" i="1" s="1" a="1"/>
  <c r="L556" i="1" s="1"/>
  <c r="I23" i="3"/>
  <c r="K23" i="3" s="1"/>
  <c r="L23" i="3" s="1" a="1"/>
  <c r="L23" i="3" s="1"/>
  <c r="G23" i="3"/>
  <c r="F23" i="3" s="1"/>
  <c r="E23" i="3"/>
  <c r="I22" i="3"/>
  <c r="K22" i="3" s="1"/>
  <c r="L22" i="3" s="1" a="1"/>
  <c r="L22" i="3" s="1"/>
  <c r="G22" i="3"/>
  <c r="F22" i="3" s="1" a="1"/>
  <c r="F22" i="3" s="1"/>
  <c r="E22" i="3"/>
  <c r="I21" i="3"/>
  <c r="K21" i="3" s="1"/>
  <c r="L21" i="3" s="1" a="1"/>
  <c r="L21" i="3" s="1"/>
  <c r="G21" i="3"/>
  <c r="F21" i="3" s="1" a="1"/>
  <c r="F21" i="3" s="1"/>
  <c r="E21" i="3"/>
  <c r="I20" i="3"/>
  <c r="K20" i="3" s="1"/>
  <c r="L20" i="3" s="1" a="1"/>
  <c r="L20" i="3" s="1"/>
  <c r="G20" i="3"/>
  <c r="F20" i="3" s="1"/>
  <c r="E20" i="3"/>
  <c r="I19" i="3"/>
  <c r="K19" i="3" s="1"/>
  <c r="L19" i="3" s="1" a="1"/>
  <c r="L19" i="3" s="1"/>
  <c r="G19" i="3"/>
  <c r="F19" i="3" s="1"/>
  <c r="E19" i="3"/>
  <c r="I18" i="3"/>
  <c r="K18" i="3" s="1"/>
  <c r="L18" i="3" s="1" a="1"/>
  <c r="L18" i="3" s="1"/>
  <c r="G18" i="3"/>
  <c r="F18" i="3" s="1"/>
  <c r="E18" i="3"/>
  <c r="I17" i="3"/>
  <c r="K17" i="3" s="1"/>
  <c r="L17" i="3" s="1" a="1"/>
  <c r="L17" i="3" s="1"/>
  <c r="G17" i="3"/>
  <c r="F17" i="3" s="1"/>
  <c r="E17" i="3"/>
  <c r="I16" i="3"/>
  <c r="K16" i="3" s="1"/>
  <c r="L16" i="3" s="1" a="1"/>
  <c r="L16" i="3" s="1"/>
  <c r="G16" i="3"/>
  <c r="F16" i="3" s="1"/>
  <c r="E16" i="3"/>
  <c r="I15" i="3"/>
  <c r="K15" i="3" s="1"/>
  <c r="L15" i="3" s="1" a="1"/>
  <c r="L15" i="3" s="1"/>
  <c r="G15" i="3"/>
  <c r="F15" i="3" s="1"/>
  <c r="E15" i="3"/>
  <c r="I14" i="3"/>
  <c r="K14" i="3" s="1"/>
  <c r="L14" i="3" s="1" a="1"/>
  <c r="L14" i="3" s="1"/>
  <c r="G14" i="3"/>
  <c r="F14" i="3" s="1"/>
  <c r="E14" i="3"/>
  <c r="I13" i="3"/>
  <c r="K13" i="3" s="1"/>
  <c r="L13" i="3" s="1" a="1"/>
  <c r="L13" i="3" s="1"/>
  <c r="G13" i="3"/>
  <c r="F13" i="3" s="1"/>
  <c r="E13" i="3"/>
  <c r="I12" i="3"/>
  <c r="K12" i="3" s="1"/>
  <c r="L12" i="3" s="1" a="1"/>
  <c r="L12" i="3" s="1"/>
  <c r="G12" i="3"/>
  <c r="F12" i="3" s="1"/>
  <c r="E12" i="3"/>
  <c r="I11" i="3"/>
  <c r="K11" i="3" s="1"/>
  <c r="L11" i="3" s="1" a="1"/>
  <c r="L11" i="3" s="1"/>
  <c r="G11" i="3"/>
  <c r="F11" i="3" s="1"/>
  <c r="E11" i="3"/>
  <c r="I10" i="3"/>
  <c r="K10" i="3" s="1"/>
  <c r="L10" i="3" s="1" a="1"/>
  <c r="L10" i="3" s="1"/>
  <c r="G10" i="3"/>
  <c r="F10" i="3" s="1"/>
  <c r="E10" i="3"/>
  <c r="I9" i="3"/>
  <c r="K9" i="3" s="1"/>
  <c r="L9" i="3" s="1" a="1"/>
  <c r="L9" i="3" s="1"/>
  <c r="G9" i="3"/>
  <c r="F9" i="3" s="1"/>
  <c r="E9" i="3"/>
  <c r="I8" i="3"/>
  <c r="K8" i="3" s="1"/>
  <c r="L8" i="3" s="1" a="1"/>
  <c r="L8" i="3" s="1"/>
  <c r="G8" i="3"/>
  <c r="F8" i="3" s="1"/>
  <c r="E8" i="3"/>
  <c r="I7" i="3"/>
  <c r="K7" i="3" s="1"/>
  <c r="L7" i="3" s="1" a="1"/>
  <c r="L7" i="3" s="1"/>
  <c r="G7" i="3"/>
  <c r="F7" i="3" s="1"/>
  <c r="E7" i="3"/>
  <c r="I6" i="3"/>
  <c r="K6" i="3" s="1"/>
  <c r="L6" i="3" s="1" a="1"/>
  <c r="L6" i="3" s="1"/>
  <c r="G6" i="3"/>
  <c r="F6" i="3" s="1"/>
  <c r="E6" i="3"/>
  <c r="I5" i="3"/>
  <c r="K5" i="3" s="1"/>
  <c r="L5" i="3" s="1" a="1"/>
  <c r="L5" i="3" s="1"/>
  <c r="G5" i="3"/>
  <c r="F5" i="3" s="1"/>
  <c r="E5" i="3"/>
  <c r="I4" i="3"/>
  <c r="K4" i="3" s="1"/>
  <c r="L4" i="3" s="1" a="1"/>
  <c r="L4" i="3" s="1"/>
  <c r="G4" i="3"/>
  <c r="F4" i="3" s="1"/>
  <c r="E4" i="3"/>
  <c r="I3" i="3"/>
  <c r="K3" i="3" s="1"/>
  <c r="L3" i="3" s="1" a="1"/>
  <c r="L3" i="3" s="1"/>
  <c r="G3" i="3"/>
  <c r="F3" i="3" s="1"/>
  <c r="E3" i="3"/>
  <c r="I2" i="3"/>
  <c r="K2" i="3" s="1"/>
  <c r="L2" i="3" s="1" a="1"/>
  <c r="L2" i="3" s="1"/>
  <c r="G2" i="3"/>
  <c r="F2" i="3" s="1"/>
  <c r="E2" i="3"/>
  <c r="I576" i="1"/>
  <c r="K576" i="1" s="1"/>
  <c r="L576" i="1" s="1" a="1"/>
  <c r="L576" i="1" s="1"/>
  <c r="G576" i="1"/>
  <c r="F576" i="1" s="1" a="1"/>
  <c r="F576" i="1" s="1"/>
  <c r="E576" i="1"/>
  <c r="I575" i="1"/>
  <c r="K575" i="1" s="1"/>
  <c r="L575" i="1" s="1" a="1"/>
  <c r="L575" i="1" s="1"/>
  <c r="G575" i="1"/>
  <c r="F575" i="1" s="1" a="1"/>
  <c r="F575" i="1" s="1"/>
  <c r="E575" i="1"/>
  <c r="I574" i="1"/>
  <c r="K574" i="1" s="1"/>
  <c r="L574" i="1" s="1" a="1"/>
  <c r="L574" i="1" s="1"/>
  <c r="G574" i="1"/>
  <c r="F574" i="1" s="1" a="1"/>
  <c r="F574" i="1" s="1"/>
  <c r="E574" i="1"/>
  <c r="I573" i="1"/>
  <c r="K573" i="1" s="1"/>
  <c r="L573" i="1" s="1" a="1"/>
  <c r="L573" i="1" s="1"/>
  <c r="G573" i="1"/>
  <c r="F573" i="1" s="1" a="1"/>
  <c r="F573" i="1" s="1"/>
  <c r="E573" i="1"/>
  <c r="I572" i="1"/>
  <c r="K572" i="1" s="1"/>
  <c r="L572" i="1" s="1" a="1"/>
  <c r="L572" i="1" s="1"/>
  <c r="G572" i="1"/>
  <c r="F572" i="1" s="1" a="1"/>
  <c r="F572" i="1" s="1"/>
  <c r="E572" i="1"/>
  <c r="I571" i="1"/>
  <c r="K571" i="1" s="1"/>
  <c r="L571" i="1" s="1" a="1"/>
  <c r="L571" i="1" s="1"/>
  <c r="G571" i="1"/>
  <c r="F571" i="1" s="1" a="1"/>
  <c r="F571" i="1" s="1"/>
  <c r="E571" i="1"/>
  <c r="I570" i="1"/>
  <c r="K570" i="1" s="1"/>
  <c r="L570" i="1" s="1" a="1"/>
  <c r="L570" i="1" s="1"/>
  <c r="G570" i="1"/>
  <c r="F570" i="1" s="1" a="1"/>
  <c r="F570" i="1" s="1"/>
  <c r="E570" i="1"/>
  <c r="I569" i="1"/>
  <c r="K569" i="1" s="1"/>
  <c r="L569" i="1" s="1" a="1"/>
  <c r="L569" i="1" s="1"/>
  <c r="G569" i="1"/>
  <c r="F569" i="1" s="1" a="1"/>
  <c r="F569" i="1" s="1"/>
  <c r="E569" i="1"/>
  <c r="I486" i="1"/>
  <c r="K486" i="1" s="1"/>
  <c r="L486" i="1" s="1" a="1"/>
  <c r="L486" i="1" s="1"/>
  <c r="G486" i="1"/>
  <c r="F486" i="1" s="1" a="1"/>
  <c r="F486" i="1" s="1"/>
  <c r="E486" i="1"/>
  <c r="I485" i="1"/>
  <c r="K485" i="1" s="1"/>
  <c r="L485" i="1" s="1" a="1"/>
  <c r="L485" i="1" s="1"/>
  <c r="G485" i="1"/>
  <c r="F485" i="1" s="1" a="1"/>
  <c r="F485" i="1" s="1"/>
  <c r="E485" i="1"/>
  <c r="I484" i="1"/>
  <c r="K484" i="1" s="1"/>
  <c r="L484" i="1" s="1" a="1"/>
  <c r="L484" i="1" s="1"/>
  <c r="G484" i="1"/>
  <c r="F484" i="1" s="1" a="1"/>
  <c r="F484" i="1" s="1"/>
  <c r="E484" i="1"/>
  <c r="I483" i="1"/>
  <c r="K483" i="1" s="1"/>
  <c r="L483" i="1" s="1" a="1"/>
  <c r="L483" i="1" s="1"/>
  <c r="G483" i="1"/>
  <c r="F483" i="1" s="1" a="1"/>
  <c r="F483" i="1" s="1"/>
  <c r="E483" i="1"/>
  <c r="I482" i="1"/>
  <c r="K482" i="1" s="1"/>
  <c r="L482" i="1" s="1" a="1"/>
  <c r="L482" i="1" s="1"/>
  <c r="G482" i="1"/>
  <c r="F482" i="1" s="1" a="1"/>
  <c r="F482" i="1" s="1"/>
  <c r="E482" i="1"/>
  <c r="I481" i="1"/>
  <c r="K481" i="1" s="1"/>
  <c r="L481" i="1" s="1" a="1"/>
  <c r="L481" i="1" s="1"/>
  <c r="G481" i="1"/>
  <c r="F481" i="1" s="1" a="1"/>
  <c r="F481" i="1" s="1"/>
  <c r="E481" i="1"/>
  <c r="I480" i="1"/>
  <c r="K480" i="1" s="1"/>
  <c r="L480" i="1" s="1" a="1"/>
  <c r="L480" i="1" s="1"/>
  <c r="G480" i="1"/>
  <c r="F480" i="1" s="1" a="1"/>
  <c r="F480" i="1" s="1"/>
  <c r="E480" i="1"/>
  <c r="I479" i="1"/>
  <c r="K479" i="1" s="1"/>
  <c r="L479" i="1" s="1" a="1"/>
  <c r="L479" i="1" s="1"/>
  <c r="G479" i="1"/>
  <c r="F479" i="1" s="1" a="1"/>
  <c r="F479" i="1" s="1"/>
  <c r="E479" i="1"/>
  <c r="I478" i="1"/>
  <c r="K478" i="1" s="1"/>
  <c r="L478" i="1" s="1" a="1"/>
  <c r="L478" i="1" s="1"/>
  <c r="G478" i="1"/>
  <c r="F478" i="1" s="1" a="1"/>
  <c r="F478" i="1" s="1"/>
  <c r="E478" i="1"/>
  <c r="I477" i="1"/>
  <c r="K477" i="1" s="1"/>
  <c r="L477" i="1" s="1" a="1"/>
  <c r="L477" i="1" s="1"/>
  <c r="G477" i="1"/>
  <c r="F477" i="1" s="1" a="1"/>
  <c r="F477" i="1" s="1"/>
  <c r="E477" i="1"/>
  <c r="I476" i="1"/>
  <c r="K476" i="1" s="1"/>
  <c r="L476" i="1" s="1" a="1"/>
  <c r="L476" i="1" s="1"/>
  <c r="G476" i="1"/>
  <c r="F476" i="1" s="1" a="1"/>
  <c r="F476" i="1" s="1"/>
  <c r="E476" i="1"/>
  <c r="I475" i="1"/>
  <c r="K475" i="1" s="1"/>
  <c r="L475" i="1" s="1" a="1"/>
  <c r="L475" i="1" s="1"/>
  <c r="G475" i="1"/>
  <c r="F475" i="1" s="1" a="1"/>
  <c r="F475" i="1" s="1"/>
  <c r="E475" i="1"/>
  <c r="I474" i="1"/>
  <c r="K474" i="1" s="1"/>
  <c r="L474" i="1" s="1" a="1"/>
  <c r="L474" i="1" s="1"/>
  <c r="G474" i="1"/>
  <c r="F474" i="1" s="1" a="1"/>
  <c r="F474" i="1" s="1"/>
  <c r="E474" i="1"/>
  <c r="I473" i="1"/>
  <c r="K473" i="1" s="1"/>
  <c r="L473" i="1" s="1" a="1"/>
  <c r="L473" i="1" s="1"/>
  <c r="G473" i="1"/>
  <c r="F473" i="1" s="1" a="1"/>
  <c r="F473" i="1" s="1"/>
  <c r="E473" i="1"/>
  <c r="I472" i="1"/>
  <c r="K472" i="1" s="1"/>
  <c r="L472" i="1" s="1" a="1"/>
  <c r="L472" i="1" s="1"/>
  <c r="G472" i="1"/>
  <c r="F472" i="1" s="1" a="1"/>
  <c r="F472" i="1" s="1"/>
  <c r="E472" i="1"/>
  <c r="I471" i="1"/>
  <c r="K471" i="1" s="1"/>
  <c r="L471" i="1" s="1" a="1"/>
  <c r="L471" i="1" s="1"/>
  <c r="G471" i="1"/>
  <c r="F471" i="1" s="1" a="1"/>
  <c r="F471" i="1" s="1"/>
  <c r="E471" i="1"/>
  <c r="I470" i="1"/>
  <c r="K470" i="1" s="1"/>
  <c r="L470" i="1" s="1" a="1"/>
  <c r="L470" i="1" s="1"/>
  <c r="G470" i="1"/>
  <c r="F470" i="1" s="1" a="1"/>
  <c r="F470" i="1" s="1"/>
  <c r="E470" i="1"/>
  <c r="I469" i="1"/>
  <c r="K469" i="1" s="1"/>
  <c r="L469" i="1" s="1" a="1"/>
  <c r="L469" i="1" s="1"/>
  <c r="G469" i="1"/>
  <c r="F469" i="1" s="1" a="1"/>
  <c r="F469" i="1" s="1"/>
  <c r="E469" i="1"/>
  <c r="I468" i="1"/>
  <c r="K468" i="1" s="1"/>
  <c r="L468" i="1" s="1" a="1"/>
  <c r="L468" i="1" s="1"/>
  <c r="G468" i="1"/>
  <c r="F468" i="1" s="1" a="1"/>
  <c r="F468" i="1" s="1"/>
  <c r="E468" i="1"/>
  <c r="I467" i="1"/>
  <c r="K467" i="1" s="1"/>
  <c r="L467" i="1" s="1" a="1"/>
  <c r="L467" i="1" s="1"/>
  <c r="G467" i="1"/>
  <c r="F467" i="1" s="1" a="1"/>
  <c r="F467" i="1" s="1"/>
  <c r="E467" i="1"/>
  <c r="I466" i="1"/>
  <c r="K466" i="1" s="1"/>
  <c r="L466" i="1" s="1" a="1"/>
  <c r="L466" i="1" s="1"/>
  <c r="G466" i="1"/>
  <c r="F466" i="1" s="1" a="1"/>
  <c r="F466" i="1" s="1"/>
  <c r="E466" i="1"/>
  <c r="I465" i="1"/>
  <c r="K465" i="1" s="1"/>
  <c r="L465" i="1" s="1" a="1"/>
  <c r="L465" i="1" s="1"/>
  <c r="G465" i="1"/>
  <c r="F465" i="1" s="1" a="1"/>
  <c r="F465" i="1" s="1"/>
  <c r="E465" i="1"/>
  <c r="I464" i="1"/>
  <c r="K464" i="1" s="1"/>
  <c r="L464" i="1" s="1" a="1"/>
  <c r="L464" i="1" s="1"/>
  <c r="G464" i="1"/>
  <c r="F464" i="1" s="1" a="1"/>
  <c r="F464" i="1" s="1"/>
  <c r="E464" i="1"/>
  <c r="I463" i="1"/>
  <c r="K463" i="1" s="1"/>
  <c r="L463" i="1" s="1" a="1"/>
  <c r="L463" i="1" s="1"/>
  <c r="G463" i="1"/>
  <c r="F463" i="1" s="1" a="1"/>
  <c r="F463" i="1" s="1"/>
  <c r="E463" i="1"/>
  <c r="I462" i="1"/>
  <c r="K462" i="1" s="1"/>
  <c r="L462" i="1" s="1" a="1"/>
  <c r="L462" i="1" s="1"/>
  <c r="G462" i="1"/>
  <c r="F462" i="1" s="1" a="1"/>
  <c r="F462" i="1" s="1"/>
  <c r="E462" i="1"/>
  <c r="I461" i="1"/>
  <c r="K461" i="1" s="1"/>
  <c r="L461" i="1" s="1" a="1"/>
  <c r="L461" i="1" s="1"/>
  <c r="G461" i="1"/>
  <c r="F461" i="1" s="1" a="1"/>
  <c r="F461" i="1" s="1"/>
  <c r="E461" i="1"/>
  <c r="I460" i="1"/>
  <c r="K460" i="1" s="1"/>
  <c r="L460" i="1" s="1" a="1"/>
  <c r="L460" i="1" s="1"/>
  <c r="G460" i="1"/>
  <c r="F460" i="1" s="1" a="1"/>
  <c r="F460" i="1" s="1"/>
  <c r="E460" i="1"/>
  <c r="I459" i="1"/>
  <c r="K459" i="1" s="1"/>
  <c r="L459" i="1" s="1" a="1"/>
  <c r="L459" i="1" s="1"/>
  <c r="G459" i="1"/>
  <c r="F459" i="1" s="1" a="1"/>
  <c r="F459" i="1" s="1"/>
  <c r="E459" i="1"/>
  <c r="I458" i="1"/>
  <c r="K458" i="1" s="1"/>
  <c r="G458" i="1"/>
  <c r="F458" i="1" s="1" a="1"/>
  <c r="F458" i="1" s="1"/>
  <c r="E458" i="1"/>
  <c r="I457" i="1"/>
  <c r="K457" i="1" s="1"/>
  <c r="L457" i="1" s="1" a="1"/>
  <c r="L457" i="1" s="1"/>
  <c r="G457" i="1"/>
  <c r="F457" i="1" s="1" a="1"/>
  <c r="F457" i="1" s="1"/>
  <c r="E457" i="1"/>
  <c r="I456" i="1"/>
  <c r="K456" i="1" s="1"/>
  <c r="L456" i="1" s="1" a="1"/>
  <c r="L456" i="1" s="1"/>
  <c r="G456" i="1"/>
  <c r="F456" i="1" s="1" a="1"/>
  <c r="F456" i="1" s="1"/>
  <c r="E456" i="1"/>
  <c r="I455" i="1"/>
  <c r="K455" i="1" s="1"/>
  <c r="L455" i="1" s="1" a="1"/>
  <c r="L455" i="1" s="1"/>
  <c r="G455" i="1"/>
  <c r="F455" i="1" s="1" a="1"/>
  <c r="F455" i="1" s="1"/>
  <c r="E455" i="1"/>
  <c r="I454" i="1"/>
  <c r="K454" i="1" s="1"/>
  <c r="L454" i="1" s="1" a="1"/>
  <c r="L454" i="1" s="1"/>
  <c r="G454" i="1"/>
  <c r="F454" i="1" s="1" a="1"/>
  <c r="F454" i="1" s="1"/>
  <c r="E454" i="1"/>
  <c r="I453" i="1"/>
  <c r="K453" i="1" s="1"/>
  <c r="L453" i="1" s="1" a="1"/>
  <c r="L453" i="1" s="1"/>
  <c r="G453" i="1"/>
  <c r="F453" i="1" s="1" a="1"/>
  <c r="F453" i="1" s="1"/>
  <c r="E453" i="1"/>
  <c r="I452" i="1"/>
  <c r="K452" i="1" s="1"/>
  <c r="L452" i="1" s="1" a="1"/>
  <c r="L452" i="1" s="1"/>
  <c r="G452" i="1"/>
  <c r="F452" i="1" s="1" a="1"/>
  <c r="F452" i="1" s="1"/>
  <c r="E452" i="1"/>
  <c r="I451" i="1"/>
  <c r="K451" i="1" s="1"/>
  <c r="L451" i="1" s="1" a="1"/>
  <c r="L451" i="1" s="1"/>
  <c r="G451" i="1"/>
  <c r="F451" i="1" s="1" a="1"/>
  <c r="F451" i="1" s="1"/>
  <c r="E451" i="1"/>
  <c r="I450" i="1"/>
  <c r="K450" i="1" s="1"/>
  <c r="L450" i="1" s="1" a="1"/>
  <c r="L450" i="1" s="1"/>
  <c r="G450" i="1"/>
  <c r="F450" i="1" s="1" a="1"/>
  <c r="F450" i="1" s="1"/>
  <c r="E450" i="1"/>
  <c r="I449" i="1"/>
  <c r="K449" i="1" s="1"/>
  <c r="L449" i="1" s="1" a="1"/>
  <c r="L449" i="1" s="1"/>
  <c r="G449" i="1"/>
  <c r="F449" i="1" s="1" a="1"/>
  <c r="F449" i="1" s="1"/>
  <c r="E449" i="1"/>
  <c r="I448" i="1"/>
  <c r="K448" i="1" s="1"/>
  <c r="L448" i="1" s="1" a="1"/>
  <c r="L448" i="1" s="1"/>
  <c r="G448" i="1"/>
  <c r="F448" i="1" s="1" a="1"/>
  <c r="F448" i="1" s="1"/>
  <c r="E448" i="1"/>
  <c r="I447" i="1"/>
  <c r="K447" i="1" s="1"/>
  <c r="L447" i="1" s="1" a="1"/>
  <c r="L447" i="1" s="1"/>
  <c r="G447" i="1"/>
  <c r="F447" i="1" s="1" a="1"/>
  <c r="F447" i="1" s="1"/>
  <c r="E447" i="1"/>
  <c r="I446" i="1"/>
  <c r="K446" i="1" s="1"/>
  <c r="L446" i="1" s="1" a="1"/>
  <c r="L446" i="1" s="1"/>
  <c r="G446" i="1"/>
  <c r="F446" i="1" s="1" a="1"/>
  <c r="F446" i="1" s="1"/>
  <c r="E446" i="1"/>
  <c r="I445" i="1"/>
  <c r="K445" i="1" s="1"/>
  <c r="L445" i="1" s="1" a="1"/>
  <c r="L445" i="1" s="1"/>
  <c r="G445" i="1"/>
  <c r="F445" i="1" s="1" a="1"/>
  <c r="F445" i="1" s="1"/>
  <c r="E445" i="1"/>
  <c r="I444" i="1"/>
  <c r="K444" i="1" s="1"/>
  <c r="L444" i="1" s="1" a="1"/>
  <c r="L444" i="1" s="1"/>
  <c r="G444" i="1"/>
  <c r="F444" i="1" s="1" a="1"/>
  <c r="F444" i="1" s="1"/>
  <c r="E444" i="1"/>
  <c r="I443" i="1"/>
  <c r="K443" i="1" s="1"/>
  <c r="L443" i="1" s="1" a="1"/>
  <c r="L443" i="1" s="1"/>
  <c r="G443" i="1"/>
  <c r="F443" i="1" s="1" a="1"/>
  <c r="F443" i="1" s="1"/>
  <c r="E443" i="1"/>
  <c r="I442" i="1"/>
  <c r="K442" i="1" s="1"/>
  <c r="L442" i="1" s="1" a="1"/>
  <c r="L442" i="1" s="1"/>
  <c r="G442" i="1"/>
  <c r="F442" i="1" s="1" a="1"/>
  <c r="F442" i="1" s="1"/>
  <c r="E442" i="1"/>
  <c r="I441" i="1"/>
  <c r="K441" i="1" s="1"/>
  <c r="L441" i="1" s="1" a="1"/>
  <c r="L441" i="1" s="1"/>
  <c r="G441" i="1"/>
  <c r="F441" i="1" s="1" a="1"/>
  <c r="F441" i="1" s="1"/>
  <c r="E441" i="1"/>
  <c r="I440" i="1"/>
  <c r="K440" i="1" s="1"/>
  <c r="L440" i="1" s="1" a="1"/>
  <c r="L440" i="1" s="1"/>
  <c r="G440" i="1"/>
  <c r="F440" i="1" s="1" a="1"/>
  <c r="F440" i="1" s="1"/>
  <c r="E440" i="1"/>
  <c r="I439" i="1"/>
  <c r="K439" i="1" s="1"/>
  <c r="L439" i="1" s="1" a="1"/>
  <c r="L439" i="1" s="1"/>
  <c r="G439" i="1"/>
  <c r="F439" i="1" s="1" a="1"/>
  <c r="F439" i="1" s="1"/>
  <c r="E439" i="1"/>
  <c r="I438" i="1"/>
  <c r="K438" i="1" s="1"/>
  <c r="L438" i="1" s="1" a="1"/>
  <c r="L438" i="1" s="1"/>
  <c r="G438" i="1"/>
  <c r="F438" i="1" s="1" a="1"/>
  <c r="F438" i="1" s="1"/>
  <c r="E438" i="1"/>
  <c r="I437" i="1"/>
  <c r="K437" i="1" s="1"/>
  <c r="L437" i="1" s="1" a="1"/>
  <c r="L437" i="1" s="1"/>
  <c r="G437" i="1"/>
  <c r="F437" i="1" s="1" a="1"/>
  <c r="F437" i="1" s="1"/>
  <c r="E437" i="1"/>
  <c r="I436" i="1"/>
  <c r="K436" i="1" s="1"/>
  <c r="L436" i="1" s="1" a="1"/>
  <c r="L436" i="1" s="1"/>
  <c r="G436" i="1"/>
  <c r="F436" i="1" s="1" a="1"/>
  <c r="F436" i="1" s="1"/>
  <c r="E436" i="1"/>
  <c r="I435" i="1"/>
  <c r="K435" i="1" s="1"/>
  <c r="L435" i="1" s="1" a="1"/>
  <c r="L435" i="1" s="1"/>
  <c r="G435" i="1"/>
  <c r="F435" i="1" s="1" a="1"/>
  <c r="F435" i="1" s="1"/>
  <c r="E435" i="1"/>
  <c r="I434" i="1"/>
  <c r="K434" i="1" s="1"/>
  <c r="L434" i="1" s="1" a="1"/>
  <c r="L434" i="1" s="1"/>
  <c r="G434" i="1"/>
  <c r="F434" i="1" s="1" a="1"/>
  <c r="F434" i="1" s="1"/>
  <c r="E434" i="1"/>
  <c r="I433" i="1"/>
  <c r="K433" i="1" s="1"/>
  <c r="L433" i="1" s="1" a="1"/>
  <c r="L433" i="1" s="1"/>
  <c r="G433" i="1"/>
  <c r="F433" i="1" s="1" a="1"/>
  <c r="F433" i="1" s="1"/>
  <c r="E433" i="1"/>
  <c r="I432" i="1"/>
  <c r="K432" i="1" s="1"/>
  <c r="L432" i="1" s="1" a="1"/>
  <c r="L432" i="1" s="1"/>
  <c r="G432" i="1"/>
  <c r="F432" i="1" s="1" a="1"/>
  <c r="F432" i="1" s="1"/>
  <c r="E432" i="1"/>
  <c r="I431" i="1"/>
  <c r="K431" i="1" s="1"/>
  <c r="L431" i="1" s="1" a="1"/>
  <c r="L431" i="1" s="1"/>
  <c r="G431" i="1"/>
  <c r="F431" i="1" s="1" a="1"/>
  <c r="F431" i="1" s="1"/>
  <c r="E431" i="1"/>
  <c r="I430" i="1"/>
  <c r="K430" i="1" s="1"/>
  <c r="L430" i="1" s="1" a="1"/>
  <c r="L430" i="1" s="1"/>
  <c r="G430" i="1"/>
  <c r="F430" i="1" s="1" a="1"/>
  <c r="F430" i="1" s="1"/>
  <c r="E430" i="1"/>
  <c r="I429" i="1"/>
  <c r="K429" i="1" s="1"/>
  <c r="L429" i="1" s="1" a="1"/>
  <c r="L429" i="1" s="1"/>
  <c r="G429" i="1"/>
  <c r="F429" i="1" s="1" a="1"/>
  <c r="F429" i="1" s="1"/>
  <c r="E429" i="1"/>
  <c r="I428" i="1"/>
  <c r="K428" i="1" s="1"/>
  <c r="L428" i="1" s="1" a="1"/>
  <c r="L428" i="1" s="1"/>
  <c r="G428" i="1"/>
  <c r="F428" i="1" s="1" a="1"/>
  <c r="F428" i="1" s="1"/>
  <c r="E428" i="1"/>
  <c r="I427" i="1"/>
  <c r="K427" i="1" s="1"/>
  <c r="L427" i="1" s="1" a="1"/>
  <c r="L427" i="1" s="1"/>
  <c r="G427" i="1"/>
  <c r="F427" i="1" s="1" a="1"/>
  <c r="F427" i="1" s="1"/>
  <c r="E427" i="1"/>
  <c r="I426" i="1"/>
  <c r="K426" i="1" s="1"/>
  <c r="L426" i="1" s="1" a="1"/>
  <c r="L426" i="1" s="1"/>
  <c r="G426" i="1"/>
  <c r="F426" i="1" s="1" a="1"/>
  <c r="F426" i="1" s="1"/>
  <c r="E426" i="1"/>
  <c r="I425" i="1"/>
  <c r="K425" i="1" s="1"/>
  <c r="L425" i="1" s="1" a="1"/>
  <c r="L425" i="1" s="1"/>
  <c r="G425" i="1"/>
  <c r="F425" i="1" s="1" a="1"/>
  <c r="F425" i="1" s="1"/>
  <c r="E425" i="1"/>
  <c r="I424" i="1"/>
  <c r="K424" i="1" s="1"/>
  <c r="L424" i="1" s="1" a="1"/>
  <c r="L424" i="1" s="1"/>
  <c r="G424" i="1"/>
  <c r="F424" i="1" s="1" a="1"/>
  <c r="F424" i="1" s="1"/>
  <c r="E424" i="1"/>
  <c r="I423" i="1"/>
  <c r="K423" i="1" s="1"/>
  <c r="L423" i="1" s="1" a="1"/>
  <c r="L423" i="1" s="1"/>
  <c r="G423" i="1"/>
  <c r="F423" i="1" s="1" a="1"/>
  <c r="F423" i="1" s="1"/>
  <c r="E423" i="1"/>
  <c r="I422" i="1"/>
  <c r="K422" i="1" s="1"/>
  <c r="L422" i="1" s="1" a="1"/>
  <c r="L422" i="1" s="1"/>
  <c r="G422" i="1"/>
  <c r="F422" i="1" s="1" a="1"/>
  <c r="F422" i="1" s="1"/>
  <c r="E422" i="1"/>
  <c r="I421" i="1"/>
  <c r="K421" i="1" s="1"/>
  <c r="L421" i="1" s="1" a="1"/>
  <c r="L421" i="1" s="1"/>
  <c r="G421" i="1"/>
  <c r="F421" i="1" s="1" a="1"/>
  <c r="F421" i="1" s="1"/>
  <c r="E421" i="1"/>
  <c r="I420" i="1"/>
  <c r="K420" i="1" s="1"/>
  <c r="L420" i="1" s="1" a="1"/>
  <c r="L420" i="1" s="1"/>
  <c r="G420" i="1"/>
  <c r="F420" i="1" s="1" a="1"/>
  <c r="F420" i="1" s="1"/>
  <c r="E420" i="1"/>
  <c r="I419" i="1"/>
  <c r="K419" i="1" s="1"/>
  <c r="L419" i="1" s="1" a="1"/>
  <c r="L419" i="1" s="1"/>
  <c r="G419" i="1"/>
  <c r="F419" i="1" s="1" a="1"/>
  <c r="F419" i="1" s="1"/>
  <c r="E419" i="1"/>
  <c r="I418" i="1"/>
  <c r="K418" i="1" s="1"/>
  <c r="L418" i="1" s="1" a="1"/>
  <c r="L418" i="1" s="1"/>
  <c r="G418" i="1"/>
  <c r="F418" i="1" s="1" a="1"/>
  <c r="F418" i="1" s="1"/>
  <c r="E418" i="1"/>
  <c r="I417" i="1"/>
  <c r="K417" i="1" s="1"/>
  <c r="L417" i="1" s="1" a="1"/>
  <c r="L417" i="1" s="1"/>
  <c r="G417" i="1"/>
  <c r="F417" i="1" s="1" a="1"/>
  <c r="F417" i="1" s="1"/>
  <c r="E417" i="1"/>
  <c r="I416" i="1"/>
  <c r="K416" i="1" s="1"/>
  <c r="L416" i="1" s="1" a="1"/>
  <c r="L416" i="1" s="1"/>
  <c r="G416" i="1"/>
  <c r="F416" i="1" s="1" a="1"/>
  <c r="F416" i="1" s="1"/>
  <c r="E416" i="1"/>
  <c r="I415" i="1"/>
  <c r="K415" i="1" s="1"/>
  <c r="L415" i="1" s="1" a="1"/>
  <c r="L415" i="1" s="1"/>
  <c r="G415" i="1"/>
  <c r="F415" i="1" s="1" a="1"/>
  <c r="F415" i="1" s="1"/>
  <c r="E415" i="1"/>
  <c r="I414" i="1"/>
  <c r="K414" i="1" s="1"/>
  <c r="L414" i="1" s="1" a="1"/>
  <c r="L414" i="1" s="1"/>
  <c r="G414" i="1"/>
  <c r="F414" i="1" s="1" a="1"/>
  <c r="F414" i="1" s="1"/>
  <c r="E414" i="1"/>
  <c r="I413" i="1"/>
  <c r="K413" i="1" s="1"/>
  <c r="L413" i="1" s="1" a="1"/>
  <c r="L413" i="1" s="1"/>
  <c r="G413" i="1"/>
  <c r="F413" i="1" s="1" a="1"/>
  <c r="F413" i="1" s="1"/>
  <c r="E413" i="1"/>
  <c r="I412" i="1"/>
  <c r="K412" i="1" s="1"/>
  <c r="L412" i="1" s="1" a="1"/>
  <c r="L412" i="1" s="1"/>
  <c r="G412" i="1"/>
  <c r="F412" i="1" s="1" a="1"/>
  <c r="F412" i="1" s="1"/>
  <c r="E412" i="1"/>
  <c r="I411" i="1"/>
  <c r="K411" i="1" s="1"/>
  <c r="L411" i="1" s="1" a="1"/>
  <c r="L411" i="1" s="1"/>
  <c r="G411" i="1"/>
  <c r="F411" i="1" s="1" a="1"/>
  <c r="F411" i="1" s="1"/>
  <c r="E411" i="1"/>
  <c r="I410" i="1"/>
  <c r="K410" i="1" s="1"/>
  <c r="L410" i="1" s="1" a="1"/>
  <c r="L410" i="1" s="1"/>
  <c r="G410" i="1"/>
  <c r="F410" i="1" s="1" a="1"/>
  <c r="F410" i="1" s="1"/>
  <c r="E410" i="1"/>
  <c r="I409" i="1"/>
  <c r="K409" i="1" s="1"/>
  <c r="L409" i="1" s="1" a="1"/>
  <c r="L409" i="1" s="1"/>
  <c r="G409" i="1"/>
  <c r="F409" i="1" s="1" a="1"/>
  <c r="F409" i="1" s="1"/>
  <c r="E409" i="1"/>
  <c r="I408" i="1"/>
  <c r="K408" i="1" s="1"/>
  <c r="L408" i="1" s="1" a="1"/>
  <c r="L408" i="1" s="1"/>
  <c r="G408" i="1"/>
  <c r="F408" i="1" s="1" a="1"/>
  <c r="F408" i="1" s="1"/>
  <c r="E408" i="1"/>
  <c r="I407" i="1"/>
  <c r="K407" i="1" s="1"/>
  <c r="L407" i="1" s="1" a="1"/>
  <c r="L407" i="1" s="1"/>
  <c r="G407" i="1"/>
  <c r="F407" i="1" s="1" a="1"/>
  <c r="F407" i="1" s="1"/>
  <c r="E407" i="1"/>
  <c r="I406" i="1"/>
  <c r="K406" i="1" s="1"/>
  <c r="L406" i="1" s="1" a="1"/>
  <c r="L406" i="1" s="1"/>
  <c r="G406" i="1"/>
  <c r="F406" i="1" s="1" a="1"/>
  <c r="F406" i="1" s="1"/>
  <c r="E406" i="1"/>
  <c r="I405" i="1"/>
  <c r="K405" i="1" s="1"/>
  <c r="L405" i="1" s="1" a="1"/>
  <c r="L405" i="1" s="1"/>
  <c r="G405" i="1"/>
  <c r="F405" i="1" s="1" a="1"/>
  <c r="F405" i="1" s="1"/>
  <c r="E405" i="1"/>
  <c r="I404" i="1"/>
  <c r="K404" i="1" s="1"/>
  <c r="L404" i="1" s="1" a="1"/>
  <c r="L404" i="1" s="1"/>
  <c r="G404" i="1"/>
  <c r="F404" i="1" s="1" a="1"/>
  <c r="F404" i="1" s="1"/>
  <c r="E404" i="1"/>
  <c r="I403" i="1"/>
  <c r="K403" i="1" s="1"/>
  <c r="L403" i="1" s="1" a="1"/>
  <c r="L403" i="1" s="1"/>
  <c r="G403" i="1"/>
  <c r="F403" i="1" s="1" a="1"/>
  <c r="F403" i="1" s="1"/>
  <c r="E403" i="1"/>
  <c r="I402" i="1"/>
  <c r="K402" i="1" s="1"/>
  <c r="L402" i="1" s="1" a="1"/>
  <c r="L402" i="1" s="1"/>
  <c r="G402" i="1"/>
  <c r="F402" i="1" s="1" a="1"/>
  <c r="F402" i="1" s="1"/>
  <c r="E402" i="1"/>
  <c r="I401" i="1"/>
  <c r="K401" i="1" s="1"/>
  <c r="L401" i="1" s="1" a="1"/>
  <c r="L401" i="1" s="1"/>
  <c r="G401" i="1"/>
  <c r="F401" i="1" s="1" a="1"/>
  <c r="F401" i="1" s="1"/>
  <c r="E401" i="1"/>
  <c r="I400" i="1"/>
  <c r="K400" i="1" s="1"/>
  <c r="L400" i="1" s="1" a="1"/>
  <c r="L400" i="1" s="1"/>
  <c r="G400" i="1"/>
  <c r="F400" i="1" s="1" a="1"/>
  <c r="F400" i="1" s="1"/>
  <c r="E400" i="1"/>
  <c r="I399" i="1"/>
  <c r="K399" i="1" s="1"/>
  <c r="L399" i="1" s="1" a="1"/>
  <c r="L399" i="1" s="1"/>
  <c r="G399" i="1"/>
  <c r="F399" i="1" s="1" a="1"/>
  <c r="F399" i="1" s="1"/>
  <c r="E399" i="1"/>
  <c r="I398" i="1"/>
  <c r="K398" i="1" s="1"/>
  <c r="L398" i="1" s="1" a="1"/>
  <c r="L398" i="1" s="1"/>
  <c r="G398" i="1"/>
  <c r="F398" i="1" s="1" a="1"/>
  <c r="F398" i="1" s="1"/>
  <c r="E398" i="1"/>
  <c r="I397" i="1"/>
  <c r="K397" i="1" s="1"/>
  <c r="L397" i="1" s="1" a="1"/>
  <c r="L397" i="1" s="1"/>
  <c r="G397" i="1"/>
  <c r="F397" i="1" s="1" a="1"/>
  <c r="F397" i="1" s="1"/>
  <c r="E397" i="1"/>
  <c r="I396" i="1"/>
  <c r="K396" i="1" s="1"/>
  <c r="L396" i="1" s="1" a="1"/>
  <c r="L396" i="1" s="1"/>
  <c r="G396" i="1"/>
  <c r="F396" i="1" s="1" a="1"/>
  <c r="F396" i="1" s="1"/>
  <c r="E396" i="1"/>
  <c r="I395" i="1"/>
  <c r="K395" i="1" s="1"/>
  <c r="L395" i="1" s="1" a="1"/>
  <c r="L395" i="1" s="1"/>
  <c r="G395" i="1"/>
  <c r="F395" i="1" s="1" a="1"/>
  <c r="F395" i="1" s="1"/>
  <c r="E395" i="1"/>
  <c r="I394" i="1"/>
  <c r="K394" i="1" s="1"/>
  <c r="L394" i="1" s="1" a="1"/>
  <c r="L394" i="1" s="1"/>
  <c r="G394" i="1"/>
  <c r="F394" i="1" s="1" a="1"/>
  <c r="F394" i="1" s="1"/>
  <c r="E394" i="1"/>
  <c r="I393" i="1"/>
  <c r="K393" i="1" s="1"/>
  <c r="L393" i="1" s="1" a="1"/>
  <c r="L393" i="1" s="1"/>
  <c r="G393" i="1"/>
  <c r="F393" i="1" s="1" a="1"/>
  <c r="F393" i="1" s="1"/>
  <c r="E393" i="1"/>
  <c r="I392" i="1"/>
  <c r="K392" i="1" s="1"/>
  <c r="L392" i="1" s="1" a="1"/>
  <c r="L392" i="1" s="1"/>
  <c r="G392" i="1"/>
  <c r="F392" i="1" s="1" a="1"/>
  <c r="F392" i="1" s="1"/>
  <c r="E392" i="1"/>
  <c r="I391" i="1"/>
  <c r="K391" i="1" s="1"/>
  <c r="L391" i="1" s="1" a="1"/>
  <c r="L391" i="1" s="1"/>
  <c r="G391" i="1"/>
  <c r="F391" i="1" s="1" a="1"/>
  <c r="F391" i="1" s="1"/>
  <c r="E391" i="1"/>
  <c r="I390" i="1"/>
  <c r="K390" i="1" s="1"/>
  <c r="L390" i="1" s="1" a="1"/>
  <c r="L390" i="1" s="1"/>
  <c r="G390" i="1"/>
  <c r="F390" i="1" s="1" a="1"/>
  <c r="F390" i="1" s="1"/>
  <c r="E390" i="1"/>
  <c r="I389" i="1"/>
  <c r="K389" i="1" s="1"/>
  <c r="L389" i="1" s="1" a="1"/>
  <c r="L389" i="1" s="1"/>
  <c r="G389" i="1"/>
  <c r="F389" i="1" s="1" a="1"/>
  <c r="F389" i="1" s="1"/>
  <c r="E389" i="1"/>
  <c r="I388" i="1"/>
  <c r="K388" i="1" s="1"/>
  <c r="L388" i="1" s="1" a="1"/>
  <c r="L388" i="1" s="1"/>
  <c r="G388" i="1"/>
  <c r="F388" i="1" s="1" a="1"/>
  <c r="F388" i="1" s="1"/>
  <c r="E388" i="1"/>
  <c r="I387" i="1"/>
  <c r="K387" i="1" s="1"/>
  <c r="L387" i="1" s="1" a="1"/>
  <c r="L387" i="1" s="1"/>
  <c r="G387" i="1"/>
  <c r="F387" i="1" s="1" a="1"/>
  <c r="F387" i="1" s="1"/>
  <c r="E387" i="1"/>
  <c r="I386" i="1"/>
  <c r="K386" i="1" s="1"/>
  <c r="L386" i="1" s="1" a="1"/>
  <c r="L386" i="1" s="1"/>
  <c r="G386" i="1"/>
  <c r="F386" i="1" s="1" a="1"/>
  <c r="F386" i="1" s="1"/>
  <c r="E386" i="1"/>
  <c r="I385" i="1"/>
  <c r="K385" i="1" s="1"/>
  <c r="L385" i="1" s="1" a="1"/>
  <c r="L385" i="1" s="1"/>
  <c r="G385" i="1"/>
  <c r="F385" i="1" s="1" a="1"/>
  <c r="F385" i="1" s="1"/>
  <c r="E385" i="1"/>
  <c r="I384" i="1"/>
  <c r="K384" i="1" s="1"/>
  <c r="L384" i="1" s="1" a="1"/>
  <c r="L384" i="1" s="1"/>
  <c r="G384" i="1"/>
  <c r="F384" i="1" s="1" a="1"/>
  <c r="F384" i="1" s="1"/>
  <c r="E384" i="1"/>
  <c r="I383" i="1"/>
  <c r="K383" i="1" s="1"/>
  <c r="L383" i="1" s="1" a="1"/>
  <c r="L383" i="1" s="1"/>
  <c r="G383" i="1"/>
  <c r="F383" i="1" s="1" a="1"/>
  <c r="F383" i="1" s="1"/>
  <c r="E383" i="1"/>
  <c r="I382" i="1"/>
  <c r="K382" i="1" s="1"/>
  <c r="L382" i="1" s="1" a="1"/>
  <c r="L382" i="1" s="1"/>
  <c r="G382" i="1"/>
  <c r="F382" i="1" s="1" a="1"/>
  <c r="F382" i="1" s="1"/>
  <c r="E382" i="1"/>
  <c r="I381" i="1"/>
  <c r="K381" i="1" s="1"/>
  <c r="L381" i="1" s="1" a="1"/>
  <c r="L381" i="1" s="1"/>
  <c r="G381" i="1"/>
  <c r="F381" i="1" s="1" a="1"/>
  <c r="F381" i="1" s="1"/>
  <c r="E381" i="1"/>
  <c r="I380" i="1"/>
  <c r="K380" i="1" s="1"/>
  <c r="L380" i="1" s="1" a="1"/>
  <c r="L380" i="1" s="1"/>
  <c r="G380" i="1"/>
  <c r="F380" i="1" s="1" a="1"/>
  <c r="F380" i="1" s="1"/>
  <c r="E380" i="1"/>
  <c r="I379" i="1"/>
  <c r="K379" i="1" s="1"/>
  <c r="L379" i="1" s="1" a="1"/>
  <c r="L379" i="1" s="1"/>
  <c r="G379" i="1"/>
  <c r="F379" i="1" s="1" a="1"/>
  <c r="F379" i="1" s="1"/>
  <c r="E379" i="1"/>
  <c r="I378" i="1"/>
  <c r="K378" i="1" s="1"/>
  <c r="L378" i="1" s="1" a="1"/>
  <c r="L378" i="1" s="1"/>
  <c r="G378" i="1"/>
  <c r="F378" i="1" s="1" a="1"/>
  <c r="F378" i="1" s="1"/>
  <c r="E378" i="1"/>
  <c r="I377" i="1"/>
  <c r="K377" i="1" s="1"/>
  <c r="L377" i="1" s="1" a="1"/>
  <c r="L377" i="1" s="1"/>
  <c r="G377" i="1"/>
  <c r="F377" i="1" s="1" a="1"/>
  <c r="F377" i="1" s="1"/>
  <c r="E377" i="1"/>
  <c r="I376" i="1"/>
  <c r="K376" i="1" s="1"/>
  <c r="L376" i="1" s="1" a="1"/>
  <c r="L376" i="1" s="1"/>
  <c r="G376" i="1"/>
  <c r="F376" i="1" s="1" a="1"/>
  <c r="F376" i="1" s="1"/>
  <c r="E376" i="1"/>
  <c r="I375" i="1"/>
  <c r="K375" i="1" s="1"/>
  <c r="L375" i="1" s="1" a="1"/>
  <c r="L375" i="1" s="1"/>
  <c r="G375" i="1"/>
  <c r="F375" i="1" s="1" a="1"/>
  <c r="F375" i="1" s="1"/>
  <c r="E375" i="1"/>
  <c r="I374" i="1"/>
  <c r="K374" i="1" s="1"/>
  <c r="L374" i="1" s="1" a="1"/>
  <c r="L374" i="1" s="1"/>
  <c r="G374" i="1"/>
  <c r="F374" i="1" s="1" a="1"/>
  <c r="F374" i="1" s="1"/>
  <c r="E374" i="1"/>
  <c r="I373" i="1"/>
  <c r="K373" i="1" s="1"/>
  <c r="L373" i="1" s="1" a="1"/>
  <c r="L373" i="1" s="1"/>
  <c r="G373" i="1"/>
  <c r="F373" i="1" s="1" a="1"/>
  <c r="F373" i="1" s="1"/>
  <c r="E373" i="1"/>
  <c r="I372" i="1"/>
  <c r="K372" i="1" s="1"/>
  <c r="L372" i="1" s="1" a="1"/>
  <c r="L372" i="1" s="1"/>
  <c r="G372" i="1"/>
  <c r="F372" i="1" s="1" a="1"/>
  <c r="F372" i="1" s="1"/>
  <c r="E372" i="1"/>
  <c r="I371" i="1"/>
  <c r="K371" i="1" s="1"/>
  <c r="L371" i="1" s="1" a="1"/>
  <c r="L371" i="1" s="1"/>
  <c r="G371" i="1"/>
  <c r="F371" i="1" s="1" a="1"/>
  <c r="F371" i="1" s="1"/>
  <c r="E371" i="1"/>
  <c r="I370" i="1"/>
  <c r="K370" i="1" s="1"/>
  <c r="L370" i="1" s="1" a="1"/>
  <c r="L370" i="1" s="1"/>
  <c r="G370" i="1"/>
  <c r="F370" i="1" s="1" a="1"/>
  <c r="F370" i="1" s="1"/>
  <c r="E370" i="1"/>
  <c r="I369" i="1"/>
  <c r="K369" i="1" s="1"/>
  <c r="L369" i="1" s="1" a="1"/>
  <c r="L369" i="1" s="1"/>
  <c r="G369" i="1"/>
  <c r="F369" i="1" s="1" a="1"/>
  <c r="F369" i="1" s="1"/>
  <c r="E369" i="1"/>
  <c r="I368" i="1"/>
  <c r="K368" i="1" s="1"/>
  <c r="L368" i="1" s="1" a="1"/>
  <c r="L368" i="1" s="1"/>
  <c r="G368" i="1"/>
  <c r="F368" i="1" s="1" a="1"/>
  <c r="F368" i="1" s="1"/>
  <c r="E368" i="1"/>
  <c r="I367" i="1"/>
  <c r="K367" i="1" s="1"/>
  <c r="G367" i="1"/>
  <c r="F367" i="1" s="1" a="1"/>
  <c r="F367" i="1" s="1"/>
  <c r="E367" i="1"/>
  <c r="I366" i="1"/>
  <c r="K366" i="1" s="1"/>
  <c r="L366" i="1" s="1" a="1"/>
  <c r="L366" i="1" s="1"/>
  <c r="G366" i="1"/>
  <c r="F366" i="1" s="1" a="1"/>
  <c r="F366" i="1" s="1"/>
  <c r="E366" i="1"/>
  <c r="I365" i="1"/>
  <c r="K365" i="1" s="1"/>
  <c r="L365" i="1" s="1" a="1"/>
  <c r="L365" i="1" s="1"/>
  <c r="G365" i="1"/>
  <c r="F365" i="1" s="1" a="1"/>
  <c r="F365" i="1" s="1"/>
  <c r="E365" i="1"/>
  <c r="I364" i="1"/>
  <c r="K364" i="1" s="1"/>
  <c r="L364" i="1" s="1" a="1"/>
  <c r="L364" i="1" s="1"/>
  <c r="G364" i="1"/>
  <c r="F364" i="1" s="1" a="1"/>
  <c r="F364" i="1" s="1"/>
  <c r="E364" i="1"/>
  <c r="I363" i="1"/>
  <c r="K363" i="1" s="1"/>
  <c r="L363" i="1" s="1" a="1"/>
  <c r="L363" i="1" s="1"/>
  <c r="G363" i="1"/>
  <c r="F363" i="1" s="1" a="1"/>
  <c r="F363" i="1" s="1"/>
  <c r="E363" i="1"/>
  <c r="I362" i="1"/>
  <c r="K362" i="1" s="1"/>
  <c r="L362" i="1" s="1" a="1"/>
  <c r="L362" i="1" s="1"/>
  <c r="G362" i="1"/>
  <c r="F362" i="1" s="1" a="1"/>
  <c r="F362" i="1" s="1"/>
  <c r="E362" i="1"/>
  <c r="I361" i="1"/>
  <c r="K361" i="1" s="1"/>
  <c r="L361" i="1" s="1" a="1"/>
  <c r="L361" i="1" s="1"/>
  <c r="G361" i="1"/>
  <c r="F361" i="1" s="1" a="1"/>
  <c r="F361" i="1" s="1"/>
  <c r="E361" i="1"/>
  <c r="I360" i="1"/>
  <c r="K360" i="1" s="1"/>
  <c r="L360" i="1" s="1" a="1"/>
  <c r="L360" i="1" s="1"/>
  <c r="G360" i="1"/>
  <c r="F360" i="1" s="1" a="1"/>
  <c r="F360" i="1" s="1"/>
  <c r="E360" i="1"/>
  <c r="I359" i="1"/>
  <c r="K359" i="1" s="1"/>
  <c r="L359" i="1" s="1" a="1"/>
  <c r="L359" i="1" s="1"/>
  <c r="G359" i="1"/>
  <c r="F359" i="1" s="1" a="1"/>
  <c r="F359" i="1" s="1"/>
  <c r="E359" i="1"/>
  <c r="I358" i="1"/>
  <c r="K358" i="1" s="1"/>
  <c r="L358" i="1" s="1" a="1"/>
  <c r="L358" i="1" s="1"/>
  <c r="G358" i="1"/>
  <c r="F358" i="1" s="1" a="1"/>
  <c r="F358" i="1" s="1"/>
  <c r="E358" i="1"/>
  <c r="I357" i="1"/>
  <c r="K357" i="1" s="1"/>
  <c r="L357" i="1" s="1" a="1"/>
  <c r="L357" i="1" s="1"/>
  <c r="G357" i="1"/>
  <c r="F357" i="1" s="1" a="1"/>
  <c r="F357" i="1" s="1"/>
  <c r="E357" i="1"/>
  <c r="I356" i="1"/>
  <c r="K356" i="1" s="1"/>
  <c r="L356" i="1" s="1" a="1"/>
  <c r="L356" i="1" s="1"/>
  <c r="G356" i="1"/>
  <c r="F356" i="1" s="1" a="1"/>
  <c r="F356" i="1" s="1"/>
  <c r="E356" i="1"/>
  <c r="I355" i="1"/>
  <c r="K355" i="1" s="1"/>
  <c r="L355" i="1" s="1" a="1"/>
  <c r="L355" i="1" s="1"/>
  <c r="G355" i="1"/>
  <c r="F355" i="1" s="1" a="1"/>
  <c r="F355" i="1" s="1"/>
  <c r="E355" i="1"/>
  <c r="I354" i="1"/>
  <c r="K354" i="1" s="1"/>
  <c r="L354" i="1" s="1" a="1"/>
  <c r="L354" i="1" s="1"/>
  <c r="G354" i="1"/>
  <c r="F354" i="1" s="1" a="1"/>
  <c r="F354" i="1" s="1"/>
  <c r="E354" i="1"/>
  <c r="I353" i="1"/>
  <c r="K353" i="1" s="1"/>
  <c r="L353" i="1" s="1" a="1"/>
  <c r="L353" i="1" s="1"/>
  <c r="G353" i="1"/>
  <c r="F353" i="1" s="1" a="1"/>
  <c r="F353" i="1" s="1"/>
  <c r="E353" i="1"/>
  <c r="I352" i="1"/>
  <c r="K352" i="1" s="1"/>
  <c r="L352" i="1" s="1" a="1"/>
  <c r="L352" i="1" s="1"/>
  <c r="G352" i="1"/>
  <c r="F352" i="1" s="1" a="1"/>
  <c r="F352" i="1" s="1"/>
  <c r="E352" i="1"/>
  <c r="I351" i="1"/>
  <c r="K351" i="1" s="1"/>
  <c r="L351" i="1" s="1" a="1"/>
  <c r="L351" i="1" s="1"/>
  <c r="G351" i="1"/>
  <c r="F351" i="1" s="1" a="1"/>
  <c r="F351" i="1" s="1"/>
  <c r="E351" i="1"/>
  <c r="I350" i="1"/>
  <c r="K350" i="1" s="1"/>
  <c r="L350" i="1" s="1" a="1"/>
  <c r="L350" i="1" s="1"/>
  <c r="G350" i="1"/>
  <c r="F350" i="1" s="1" a="1"/>
  <c r="F350" i="1" s="1"/>
  <c r="E350" i="1"/>
  <c r="I349" i="1"/>
  <c r="K349" i="1" s="1"/>
  <c r="L349" i="1" s="1" a="1"/>
  <c r="L349" i="1" s="1"/>
  <c r="G349" i="1"/>
  <c r="F349" i="1" s="1" a="1"/>
  <c r="F349" i="1" s="1"/>
  <c r="E349" i="1"/>
  <c r="I348" i="1"/>
  <c r="K348" i="1" s="1"/>
  <c r="L348" i="1" s="1" a="1"/>
  <c r="L348" i="1" s="1"/>
  <c r="G348" i="1"/>
  <c r="F348" i="1" s="1" a="1"/>
  <c r="F348" i="1" s="1"/>
  <c r="E348" i="1"/>
  <c r="I347" i="1"/>
  <c r="K347" i="1" s="1"/>
  <c r="L347" i="1" s="1" a="1"/>
  <c r="L347" i="1" s="1"/>
  <c r="G347" i="1"/>
  <c r="F347" i="1" s="1" a="1"/>
  <c r="F347" i="1" s="1"/>
  <c r="E347" i="1"/>
  <c r="I346" i="1"/>
  <c r="K346" i="1" s="1"/>
  <c r="L346" i="1" s="1" a="1"/>
  <c r="L346" i="1" s="1"/>
  <c r="G346" i="1"/>
  <c r="F346" i="1" s="1" a="1"/>
  <c r="F346" i="1" s="1"/>
  <c r="E346" i="1"/>
  <c r="I345" i="1"/>
  <c r="K345" i="1" s="1"/>
  <c r="L345" i="1" s="1" a="1"/>
  <c r="L345" i="1" s="1"/>
  <c r="G345" i="1"/>
  <c r="F345" i="1" s="1" a="1"/>
  <c r="F345" i="1" s="1"/>
  <c r="E345" i="1"/>
  <c r="I344" i="1"/>
  <c r="K344" i="1" s="1"/>
  <c r="L344" i="1" s="1" a="1"/>
  <c r="L344" i="1" s="1"/>
  <c r="G344" i="1"/>
  <c r="F344" i="1" s="1" a="1"/>
  <c r="F344" i="1" s="1"/>
  <c r="E344" i="1"/>
  <c r="I343" i="1"/>
  <c r="K343" i="1" s="1"/>
  <c r="L343" i="1" s="1" a="1"/>
  <c r="L343" i="1" s="1"/>
  <c r="G343" i="1"/>
  <c r="F343" i="1" s="1" a="1"/>
  <c r="F343" i="1" s="1"/>
  <c r="E343" i="1"/>
  <c r="I342" i="1"/>
  <c r="K342" i="1" s="1"/>
  <c r="L342" i="1" s="1" a="1"/>
  <c r="L342" i="1" s="1"/>
  <c r="G342" i="1"/>
  <c r="F342" i="1" s="1" a="1"/>
  <c r="F342" i="1" s="1"/>
  <c r="E342" i="1"/>
  <c r="I341" i="1"/>
  <c r="K341" i="1" s="1"/>
  <c r="L341" i="1" s="1" a="1"/>
  <c r="L341" i="1" s="1"/>
  <c r="G341" i="1"/>
  <c r="F341" i="1" s="1" a="1"/>
  <c r="F341" i="1" s="1"/>
  <c r="E341" i="1"/>
  <c r="I340" i="1"/>
  <c r="K340" i="1" s="1"/>
  <c r="L340" i="1" s="1" a="1"/>
  <c r="L340" i="1" s="1"/>
  <c r="G340" i="1"/>
  <c r="F340" i="1" s="1" a="1"/>
  <c r="F340" i="1" s="1"/>
  <c r="E340" i="1"/>
  <c r="I339" i="1"/>
  <c r="K339" i="1" s="1"/>
  <c r="L339" i="1" s="1" a="1"/>
  <c r="L339" i="1" s="1"/>
  <c r="G339" i="1"/>
  <c r="F339" i="1" s="1" a="1"/>
  <c r="F339" i="1" s="1"/>
  <c r="E339" i="1"/>
  <c r="I338" i="1"/>
  <c r="K338" i="1" s="1"/>
  <c r="L338" i="1" s="1" a="1"/>
  <c r="L338" i="1" s="1"/>
  <c r="G338" i="1"/>
  <c r="F338" i="1" s="1" a="1"/>
  <c r="F338" i="1" s="1"/>
  <c r="E338" i="1"/>
  <c r="I337" i="1"/>
  <c r="K337" i="1" s="1"/>
  <c r="L337" i="1" s="1" a="1"/>
  <c r="L337" i="1" s="1"/>
  <c r="G337" i="1"/>
  <c r="F337" i="1" s="1" a="1"/>
  <c r="F337" i="1" s="1"/>
  <c r="E337" i="1"/>
  <c r="I336" i="1"/>
  <c r="K336" i="1" s="1"/>
  <c r="L336" i="1" s="1" a="1"/>
  <c r="L336" i="1" s="1"/>
  <c r="G336" i="1"/>
  <c r="F336" i="1" s="1" a="1"/>
  <c r="F336" i="1" s="1"/>
  <c r="E336" i="1"/>
  <c r="I335" i="1"/>
  <c r="K335" i="1" s="1"/>
  <c r="L335" i="1" s="1" a="1"/>
  <c r="L335" i="1" s="1"/>
  <c r="G335" i="1"/>
  <c r="F335" i="1" s="1" a="1"/>
  <c r="F335" i="1" s="1"/>
  <c r="E335" i="1"/>
  <c r="I334" i="1"/>
  <c r="K334" i="1" s="1"/>
  <c r="L334" i="1" s="1" a="1"/>
  <c r="L334" i="1" s="1"/>
  <c r="G334" i="1"/>
  <c r="F334" i="1" s="1" a="1"/>
  <c r="F334" i="1" s="1"/>
  <c r="E334" i="1"/>
  <c r="I333" i="1"/>
  <c r="K333" i="1" s="1"/>
  <c r="L333" i="1" s="1" a="1"/>
  <c r="L333" i="1" s="1"/>
  <c r="G333" i="1"/>
  <c r="F333" i="1" s="1" a="1"/>
  <c r="F333" i="1" s="1"/>
  <c r="E333" i="1"/>
  <c r="I332" i="1"/>
  <c r="K332" i="1" s="1"/>
  <c r="L332" i="1" s="1" a="1"/>
  <c r="L332" i="1" s="1"/>
  <c r="G332" i="1"/>
  <c r="F332" i="1" s="1" a="1"/>
  <c r="F332" i="1" s="1"/>
  <c r="E332" i="1"/>
  <c r="I331" i="1"/>
  <c r="K331" i="1" s="1"/>
  <c r="L331" i="1" s="1" a="1"/>
  <c r="L331" i="1" s="1"/>
  <c r="G331" i="1"/>
  <c r="F331" i="1" s="1" a="1"/>
  <c r="F331" i="1" s="1"/>
  <c r="E331" i="1"/>
  <c r="I330" i="1"/>
  <c r="K330" i="1" s="1"/>
  <c r="L330" i="1" s="1" a="1"/>
  <c r="L330" i="1" s="1"/>
  <c r="G330" i="1"/>
  <c r="F330" i="1" s="1" a="1"/>
  <c r="F330" i="1" s="1"/>
  <c r="E330" i="1"/>
  <c r="I329" i="1"/>
  <c r="K329" i="1" s="1"/>
  <c r="L329" i="1" s="1" a="1"/>
  <c r="L329" i="1" s="1"/>
  <c r="G329" i="1"/>
  <c r="F329" i="1" s="1" a="1"/>
  <c r="F329" i="1" s="1"/>
  <c r="E329" i="1"/>
  <c r="I328" i="1"/>
  <c r="K328" i="1" s="1"/>
  <c r="L328" i="1" s="1" a="1"/>
  <c r="L328" i="1" s="1"/>
  <c r="G328" i="1"/>
  <c r="F328" i="1" s="1" a="1"/>
  <c r="F328" i="1" s="1"/>
  <c r="E328" i="1"/>
  <c r="I327" i="1"/>
  <c r="K327" i="1" s="1"/>
  <c r="L327" i="1" s="1" a="1"/>
  <c r="L327" i="1" s="1"/>
  <c r="G327" i="1"/>
  <c r="F327" i="1" s="1" a="1"/>
  <c r="F327" i="1" s="1"/>
  <c r="E327" i="1"/>
  <c r="I326" i="1"/>
  <c r="K326" i="1" s="1"/>
  <c r="L326" i="1" s="1" a="1"/>
  <c r="L326" i="1" s="1"/>
  <c r="G326" i="1"/>
  <c r="F326" i="1" s="1" a="1"/>
  <c r="F326" i="1" s="1"/>
  <c r="E326" i="1"/>
  <c r="I325" i="1"/>
  <c r="K325" i="1" s="1"/>
  <c r="L325" i="1" s="1" a="1"/>
  <c r="L325" i="1" s="1"/>
  <c r="G325" i="1"/>
  <c r="F325" i="1" s="1" a="1"/>
  <c r="F325" i="1" s="1"/>
  <c r="E325" i="1"/>
  <c r="I324" i="1"/>
  <c r="K324" i="1" s="1"/>
  <c r="L324" i="1" s="1" a="1"/>
  <c r="L324" i="1" s="1"/>
  <c r="G324" i="1"/>
  <c r="F324" i="1" s="1" a="1"/>
  <c r="F324" i="1" s="1"/>
  <c r="E324" i="1"/>
  <c r="I323" i="1"/>
  <c r="K323" i="1" s="1"/>
  <c r="L323" i="1" s="1" a="1"/>
  <c r="L323" i="1" s="1"/>
  <c r="G323" i="1"/>
  <c r="F323" i="1" s="1" a="1"/>
  <c r="F323" i="1" s="1"/>
  <c r="E323" i="1"/>
  <c r="I322" i="1"/>
  <c r="K322" i="1" s="1"/>
  <c r="L322" i="1" s="1" a="1"/>
  <c r="L322" i="1" s="1"/>
  <c r="G322" i="1"/>
  <c r="F322" i="1" s="1" a="1"/>
  <c r="F322" i="1" s="1"/>
  <c r="E322" i="1"/>
  <c r="I321" i="1"/>
  <c r="K321" i="1" s="1"/>
  <c r="L321" i="1" s="1" a="1"/>
  <c r="L321" i="1" s="1"/>
  <c r="G321" i="1"/>
  <c r="F321" i="1" s="1" a="1"/>
  <c r="F321" i="1" s="1"/>
  <c r="E321" i="1"/>
  <c r="I320" i="1"/>
  <c r="K320" i="1" s="1"/>
  <c r="L320" i="1" s="1" a="1"/>
  <c r="L320" i="1" s="1"/>
  <c r="G320" i="1"/>
  <c r="F320" i="1" s="1" a="1"/>
  <c r="F320" i="1" s="1"/>
  <c r="E320" i="1"/>
  <c r="I319" i="1"/>
  <c r="K319" i="1" s="1"/>
  <c r="L319" i="1" s="1" a="1"/>
  <c r="L319" i="1" s="1"/>
  <c r="G319" i="1"/>
  <c r="F319" i="1" s="1" a="1"/>
  <c r="F319" i="1" s="1"/>
  <c r="E319" i="1"/>
  <c r="I318" i="1"/>
  <c r="K318" i="1" s="1"/>
  <c r="L318" i="1" s="1" a="1"/>
  <c r="L318" i="1" s="1"/>
  <c r="G318" i="1"/>
  <c r="F318" i="1" s="1" a="1"/>
  <c r="F318" i="1" s="1"/>
  <c r="E318" i="1"/>
  <c r="I317" i="1"/>
  <c r="K317" i="1" s="1"/>
  <c r="L317" i="1" s="1" a="1"/>
  <c r="L317" i="1" s="1"/>
  <c r="G317" i="1"/>
  <c r="F317" i="1" s="1" a="1"/>
  <c r="F317" i="1" s="1"/>
  <c r="E317" i="1"/>
  <c r="I316" i="1"/>
  <c r="K316" i="1" s="1"/>
  <c r="L316" i="1" s="1" a="1"/>
  <c r="L316" i="1" s="1"/>
  <c r="G316" i="1"/>
  <c r="F316" i="1" s="1" a="1"/>
  <c r="F316" i="1" s="1"/>
  <c r="E316" i="1"/>
  <c r="I315" i="1"/>
  <c r="K315" i="1" s="1"/>
  <c r="L315" i="1" s="1" a="1"/>
  <c r="L315" i="1" s="1"/>
  <c r="G315" i="1"/>
  <c r="F315" i="1" s="1" a="1"/>
  <c r="F315" i="1" s="1"/>
  <c r="E315" i="1"/>
  <c r="I314" i="1"/>
  <c r="K314" i="1" s="1"/>
  <c r="L314" i="1" s="1" a="1"/>
  <c r="L314" i="1" s="1"/>
  <c r="G314" i="1"/>
  <c r="F314" i="1" s="1" a="1"/>
  <c r="F314" i="1" s="1"/>
  <c r="E314" i="1"/>
  <c r="I313" i="1"/>
  <c r="K313" i="1" s="1"/>
  <c r="L313" i="1" s="1" a="1"/>
  <c r="L313" i="1" s="1"/>
  <c r="G313" i="1"/>
  <c r="F313" i="1" s="1" a="1"/>
  <c r="F313" i="1" s="1"/>
  <c r="E313" i="1"/>
  <c r="I312" i="1"/>
  <c r="K312" i="1" s="1"/>
  <c r="L312" i="1" s="1" a="1"/>
  <c r="L312" i="1" s="1"/>
  <c r="G312" i="1"/>
  <c r="F312" i="1" s="1" a="1"/>
  <c r="F312" i="1" s="1"/>
  <c r="E312" i="1"/>
  <c r="I311" i="1"/>
  <c r="K311" i="1" s="1"/>
  <c r="L311" i="1" s="1" a="1"/>
  <c r="L311" i="1" s="1"/>
  <c r="G311" i="1"/>
  <c r="F311" i="1" s="1" a="1"/>
  <c r="F311" i="1" s="1"/>
  <c r="E311" i="1"/>
  <c r="I310" i="1"/>
  <c r="K310" i="1" s="1"/>
  <c r="L310" i="1" s="1" a="1"/>
  <c r="L310" i="1" s="1"/>
  <c r="G310" i="1"/>
  <c r="F310" i="1" s="1" a="1"/>
  <c r="F310" i="1" s="1"/>
  <c r="E310" i="1"/>
  <c r="I309" i="1"/>
  <c r="K309" i="1" s="1"/>
  <c r="L309" i="1" s="1" a="1"/>
  <c r="L309" i="1" s="1"/>
  <c r="G309" i="1"/>
  <c r="F309" i="1" s="1" a="1"/>
  <c r="F309" i="1" s="1"/>
  <c r="E309" i="1"/>
  <c r="I308" i="1"/>
  <c r="K308" i="1" s="1"/>
  <c r="L308" i="1" s="1" a="1"/>
  <c r="L308" i="1" s="1"/>
  <c r="G308" i="1"/>
  <c r="F308" i="1" s="1" a="1"/>
  <c r="F308" i="1" s="1"/>
  <c r="E308" i="1"/>
  <c r="I307" i="1"/>
  <c r="K307" i="1" s="1"/>
  <c r="L307" i="1" s="1" a="1"/>
  <c r="L307" i="1" s="1"/>
  <c r="G307" i="1"/>
  <c r="F307" i="1" s="1" a="1"/>
  <c r="F307" i="1" s="1"/>
  <c r="E307" i="1"/>
  <c r="I306" i="1"/>
  <c r="K306" i="1" s="1"/>
  <c r="L306" i="1" s="1" a="1"/>
  <c r="L306" i="1" s="1"/>
  <c r="G306" i="1"/>
  <c r="F306" i="1" s="1" a="1"/>
  <c r="F306" i="1" s="1"/>
  <c r="E306" i="1"/>
  <c r="I305" i="1"/>
  <c r="K305" i="1" s="1"/>
  <c r="L305" i="1" s="1" a="1"/>
  <c r="L305" i="1" s="1"/>
  <c r="G305" i="1"/>
  <c r="F305" i="1" s="1" a="1"/>
  <c r="F305" i="1" s="1"/>
  <c r="E305" i="1"/>
  <c r="I304" i="1"/>
  <c r="K304" i="1" s="1"/>
  <c r="L304" i="1" s="1" a="1"/>
  <c r="L304" i="1" s="1"/>
  <c r="G304" i="1"/>
  <c r="F304" i="1" s="1" a="1"/>
  <c r="F304" i="1" s="1"/>
  <c r="E304" i="1"/>
  <c r="I303" i="1"/>
  <c r="K303" i="1" s="1"/>
  <c r="L303" i="1" s="1" a="1"/>
  <c r="L303" i="1" s="1"/>
  <c r="G303" i="1"/>
  <c r="F303" i="1" s="1" a="1"/>
  <c r="F303" i="1" s="1"/>
  <c r="E303" i="1"/>
  <c r="I302" i="1"/>
  <c r="K302" i="1" s="1"/>
  <c r="L302" i="1" s="1" a="1"/>
  <c r="L302" i="1" s="1"/>
  <c r="G302" i="1"/>
  <c r="F302" i="1" s="1" a="1"/>
  <c r="F302" i="1" s="1"/>
  <c r="E302" i="1"/>
  <c r="I301" i="1"/>
  <c r="K301" i="1" s="1"/>
  <c r="L301" i="1" s="1" a="1"/>
  <c r="L301" i="1" s="1"/>
  <c r="G301" i="1"/>
  <c r="F301" i="1" s="1" a="1"/>
  <c r="F301" i="1" s="1"/>
  <c r="E301" i="1"/>
  <c r="I300" i="1"/>
  <c r="K300" i="1" s="1"/>
  <c r="L300" i="1" s="1" a="1"/>
  <c r="L300" i="1" s="1"/>
  <c r="G300" i="1"/>
  <c r="F300" i="1" s="1" a="1"/>
  <c r="F300" i="1" s="1"/>
  <c r="E300" i="1"/>
  <c r="I299" i="1"/>
  <c r="K299" i="1" s="1"/>
  <c r="L299" i="1" s="1" a="1"/>
  <c r="L299" i="1" s="1"/>
  <c r="G299" i="1"/>
  <c r="F299" i="1" s="1" a="1"/>
  <c r="F299" i="1" s="1"/>
  <c r="E299" i="1"/>
  <c r="I298" i="1"/>
  <c r="K298" i="1" s="1"/>
  <c r="L298" i="1" s="1" a="1"/>
  <c r="L298" i="1" s="1"/>
  <c r="G298" i="1"/>
  <c r="F298" i="1" s="1" a="1"/>
  <c r="F298" i="1" s="1"/>
  <c r="E298" i="1"/>
  <c r="I297" i="1"/>
  <c r="K297" i="1" s="1"/>
  <c r="L297" i="1" s="1" a="1"/>
  <c r="L297" i="1" s="1"/>
  <c r="G297" i="1"/>
  <c r="F297" i="1" s="1" a="1"/>
  <c r="F297" i="1" s="1"/>
  <c r="E297" i="1"/>
  <c r="I296" i="1"/>
  <c r="K296" i="1" s="1"/>
  <c r="L296" i="1" s="1" a="1"/>
  <c r="L296" i="1" s="1"/>
  <c r="G296" i="1"/>
  <c r="F296" i="1" s="1" a="1"/>
  <c r="F296" i="1" s="1"/>
  <c r="E296" i="1"/>
  <c r="I295" i="1"/>
  <c r="K295" i="1" s="1"/>
  <c r="L295" i="1" s="1" a="1"/>
  <c r="L295" i="1" s="1"/>
  <c r="G295" i="1"/>
  <c r="F295" i="1" s="1" a="1"/>
  <c r="F295" i="1" s="1"/>
  <c r="E295" i="1"/>
  <c r="I294" i="1"/>
  <c r="K294" i="1" s="1"/>
  <c r="L294" i="1" s="1" a="1"/>
  <c r="L294" i="1" s="1"/>
  <c r="G294" i="1"/>
  <c r="F294" i="1" s="1" a="1"/>
  <c r="F294" i="1" s="1"/>
  <c r="E294" i="1"/>
  <c r="I293" i="1"/>
  <c r="K293" i="1" s="1"/>
  <c r="L293" i="1" s="1" a="1"/>
  <c r="L293" i="1" s="1"/>
  <c r="G293" i="1"/>
  <c r="F293" i="1" s="1" a="1"/>
  <c r="F293" i="1" s="1"/>
  <c r="E293" i="1"/>
  <c r="I292" i="1"/>
  <c r="K292" i="1" s="1"/>
  <c r="L292" i="1" s="1" a="1"/>
  <c r="L292" i="1" s="1"/>
  <c r="G292" i="1"/>
  <c r="F292" i="1" s="1" a="1"/>
  <c r="F292" i="1" s="1"/>
  <c r="E292" i="1"/>
  <c r="I291" i="1"/>
  <c r="K291" i="1" s="1"/>
  <c r="L291" i="1" s="1" a="1"/>
  <c r="L291" i="1" s="1"/>
  <c r="G291" i="1"/>
  <c r="F291" i="1" s="1" a="1"/>
  <c r="F291" i="1" s="1"/>
  <c r="E291" i="1"/>
  <c r="I290" i="1"/>
  <c r="K290" i="1" s="1"/>
  <c r="L290" i="1" s="1" a="1"/>
  <c r="L290" i="1" s="1"/>
  <c r="G290" i="1"/>
  <c r="F290" i="1" s="1" a="1"/>
  <c r="F290" i="1" s="1"/>
  <c r="E290" i="1"/>
  <c r="I289" i="1"/>
  <c r="K289" i="1" s="1"/>
  <c r="L289" i="1" s="1" a="1"/>
  <c r="L289" i="1" s="1"/>
  <c r="G289" i="1"/>
  <c r="F289" i="1" s="1" a="1"/>
  <c r="F289" i="1" s="1"/>
  <c r="E289" i="1"/>
  <c r="I288" i="1"/>
  <c r="K288" i="1" s="1"/>
  <c r="L288" i="1" s="1" a="1"/>
  <c r="L288" i="1" s="1"/>
  <c r="G288" i="1"/>
  <c r="F288" i="1" s="1" a="1"/>
  <c r="F288" i="1" s="1"/>
  <c r="E288" i="1"/>
  <c r="I287" i="1"/>
  <c r="K287" i="1" s="1"/>
  <c r="L287" i="1" s="1" a="1"/>
  <c r="L287" i="1" s="1"/>
  <c r="G287" i="1"/>
  <c r="F287" i="1" s="1" a="1"/>
  <c r="F287" i="1" s="1"/>
  <c r="E287" i="1"/>
  <c r="I286" i="1"/>
  <c r="K286" i="1" s="1"/>
  <c r="L286" i="1" s="1" a="1"/>
  <c r="L286" i="1" s="1"/>
  <c r="G286" i="1"/>
  <c r="F286" i="1" s="1" a="1"/>
  <c r="F286" i="1" s="1"/>
  <c r="E286" i="1"/>
  <c r="I285" i="1"/>
  <c r="K285" i="1" s="1"/>
  <c r="L285" i="1" s="1" a="1"/>
  <c r="L285" i="1" s="1"/>
  <c r="G285" i="1"/>
  <c r="F285" i="1" s="1" a="1"/>
  <c r="F285" i="1" s="1"/>
  <c r="E285" i="1"/>
  <c r="I284" i="1"/>
  <c r="K284" i="1" s="1"/>
  <c r="L284" i="1" s="1" a="1"/>
  <c r="L284" i="1" s="1"/>
  <c r="G284" i="1"/>
  <c r="F284" i="1" s="1" a="1"/>
  <c r="F284" i="1" s="1"/>
  <c r="E284" i="1"/>
  <c r="I283" i="1"/>
  <c r="K283" i="1" s="1"/>
  <c r="L283" i="1" s="1" a="1"/>
  <c r="L283" i="1" s="1"/>
  <c r="G283" i="1"/>
  <c r="F283" i="1" s="1" a="1"/>
  <c r="F283" i="1" s="1"/>
  <c r="E283" i="1"/>
  <c r="I282" i="1"/>
  <c r="K282" i="1" s="1"/>
  <c r="L282" i="1" s="1" a="1"/>
  <c r="L282" i="1" s="1"/>
  <c r="G282" i="1"/>
  <c r="F282" i="1" s="1" a="1"/>
  <c r="F282" i="1" s="1"/>
  <c r="E282" i="1"/>
  <c r="I281" i="1"/>
  <c r="K281" i="1" s="1"/>
  <c r="L281" i="1" s="1" a="1"/>
  <c r="L281" i="1" s="1"/>
  <c r="G281" i="1"/>
  <c r="F281" i="1" s="1" a="1"/>
  <c r="F281" i="1" s="1"/>
  <c r="E281" i="1"/>
  <c r="I280" i="1"/>
  <c r="K280" i="1" s="1"/>
  <c r="L280" i="1" s="1" a="1"/>
  <c r="L280" i="1" s="1"/>
  <c r="G280" i="1"/>
  <c r="F280" i="1" s="1" a="1"/>
  <c r="F280" i="1" s="1"/>
  <c r="E280" i="1"/>
  <c r="I279" i="1"/>
  <c r="K279" i="1" s="1"/>
  <c r="L279" i="1" s="1" a="1"/>
  <c r="L279" i="1" s="1"/>
  <c r="G279" i="1"/>
  <c r="F279" i="1" s="1" a="1"/>
  <c r="F279" i="1" s="1"/>
  <c r="E279" i="1"/>
  <c r="I278" i="1"/>
  <c r="K278" i="1" s="1"/>
  <c r="L278" i="1" s="1" a="1"/>
  <c r="L278" i="1" s="1"/>
  <c r="G278" i="1"/>
  <c r="F278" i="1" s="1" a="1"/>
  <c r="F278" i="1" s="1"/>
  <c r="E278" i="1"/>
  <c r="I277" i="1"/>
  <c r="K277" i="1" s="1"/>
  <c r="L277" i="1" s="1" a="1"/>
  <c r="L277" i="1" s="1"/>
  <c r="G277" i="1"/>
  <c r="F277" i="1" s="1" a="1"/>
  <c r="F277" i="1" s="1"/>
  <c r="E277" i="1"/>
  <c r="I276" i="1"/>
  <c r="K276" i="1" s="1"/>
  <c r="L276" i="1" s="1" a="1"/>
  <c r="L276" i="1" s="1"/>
  <c r="G276" i="1"/>
  <c r="F276" i="1" s="1" a="1"/>
  <c r="F276" i="1" s="1"/>
  <c r="E276" i="1"/>
  <c r="I275" i="1"/>
  <c r="K275" i="1" s="1"/>
  <c r="L275" i="1" s="1" a="1"/>
  <c r="L275" i="1" s="1"/>
  <c r="G275" i="1"/>
  <c r="F275" i="1" s="1" a="1"/>
  <c r="F275" i="1" s="1"/>
  <c r="E275" i="1"/>
  <c r="I274" i="1"/>
  <c r="K274" i="1" s="1"/>
  <c r="L274" i="1" s="1" a="1"/>
  <c r="L274" i="1" s="1"/>
  <c r="G274" i="1"/>
  <c r="F274" i="1" s="1" a="1"/>
  <c r="F274" i="1" s="1"/>
  <c r="E274" i="1"/>
  <c r="I273" i="1"/>
  <c r="K273" i="1" s="1"/>
  <c r="L273" i="1" s="1" a="1"/>
  <c r="L273" i="1" s="1"/>
  <c r="G273" i="1"/>
  <c r="F273" i="1" s="1" a="1"/>
  <c r="F273" i="1" s="1"/>
  <c r="E273" i="1"/>
  <c r="I272" i="1"/>
  <c r="K272" i="1" s="1"/>
  <c r="L272" i="1" s="1" a="1"/>
  <c r="L272" i="1" s="1"/>
  <c r="G272" i="1"/>
  <c r="F272" i="1" s="1" a="1"/>
  <c r="F272" i="1" s="1"/>
  <c r="E272" i="1"/>
  <c r="I271" i="1"/>
  <c r="K271" i="1" s="1"/>
  <c r="L271" i="1" s="1" a="1"/>
  <c r="L271" i="1" s="1"/>
  <c r="G271" i="1"/>
  <c r="F271" i="1" s="1" a="1"/>
  <c r="F271" i="1" s="1"/>
  <c r="E271" i="1"/>
  <c r="I270" i="1"/>
  <c r="K270" i="1" s="1"/>
  <c r="L270" i="1" s="1" a="1"/>
  <c r="L270" i="1" s="1"/>
  <c r="G270" i="1"/>
  <c r="F270" i="1" s="1" a="1"/>
  <c r="F270" i="1" s="1"/>
  <c r="E270" i="1"/>
  <c r="I269" i="1"/>
  <c r="K269" i="1" s="1"/>
  <c r="L269" i="1" s="1" a="1"/>
  <c r="L269" i="1" s="1"/>
  <c r="G269" i="1"/>
  <c r="F269" i="1" s="1" a="1"/>
  <c r="F269" i="1" s="1"/>
  <c r="E269" i="1"/>
  <c r="I268" i="1"/>
  <c r="K268" i="1" s="1"/>
  <c r="L268" i="1" s="1" a="1"/>
  <c r="L268" i="1" s="1"/>
  <c r="G268" i="1"/>
  <c r="F268" i="1" s="1" a="1"/>
  <c r="F268" i="1" s="1"/>
  <c r="E268" i="1"/>
  <c r="I267" i="1"/>
  <c r="K267" i="1" s="1"/>
  <c r="L267" i="1" s="1" a="1"/>
  <c r="L267" i="1" s="1"/>
  <c r="G267" i="1"/>
  <c r="F267" i="1" s="1" a="1"/>
  <c r="F267" i="1" s="1"/>
  <c r="E267" i="1"/>
  <c r="I266" i="1"/>
  <c r="K266" i="1" s="1"/>
  <c r="L266" i="1" s="1" a="1"/>
  <c r="L266" i="1" s="1"/>
  <c r="G266" i="1"/>
  <c r="F266" i="1" s="1" a="1"/>
  <c r="F266" i="1" s="1"/>
  <c r="E266" i="1"/>
  <c r="I265" i="1"/>
  <c r="K265" i="1" s="1"/>
  <c r="L265" i="1" s="1" a="1"/>
  <c r="L265" i="1" s="1"/>
  <c r="G265" i="1"/>
  <c r="F265" i="1" s="1" a="1"/>
  <c r="F265" i="1" s="1"/>
  <c r="E265" i="1"/>
  <c r="I264" i="1"/>
  <c r="K264" i="1" s="1"/>
  <c r="L264" i="1" s="1" a="1"/>
  <c r="L264" i="1" s="1"/>
  <c r="G264" i="1"/>
  <c r="F264" i="1" s="1" a="1"/>
  <c r="F264" i="1" s="1"/>
  <c r="E264" i="1"/>
  <c r="I263" i="1"/>
  <c r="K263" i="1" s="1"/>
  <c r="L263" i="1" s="1" a="1"/>
  <c r="L263" i="1" s="1"/>
  <c r="G263" i="1"/>
  <c r="F263" i="1" s="1" a="1"/>
  <c r="F263" i="1" s="1"/>
  <c r="E263" i="1"/>
  <c r="I262" i="1"/>
  <c r="K262" i="1" s="1"/>
  <c r="L262" i="1" s="1" a="1"/>
  <c r="L262" i="1" s="1"/>
  <c r="G262" i="1"/>
  <c r="F262" i="1" s="1" a="1"/>
  <c r="F262" i="1" s="1"/>
  <c r="E262" i="1"/>
  <c r="I261" i="1"/>
  <c r="K261" i="1" s="1"/>
  <c r="L261" i="1" s="1" a="1"/>
  <c r="L261" i="1" s="1"/>
  <c r="G261" i="1"/>
  <c r="F261" i="1" s="1" a="1"/>
  <c r="F261" i="1" s="1"/>
  <c r="E261" i="1"/>
  <c r="I260" i="1"/>
  <c r="K260" i="1" s="1"/>
  <c r="L260" i="1" s="1" a="1"/>
  <c r="L260" i="1" s="1"/>
  <c r="G260" i="1"/>
  <c r="F260" i="1" s="1" a="1"/>
  <c r="F260" i="1" s="1"/>
  <c r="E260" i="1"/>
  <c r="I259" i="1"/>
  <c r="K259" i="1" s="1"/>
  <c r="L259" i="1" s="1" a="1"/>
  <c r="L259" i="1" s="1"/>
  <c r="G259" i="1"/>
  <c r="F259" i="1" s="1" a="1"/>
  <c r="F259" i="1" s="1"/>
  <c r="E259" i="1"/>
  <c r="I258" i="1"/>
  <c r="K258" i="1" s="1"/>
  <c r="L258" i="1" s="1" a="1"/>
  <c r="L258" i="1" s="1"/>
  <c r="G258" i="1"/>
  <c r="F258" i="1" s="1" a="1"/>
  <c r="F258" i="1" s="1"/>
  <c r="E258" i="1"/>
  <c r="I257" i="1"/>
  <c r="K257" i="1" s="1"/>
  <c r="L257" i="1" s="1" a="1"/>
  <c r="L257" i="1" s="1"/>
  <c r="G257" i="1"/>
  <c r="F257" i="1" s="1" a="1"/>
  <c r="F257" i="1" s="1"/>
  <c r="E257" i="1"/>
  <c r="I256" i="1"/>
  <c r="K256" i="1" s="1"/>
  <c r="L256" i="1" s="1" a="1"/>
  <c r="L256" i="1" s="1"/>
  <c r="G256" i="1"/>
  <c r="F256" i="1" s="1" a="1"/>
  <c r="F256" i="1" s="1"/>
  <c r="E256" i="1"/>
  <c r="I255" i="1"/>
  <c r="K255" i="1" s="1"/>
  <c r="L255" i="1" s="1" a="1"/>
  <c r="L255" i="1" s="1"/>
  <c r="G255" i="1"/>
  <c r="F255" i="1" s="1" a="1"/>
  <c r="F255" i="1" s="1"/>
  <c r="E255" i="1"/>
  <c r="I254" i="1"/>
  <c r="K254" i="1" s="1"/>
  <c r="L254" i="1" s="1" a="1"/>
  <c r="L254" i="1" s="1"/>
  <c r="G254" i="1"/>
  <c r="F254" i="1" s="1" a="1"/>
  <c r="F254" i="1" s="1"/>
  <c r="E254" i="1"/>
  <c r="I253" i="1"/>
  <c r="K253" i="1" s="1"/>
  <c r="L253" i="1" s="1" a="1"/>
  <c r="L253" i="1" s="1"/>
  <c r="G253" i="1"/>
  <c r="F253" i="1" s="1" a="1"/>
  <c r="F253" i="1" s="1"/>
  <c r="E253" i="1"/>
  <c r="I252" i="1"/>
  <c r="K252" i="1" s="1"/>
  <c r="L252" i="1" s="1" a="1"/>
  <c r="L252" i="1" s="1"/>
  <c r="G252" i="1"/>
  <c r="F252" i="1" s="1" a="1"/>
  <c r="F252" i="1" s="1"/>
  <c r="E252" i="1"/>
  <c r="I251" i="1"/>
  <c r="K251" i="1" s="1"/>
  <c r="L251" i="1" s="1" a="1"/>
  <c r="L251" i="1" s="1"/>
  <c r="G251" i="1"/>
  <c r="F251" i="1" s="1" a="1"/>
  <c r="F251" i="1" s="1"/>
  <c r="E251" i="1"/>
  <c r="I250" i="1"/>
  <c r="K250" i="1" s="1"/>
  <c r="L250" i="1" s="1" a="1"/>
  <c r="L250" i="1" s="1"/>
  <c r="G250" i="1"/>
  <c r="F250" i="1" s="1" a="1"/>
  <c r="F250" i="1" s="1"/>
  <c r="E250" i="1"/>
  <c r="I249" i="1"/>
  <c r="K249" i="1" s="1"/>
  <c r="L249" i="1" s="1" a="1"/>
  <c r="L249" i="1" s="1"/>
  <c r="G249" i="1"/>
  <c r="F249" i="1" s="1" a="1"/>
  <c r="F249" i="1" s="1"/>
  <c r="E249" i="1"/>
  <c r="I248" i="1"/>
  <c r="K248" i="1" s="1"/>
  <c r="L248" i="1" s="1" a="1"/>
  <c r="L248" i="1" s="1"/>
  <c r="G248" i="1"/>
  <c r="F248" i="1" s="1" a="1"/>
  <c r="F248" i="1" s="1"/>
  <c r="E248" i="1"/>
  <c r="I247" i="1"/>
  <c r="K247" i="1" s="1"/>
  <c r="L247" i="1" s="1" a="1"/>
  <c r="L247" i="1" s="1"/>
  <c r="G247" i="1"/>
  <c r="F247" i="1" s="1" a="1"/>
  <c r="F247" i="1" s="1"/>
  <c r="E247" i="1"/>
  <c r="I246" i="1"/>
  <c r="K246" i="1" s="1"/>
  <c r="L246" i="1" s="1" a="1"/>
  <c r="L246" i="1" s="1"/>
  <c r="G246" i="1"/>
  <c r="F246" i="1" s="1" a="1"/>
  <c r="F246" i="1" s="1"/>
  <c r="E246" i="1"/>
  <c r="I245" i="1"/>
  <c r="K245" i="1" s="1"/>
  <c r="L245" i="1" s="1" a="1"/>
  <c r="L245" i="1" s="1"/>
  <c r="G245" i="1"/>
  <c r="F245" i="1" s="1" a="1"/>
  <c r="F245" i="1" s="1"/>
  <c r="E245" i="1"/>
  <c r="I244" i="1"/>
  <c r="K244" i="1" s="1"/>
  <c r="L244" i="1" s="1" a="1"/>
  <c r="L244" i="1" s="1"/>
  <c r="G244" i="1"/>
  <c r="F244" i="1" s="1" a="1"/>
  <c r="F244" i="1" s="1"/>
  <c r="E244" i="1"/>
  <c r="I243" i="1"/>
  <c r="K243" i="1" s="1"/>
  <c r="L243" i="1" s="1" a="1"/>
  <c r="L243" i="1" s="1"/>
  <c r="G243" i="1"/>
  <c r="F243" i="1" s="1" a="1"/>
  <c r="F243" i="1" s="1"/>
  <c r="E243" i="1"/>
  <c r="I242" i="1"/>
  <c r="K242" i="1" s="1"/>
  <c r="L242" i="1" s="1" a="1"/>
  <c r="L242" i="1" s="1"/>
  <c r="G242" i="1"/>
  <c r="F242" i="1" s="1" a="1"/>
  <c r="F242" i="1" s="1"/>
  <c r="E242" i="1"/>
  <c r="I241" i="1"/>
  <c r="K241" i="1" s="1"/>
  <c r="L241" i="1" s="1" a="1"/>
  <c r="L241" i="1" s="1"/>
  <c r="G241" i="1"/>
  <c r="F241" i="1" s="1" a="1"/>
  <c r="F241" i="1" s="1"/>
  <c r="E241" i="1"/>
  <c r="I240" i="1"/>
  <c r="K240" i="1" s="1"/>
  <c r="L240" i="1" s="1" a="1"/>
  <c r="L240" i="1" s="1"/>
  <c r="G240" i="1"/>
  <c r="F240" i="1" s="1" a="1"/>
  <c r="F240" i="1" s="1"/>
  <c r="E240" i="1"/>
  <c r="I239" i="1"/>
  <c r="K239" i="1" s="1"/>
  <c r="L239" i="1" s="1" a="1"/>
  <c r="L239" i="1" s="1"/>
  <c r="G239" i="1"/>
  <c r="F239" i="1" s="1" a="1"/>
  <c r="F239" i="1" s="1"/>
  <c r="E239" i="1"/>
  <c r="I238" i="1"/>
  <c r="K238" i="1" s="1"/>
  <c r="L238" i="1" s="1" a="1"/>
  <c r="L238" i="1" s="1"/>
  <c r="G238" i="1"/>
  <c r="F238" i="1" s="1" a="1"/>
  <c r="F238" i="1" s="1"/>
  <c r="E238" i="1"/>
  <c r="I237" i="1"/>
  <c r="K237" i="1" s="1"/>
  <c r="L237" i="1" s="1" a="1"/>
  <c r="L237" i="1" s="1"/>
  <c r="G237" i="1"/>
  <c r="F237" i="1" s="1" a="1"/>
  <c r="F237" i="1" s="1"/>
  <c r="E237" i="1"/>
  <c r="I236" i="1"/>
  <c r="K236" i="1" s="1"/>
  <c r="L236" i="1" s="1" a="1"/>
  <c r="L236" i="1" s="1"/>
  <c r="G236" i="1"/>
  <c r="F236" i="1" s="1" a="1"/>
  <c r="F236" i="1" s="1"/>
  <c r="E236" i="1"/>
  <c r="I235" i="1"/>
  <c r="K235" i="1" s="1"/>
  <c r="L235" i="1" s="1" a="1"/>
  <c r="L235" i="1" s="1"/>
  <c r="G235" i="1"/>
  <c r="F235" i="1" s="1" a="1"/>
  <c r="F235" i="1" s="1"/>
  <c r="E235" i="1"/>
  <c r="I234" i="1"/>
  <c r="K234" i="1" s="1"/>
  <c r="L234" i="1" s="1" a="1"/>
  <c r="L234" i="1" s="1"/>
  <c r="G234" i="1"/>
  <c r="F234" i="1" s="1" a="1"/>
  <c r="F234" i="1" s="1"/>
  <c r="E234" i="1"/>
  <c r="I233" i="1"/>
  <c r="K233" i="1" s="1"/>
  <c r="L233" i="1" s="1" a="1"/>
  <c r="L233" i="1" s="1"/>
  <c r="G233" i="1"/>
  <c r="F233" i="1" s="1" a="1"/>
  <c r="F233" i="1" s="1"/>
  <c r="E233" i="1"/>
  <c r="I232" i="1"/>
  <c r="K232" i="1" s="1"/>
  <c r="L232" i="1" s="1" a="1"/>
  <c r="L232" i="1" s="1"/>
  <c r="G232" i="1"/>
  <c r="F232" i="1" s="1" a="1"/>
  <c r="F232" i="1" s="1"/>
  <c r="E232" i="1"/>
  <c r="I231" i="1"/>
  <c r="K231" i="1" s="1"/>
  <c r="L231" i="1" s="1" a="1"/>
  <c r="L231" i="1" s="1"/>
  <c r="G231" i="1"/>
  <c r="F231" i="1" s="1" a="1"/>
  <c r="F231" i="1" s="1"/>
  <c r="E231" i="1"/>
  <c r="I230" i="1"/>
  <c r="K230" i="1" s="1"/>
  <c r="L230" i="1" s="1" a="1"/>
  <c r="L230" i="1" s="1"/>
  <c r="G230" i="1"/>
  <c r="F230" i="1" s="1" a="1"/>
  <c r="F230" i="1" s="1"/>
  <c r="E230" i="1"/>
  <c r="I229" i="1"/>
  <c r="K229" i="1" s="1"/>
  <c r="L229" i="1" s="1" a="1"/>
  <c r="L229" i="1" s="1"/>
  <c r="G229" i="1"/>
  <c r="F229" i="1" s="1" a="1"/>
  <c r="F229" i="1" s="1"/>
  <c r="E229" i="1"/>
  <c r="I228" i="1"/>
  <c r="K228" i="1" s="1"/>
  <c r="L228" i="1" s="1" a="1"/>
  <c r="L228" i="1" s="1"/>
  <c r="G228" i="1"/>
  <c r="F228" i="1" s="1" a="1"/>
  <c r="F228" i="1" s="1"/>
  <c r="E228" i="1"/>
  <c r="I227" i="1"/>
  <c r="K227" i="1" s="1"/>
  <c r="L227" i="1" s="1" a="1"/>
  <c r="L227" i="1" s="1"/>
  <c r="G227" i="1"/>
  <c r="F227" i="1" s="1" a="1"/>
  <c r="F227" i="1" s="1"/>
  <c r="E227" i="1"/>
  <c r="I226" i="1"/>
  <c r="K226" i="1" s="1"/>
  <c r="L226" i="1" s="1" a="1"/>
  <c r="L226" i="1" s="1"/>
  <c r="G226" i="1"/>
  <c r="F226" i="1" s="1" a="1"/>
  <c r="F226" i="1" s="1"/>
  <c r="E226" i="1"/>
  <c r="I225" i="1"/>
  <c r="K225" i="1" s="1"/>
  <c r="L225" i="1" s="1" a="1"/>
  <c r="L225" i="1" s="1"/>
  <c r="G225" i="1"/>
  <c r="F225" i="1" s="1" a="1"/>
  <c r="F225" i="1" s="1"/>
  <c r="E225" i="1"/>
  <c r="I224" i="1"/>
  <c r="K224" i="1" s="1"/>
  <c r="L224" i="1" s="1" a="1"/>
  <c r="L224" i="1" s="1"/>
  <c r="G224" i="1"/>
  <c r="F224" i="1" s="1" a="1"/>
  <c r="F224" i="1" s="1"/>
  <c r="E224" i="1"/>
  <c r="I223" i="1"/>
  <c r="K223" i="1" s="1"/>
  <c r="L223" i="1" s="1" a="1"/>
  <c r="L223" i="1" s="1"/>
  <c r="G223" i="1"/>
  <c r="F223" i="1" s="1" a="1"/>
  <c r="F223" i="1" s="1"/>
  <c r="E223" i="1"/>
  <c r="I222" i="1"/>
  <c r="K222" i="1" s="1"/>
  <c r="L222" i="1" s="1" a="1"/>
  <c r="L222" i="1" s="1"/>
  <c r="G222" i="1"/>
  <c r="F222" i="1" s="1" a="1"/>
  <c r="F222" i="1" s="1"/>
  <c r="E222" i="1"/>
  <c r="I221" i="1"/>
  <c r="K221" i="1" s="1"/>
  <c r="L221" i="1" s="1" a="1"/>
  <c r="L221" i="1" s="1"/>
  <c r="G221" i="1"/>
  <c r="F221" i="1" s="1" a="1"/>
  <c r="F221" i="1" s="1"/>
  <c r="E221" i="1"/>
  <c r="I220" i="1"/>
  <c r="K220" i="1" s="1"/>
  <c r="L220" i="1" s="1" a="1"/>
  <c r="L220" i="1" s="1"/>
  <c r="G220" i="1"/>
  <c r="F220" i="1" s="1" a="1"/>
  <c r="F220" i="1" s="1"/>
  <c r="E220" i="1"/>
  <c r="I219" i="1"/>
  <c r="K219" i="1" s="1"/>
  <c r="L219" i="1" s="1" a="1"/>
  <c r="L219" i="1" s="1"/>
  <c r="G219" i="1"/>
  <c r="F219" i="1" s="1" a="1"/>
  <c r="F219" i="1" s="1"/>
  <c r="E219" i="1"/>
  <c r="I218" i="1"/>
  <c r="K218" i="1" s="1"/>
  <c r="L218" i="1" s="1" a="1"/>
  <c r="L218" i="1" s="1"/>
  <c r="G218" i="1"/>
  <c r="F218" i="1" s="1" a="1"/>
  <c r="F218" i="1" s="1"/>
  <c r="E218" i="1"/>
  <c r="I217" i="1"/>
  <c r="K217" i="1" s="1"/>
  <c r="L217" i="1" s="1" a="1"/>
  <c r="L217" i="1" s="1"/>
  <c r="G217" i="1"/>
  <c r="F217" i="1" s="1" a="1"/>
  <c r="F217" i="1" s="1"/>
  <c r="E217" i="1"/>
  <c r="I216" i="1"/>
  <c r="K216" i="1" s="1"/>
  <c r="L216" i="1" s="1" a="1"/>
  <c r="L216" i="1" s="1"/>
  <c r="G216" i="1"/>
  <c r="F216" i="1" s="1" a="1"/>
  <c r="F216" i="1" s="1"/>
  <c r="E216" i="1"/>
  <c r="I215" i="1"/>
  <c r="K215" i="1" s="1"/>
  <c r="L215" i="1" s="1" a="1"/>
  <c r="L215" i="1" s="1"/>
  <c r="G215" i="1"/>
  <c r="F215" i="1" s="1" a="1"/>
  <c r="F215" i="1" s="1"/>
  <c r="E215" i="1"/>
  <c r="I214" i="1"/>
  <c r="K214" i="1" s="1"/>
  <c r="L214" i="1" s="1" a="1"/>
  <c r="L214" i="1" s="1"/>
  <c r="G214" i="1"/>
  <c r="F214" i="1" s="1" a="1"/>
  <c r="F214" i="1" s="1"/>
  <c r="E214" i="1"/>
  <c r="I213" i="1"/>
  <c r="K213" i="1" s="1"/>
  <c r="L213" i="1" s="1" a="1"/>
  <c r="L213" i="1" s="1"/>
  <c r="G213" i="1"/>
  <c r="F213" i="1" s="1" a="1"/>
  <c r="F213" i="1" s="1"/>
  <c r="E213" i="1"/>
  <c r="I212" i="1"/>
  <c r="K212" i="1" s="1"/>
  <c r="L212" i="1" s="1" a="1"/>
  <c r="L212" i="1" s="1"/>
  <c r="G212" i="1"/>
  <c r="F212" i="1" s="1" a="1"/>
  <c r="F212" i="1" s="1"/>
  <c r="E212" i="1"/>
  <c r="I211" i="1"/>
  <c r="K211" i="1" s="1"/>
  <c r="L211" i="1" s="1" a="1"/>
  <c r="L211" i="1" s="1"/>
  <c r="G211" i="1"/>
  <c r="F211" i="1" s="1" a="1"/>
  <c r="F211" i="1" s="1"/>
  <c r="E211" i="1"/>
  <c r="I210" i="1"/>
  <c r="K210" i="1" s="1"/>
  <c r="L210" i="1" s="1" a="1"/>
  <c r="L210" i="1" s="1"/>
  <c r="G210" i="1"/>
  <c r="F210" i="1" s="1" a="1"/>
  <c r="F210" i="1" s="1"/>
  <c r="E210" i="1"/>
  <c r="I209" i="1"/>
  <c r="K209" i="1" s="1"/>
  <c r="L209" i="1" s="1" a="1"/>
  <c r="L209" i="1" s="1"/>
  <c r="G209" i="1"/>
  <c r="F209" i="1" s="1" a="1"/>
  <c r="F209" i="1" s="1"/>
  <c r="E209" i="1"/>
  <c r="I208" i="1"/>
  <c r="K208" i="1" s="1"/>
  <c r="L208" i="1" s="1" a="1"/>
  <c r="L208" i="1" s="1"/>
  <c r="G208" i="1"/>
  <c r="F208" i="1" s="1" a="1"/>
  <c r="F208" i="1" s="1"/>
  <c r="E208" i="1"/>
  <c r="I207" i="1"/>
  <c r="K207" i="1" s="1"/>
  <c r="L207" i="1" s="1" a="1"/>
  <c r="L207" i="1" s="1"/>
  <c r="G207" i="1"/>
  <c r="F207" i="1" s="1" a="1"/>
  <c r="F207" i="1" s="1"/>
  <c r="E207" i="1"/>
  <c r="I206" i="1"/>
  <c r="K206" i="1" s="1"/>
  <c r="L206" i="1" s="1" a="1"/>
  <c r="L206" i="1" s="1"/>
  <c r="G206" i="1"/>
  <c r="F206" i="1" s="1" a="1"/>
  <c r="F206" i="1" s="1"/>
  <c r="E206" i="1"/>
  <c r="I205" i="1"/>
  <c r="K205" i="1" s="1"/>
  <c r="L205" i="1" s="1" a="1"/>
  <c r="L205" i="1" s="1"/>
  <c r="G205" i="1"/>
  <c r="F205" i="1" s="1" a="1"/>
  <c r="F205" i="1" s="1"/>
  <c r="E205" i="1"/>
  <c r="I204" i="1"/>
  <c r="K204" i="1" s="1"/>
  <c r="L204" i="1" s="1" a="1"/>
  <c r="L204" i="1" s="1"/>
  <c r="G204" i="1"/>
  <c r="F204" i="1" s="1" a="1"/>
  <c r="F204" i="1" s="1"/>
  <c r="E204" i="1"/>
  <c r="I203" i="1"/>
  <c r="K203" i="1" s="1"/>
  <c r="L203" i="1" s="1" a="1"/>
  <c r="L203" i="1" s="1"/>
  <c r="G203" i="1"/>
  <c r="F203" i="1" s="1" a="1"/>
  <c r="F203" i="1" s="1"/>
  <c r="E203" i="1"/>
  <c r="I202" i="1"/>
  <c r="K202" i="1" s="1"/>
  <c r="L202" i="1" s="1" a="1"/>
  <c r="L202" i="1" s="1"/>
  <c r="G202" i="1"/>
  <c r="F202" i="1" s="1" a="1"/>
  <c r="F202" i="1" s="1"/>
  <c r="E202" i="1"/>
  <c r="I201" i="1"/>
  <c r="K201" i="1" s="1"/>
  <c r="L201" i="1" s="1" a="1"/>
  <c r="L201" i="1" s="1"/>
  <c r="G201" i="1"/>
  <c r="F201" i="1" s="1" a="1"/>
  <c r="F201" i="1" s="1"/>
  <c r="E201" i="1"/>
  <c r="I200" i="1"/>
  <c r="K200" i="1" s="1"/>
  <c r="L200" i="1" s="1" a="1"/>
  <c r="L200" i="1" s="1"/>
  <c r="G200" i="1"/>
  <c r="F200" i="1" s="1" a="1"/>
  <c r="F200" i="1" s="1"/>
  <c r="E200" i="1"/>
  <c r="I199" i="1"/>
  <c r="K199" i="1" s="1"/>
  <c r="L199" i="1" s="1" a="1"/>
  <c r="L199" i="1" s="1"/>
  <c r="G199" i="1"/>
  <c r="F199" i="1" s="1" a="1"/>
  <c r="F199" i="1" s="1"/>
  <c r="E199" i="1"/>
  <c r="I198" i="1"/>
  <c r="K198" i="1" s="1"/>
  <c r="L198" i="1" s="1" a="1"/>
  <c r="L198" i="1" s="1"/>
  <c r="G198" i="1"/>
  <c r="F198" i="1" s="1" a="1"/>
  <c r="F198" i="1" s="1"/>
  <c r="E198" i="1"/>
  <c r="I197" i="1"/>
  <c r="K197" i="1" s="1"/>
  <c r="L197" i="1" s="1" a="1"/>
  <c r="L197" i="1" s="1"/>
  <c r="G197" i="1"/>
  <c r="F197" i="1" s="1" a="1"/>
  <c r="F197" i="1" s="1"/>
  <c r="E197" i="1"/>
  <c r="I196" i="1"/>
  <c r="K196" i="1" s="1"/>
  <c r="L196" i="1" s="1" a="1"/>
  <c r="L196" i="1" s="1"/>
  <c r="G196" i="1"/>
  <c r="F196" i="1" s="1" a="1"/>
  <c r="F196" i="1" s="1"/>
  <c r="E196" i="1"/>
  <c r="I195" i="1"/>
  <c r="K195" i="1" s="1"/>
  <c r="L195" i="1" s="1" a="1"/>
  <c r="L195" i="1" s="1"/>
  <c r="G195" i="1"/>
  <c r="F195" i="1" s="1" a="1"/>
  <c r="F195" i="1" s="1"/>
  <c r="E195" i="1"/>
  <c r="I194" i="1"/>
  <c r="K194" i="1" s="1"/>
  <c r="L194" i="1" s="1" a="1"/>
  <c r="L194" i="1" s="1"/>
  <c r="G194" i="1"/>
  <c r="F194" i="1" s="1" a="1"/>
  <c r="F194" i="1" s="1"/>
  <c r="E194" i="1"/>
  <c r="I193" i="1"/>
  <c r="K193" i="1" s="1"/>
  <c r="L193" i="1" s="1" a="1"/>
  <c r="L193" i="1" s="1"/>
  <c r="G193" i="1"/>
  <c r="F193" i="1" s="1" a="1"/>
  <c r="F193" i="1" s="1"/>
  <c r="E193" i="1"/>
  <c r="I192" i="1"/>
  <c r="K192" i="1" s="1"/>
  <c r="L192" i="1" s="1" a="1"/>
  <c r="L192" i="1" s="1"/>
  <c r="G192" i="1"/>
  <c r="F192" i="1" s="1" a="1"/>
  <c r="F192" i="1" s="1"/>
  <c r="E192" i="1"/>
  <c r="I191" i="1"/>
  <c r="K191" i="1" s="1"/>
  <c r="L191" i="1" s="1" a="1"/>
  <c r="L191" i="1" s="1"/>
  <c r="G191" i="1"/>
  <c r="F191" i="1" s="1" a="1"/>
  <c r="F191" i="1" s="1"/>
  <c r="E191" i="1"/>
  <c r="I190" i="1"/>
  <c r="K190" i="1" s="1"/>
  <c r="L190" i="1" s="1" a="1"/>
  <c r="L190" i="1" s="1"/>
  <c r="G190" i="1"/>
  <c r="F190" i="1" s="1" a="1"/>
  <c r="F190" i="1" s="1"/>
  <c r="E190" i="1"/>
  <c r="I189" i="1"/>
  <c r="K189" i="1" s="1"/>
  <c r="L189" i="1" s="1" a="1"/>
  <c r="L189" i="1" s="1"/>
  <c r="G189" i="1"/>
  <c r="F189" i="1" s="1" a="1"/>
  <c r="F189" i="1" s="1"/>
  <c r="E189" i="1"/>
  <c r="I188" i="1"/>
  <c r="K188" i="1" s="1"/>
  <c r="L188" i="1" s="1" a="1"/>
  <c r="L188" i="1" s="1"/>
  <c r="G188" i="1"/>
  <c r="F188" i="1" s="1" a="1"/>
  <c r="F188" i="1" s="1"/>
  <c r="E188" i="1"/>
  <c r="I187" i="1"/>
  <c r="K187" i="1" s="1"/>
  <c r="L187" i="1" s="1" a="1"/>
  <c r="L187" i="1" s="1"/>
  <c r="G187" i="1"/>
  <c r="F187" i="1" s="1" a="1"/>
  <c r="F187" i="1" s="1"/>
  <c r="E187" i="1"/>
  <c r="I186" i="1"/>
  <c r="K186" i="1" s="1"/>
  <c r="L186" i="1" s="1" a="1"/>
  <c r="L186" i="1" s="1"/>
  <c r="G186" i="1"/>
  <c r="F186" i="1" s="1" a="1"/>
  <c r="F186" i="1" s="1"/>
  <c r="E186" i="1"/>
  <c r="I185" i="1"/>
  <c r="K185" i="1" s="1"/>
  <c r="L185" i="1" s="1" a="1"/>
  <c r="L185" i="1" s="1"/>
  <c r="G185" i="1"/>
  <c r="F185" i="1" s="1" a="1"/>
  <c r="F185" i="1" s="1"/>
  <c r="E185" i="1"/>
  <c r="I184" i="1"/>
  <c r="K184" i="1" s="1"/>
  <c r="L184" i="1" s="1" a="1"/>
  <c r="L184" i="1" s="1"/>
  <c r="G184" i="1"/>
  <c r="F184" i="1" s="1" a="1"/>
  <c r="F184" i="1" s="1"/>
  <c r="E184" i="1"/>
  <c r="I183" i="1"/>
  <c r="K183" i="1" s="1"/>
  <c r="L183" i="1" s="1" a="1"/>
  <c r="L183" i="1" s="1"/>
  <c r="G183" i="1"/>
  <c r="F183" i="1" s="1" a="1"/>
  <c r="F183" i="1" s="1"/>
  <c r="E183" i="1"/>
  <c r="I182" i="1"/>
  <c r="K182" i="1" s="1"/>
  <c r="L182" i="1" s="1" a="1"/>
  <c r="L182" i="1" s="1"/>
  <c r="G182" i="1"/>
  <c r="F182" i="1" s="1" a="1"/>
  <c r="F182" i="1" s="1"/>
  <c r="E182" i="1"/>
  <c r="I181" i="1"/>
  <c r="K181" i="1" s="1"/>
  <c r="L181" i="1" s="1" a="1"/>
  <c r="L181" i="1" s="1"/>
  <c r="G181" i="1"/>
  <c r="F181" i="1" s="1" a="1"/>
  <c r="F181" i="1" s="1"/>
  <c r="E181" i="1"/>
  <c r="I180" i="1"/>
  <c r="K180" i="1" s="1"/>
  <c r="L180" i="1" s="1" a="1"/>
  <c r="L180" i="1" s="1"/>
  <c r="G180" i="1"/>
  <c r="F180" i="1" s="1" a="1"/>
  <c r="F180" i="1" s="1"/>
  <c r="E180" i="1"/>
  <c r="I179" i="1"/>
  <c r="K179" i="1" s="1"/>
  <c r="L179" i="1" s="1" a="1"/>
  <c r="L179" i="1" s="1"/>
  <c r="G179" i="1"/>
  <c r="F179" i="1" s="1" a="1"/>
  <c r="F179" i="1" s="1"/>
  <c r="E179" i="1"/>
  <c r="I178" i="1"/>
  <c r="K178" i="1" s="1"/>
  <c r="L178" i="1" s="1" a="1"/>
  <c r="L178" i="1" s="1"/>
  <c r="G178" i="1"/>
  <c r="F178" i="1" s="1" a="1"/>
  <c r="F178" i="1" s="1"/>
  <c r="E178" i="1"/>
  <c r="I177" i="1"/>
  <c r="K177" i="1" s="1"/>
  <c r="L177" i="1" s="1" a="1"/>
  <c r="L177" i="1" s="1"/>
  <c r="G177" i="1"/>
  <c r="F177" i="1" s="1" a="1"/>
  <c r="F177" i="1" s="1"/>
  <c r="E177" i="1"/>
  <c r="I176" i="1"/>
  <c r="K176" i="1" s="1"/>
  <c r="L176" i="1" s="1" a="1"/>
  <c r="L176" i="1" s="1"/>
  <c r="G176" i="1"/>
  <c r="F176" i="1" s="1" a="1"/>
  <c r="F176" i="1" s="1"/>
  <c r="E176" i="1"/>
  <c r="I175" i="1"/>
  <c r="K175" i="1" s="1"/>
  <c r="L175" i="1" s="1" a="1"/>
  <c r="L175" i="1" s="1"/>
  <c r="G175" i="1"/>
  <c r="F175" i="1" s="1" a="1"/>
  <c r="F175" i="1" s="1"/>
  <c r="E175" i="1"/>
  <c r="I174" i="1"/>
  <c r="K174" i="1" s="1"/>
  <c r="L174" i="1" s="1" a="1"/>
  <c r="L174" i="1" s="1"/>
  <c r="G174" i="1"/>
  <c r="F174" i="1" s="1" a="1"/>
  <c r="F174" i="1" s="1"/>
  <c r="E174" i="1"/>
  <c r="I173" i="1"/>
  <c r="K173" i="1" s="1"/>
  <c r="L173" i="1" s="1" a="1"/>
  <c r="L173" i="1" s="1"/>
  <c r="G173" i="1"/>
  <c r="F173" i="1" s="1" a="1"/>
  <c r="F173" i="1" s="1"/>
  <c r="E173" i="1"/>
  <c r="I172" i="1"/>
  <c r="K172" i="1" s="1"/>
  <c r="L172" i="1" s="1" a="1"/>
  <c r="L172" i="1" s="1"/>
  <c r="G172" i="1"/>
  <c r="F172" i="1" s="1" a="1"/>
  <c r="F172" i="1" s="1"/>
  <c r="E172" i="1"/>
  <c r="I171" i="1"/>
  <c r="K171" i="1" s="1"/>
  <c r="L171" i="1" s="1" a="1"/>
  <c r="L171" i="1" s="1"/>
  <c r="G171" i="1"/>
  <c r="F171" i="1" s="1" a="1"/>
  <c r="F171" i="1" s="1"/>
  <c r="E171" i="1"/>
  <c r="I170" i="1"/>
  <c r="K170" i="1" s="1"/>
  <c r="L170" i="1" s="1" a="1"/>
  <c r="L170" i="1" s="1"/>
  <c r="G170" i="1"/>
  <c r="F170" i="1" s="1" a="1"/>
  <c r="F170" i="1" s="1"/>
  <c r="E170" i="1"/>
  <c r="I169" i="1"/>
  <c r="K169" i="1" s="1"/>
  <c r="L169" i="1" s="1" a="1"/>
  <c r="L169" i="1" s="1"/>
  <c r="G169" i="1"/>
  <c r="F169" i="1" s="1" a="1"/>
  <c r="F169" i="1" s="1"/>
  <c r="E169" i="1"/>
  <c r="I168" i="1"/>
  <c r="K168" i="1" s="1"/>
  <c r="L168" i="1" s="1" a="1"/>
  <c r="L168" i="1" s="1"/>
  <c r="G168" i="1"/>
  <c r="F168" i="1" s="1" a="1"/>
  <c r="F168" i="1" s="1"/>
  <c r="E168" i="1"/>
  <c r="I167" i="1"/>
  <c r="K167" i="1" s="1"/>
  <c r="L167" i="1" s="1" a="1"/>
  <c r="L167" i="1" s="1"/>
  <c r="G167" i="1"/>
  <c r="F167" i="1" s="1" a="1"/>
  <c r="F167" i="1" s="1"/>
  <c r="E167" i="1"/>
  <c r="I166" i="1"/>
  <c r="K166" i="1" s="1"/>
  <c r="L166" i="1" s="1" a="1"/>
  <c r="L166" i="1" s="1"/>
  <c r="G166" i="1"/>
  <c r="F166" i="1" s="1" a="1"/>
  <c r="F166" i="1" s="1"/>
  <c r="E166" i="1"/>
  <c r="I165" i="1"/>
  <c r="K165" i="1" s="1"/>
  <c r="L165" i="1" s="1" a="1"/>
  <c r="L165" i="1" s="1"/>
  <c r="G165" i="1"/>
  <c r="F165" i="1" s="1" a="1"/>
  <c r="F165" i="1" s="1"/>
  <c r="E165" i="1"/>
  <c r="I164" i="1"/>
  <c r="K164" i="1" s="1"/>
  <c r="L164" i="1" s="1" a="1"/>
  <c r="L164" i="1" s="1"/>
  <c r="G164" i="1"/>
  <c r="F164" i="1" s="1" a="1"/>
  <c r="F164" i="1" s="1"/>
  <c r="E164" i="1"/>
  <c r="I163" i="1"/>
  <c r="K163" i="1" s="1"/>
  <c r="L163" i="1" s="1" a="1"/>
  <c r="L163" i="1" s="1"/>
  <c r="G163" i="1"/>
  <c r="F163" i="1" s="1" a="1"/>
  <c r="F163" i="1" s="1"/>
  <c r="E163" i="1"/>
  <c r="I162" i="1"/>
  <c r="K162" i="1" s="1"/>
  <c r="L162" i="1" s="1" a="1"/>
  <c r="L162" i="1" s="1"/>
  <c r="G162" i="1"/>
  <c r="F162" i="1" s="1" a="1"/>
  <c r="F162" i="1" s="1"/>
  <c r="E162" i="1"/>
  <c r="I161" i="1"/>
  <c r="K161" i="1" s="1"/>
  <c r="L161" i="1" s="1" a="1"/>
  <c r="L161" i="1" s="1"/>
  <c r="G161" i="1"/>
  <c r="F161" i="1" s="1" a="1"/>
  <c r="F161" i="1" s="1"/>
  <c r="E161" i="1"/>
  <c r="I160" i="1"/>
  <c r="K160" i="1" s="1"/>
  <c r="L160" i="1" s="1" a="1"/>
  <c r="L160" i="1" s="1"/>
  <c r="G160" i="1"/>
  <c r="F160" i="1" s="1" a="1"/>
  <c r="F160" i="1" s="1"/>
  <c r="E160" i="1"/>
  <c r="I159" i="1"/>
  <c r="K159" i="1" s="1"/>
  <c r="L159" i="1" s="1" a="1"/>
  <c r="L159" i="1" s="1"/>
  <c r="G159" i="1"/>
  <c r="F159" i="1" s="1" a="1"/>
  <c r="F159" i="1" s="1"/>
  <c r="E159" i="1"/>
  <c r="I158" i="1"/>
  <c r="K158" i="1" s="1"/>
  <c r="L158" i="1" s="1" a="1"/>
  <c r="L158" i="1" s="1"/>
  <c r="G158" i="1"/>
  <c r="F158" i="1" s="1" a="1"/>
  <c r="F158" i="1" s="1"/>
  <c r="E158" i="1"/>
  <c r="I157" i="1"/>
  <c r="K157" i="1" s="1"/>
  <c r="L157" i="1" s="1" a="1"/>
  <c r="L157" i="1" s="1"/>
  <c r="G157" i="1"/>
  <c r="F157" i="1" s="1" a="1"/>
  <c r="F157" i="1" s="1"/>
  <c r="E157" i="1"/>
  <c r="I156" i="1"/>
  <c r="K156" i="1" s="1"/>
  <c r="L156" i="1" s="1" a="1"/>
  <c r="L156" i="1" s="1"/>
  <c r="G156" i="1"/>
  <c r="F156" i="1" s="1" a="1"/>
  <c r="F156" i="1" s="1"/>
  <c r="E156" i="1"/>
  <c r="I155" i="1"/>
  <c r="K155" i="1" s="1"/>
  <c r="L155" i="1" s="1" a="1"/>
  <c r="L155" i="1" s="1"/>
  <c r="G155" i="1"/>
  <c r="F155" i="1" s="1" a="1"/>
  <c r="F155" i="1" s="1"/>
  <c r="E155" i="1"/>
  <c r="I154" i="1"/>
  <c r="K154" i="1" s="1"/>
  <c r="L154" i="1" s="1" a="1"/>
  <c r="L154" i="1" s="1"/>
  <c r="G154" i="1"/>
  <c r="F154" i="1" s="1" a="1"/>
  <c r="F154" i="1" s="1"/>
  <c r="E154" i="1"/>
  <c r="I153" i="1"/>
  <c r="K153" i="1" s="1"/>
  <c r="L153" i="1" s="1" a="1"/>
  <c r="L153" i="1" s="1"/>
  <c r="G153" i="1"/>
  <c r="F153" i="1" s="1" a="1"/>
  <c r="F153" i="1" s="1"/>
  <c r="E153" i="1"/>
  <c r="I152" i="1"/>
  <c r="K152" i="1" s="1"/>
  <c r="L152" i="1" s="1" a="1"/>
  <c r="L152" i="1" s="1"/>
  <c r="G152" i="1"/>
  <c r="F152" i="1" s="1" a="1"/>
  <c r="F152" i="1" s="1"/>
  <c r="E152" i="1"/>
  <c r="I151" i="1"/>
  <c r="K151" i="1" s="1"/>
  <c r="L151" i="1" s="1" a="1"/>
  <c r="L151" i="1" s="1"/>
  <c r="G151" i="1"/>
  <c r="F151" i="1" s="1" a="1"/>
  <c r="F151" i="1" s="1"/>
  <c r="E151" i="1"/>
  <c r="I150" i="1"/>
  <c r="K150" i="1" s="1"/>
  <c r="L150" i="1" s="1" a="1"/>
  <c r="L150" i="1" s="1"/>
  <c r="G150" i="1"/>
  <c r="F150" i="1" s="1" a="1"/>
  <c r="F150" i="1" s="1"/>
  <c r="E150" i="1"/>
  <c r="I149" i="1"/>
  <c r="K149" i="1" s="1"/>
  <c r="L149" i="1" s="1" a="1"/>
  <c r="L149" i="1" s="1"/>
  <c r="G149" i="1"/>
  <c r="F149" i="1" s="1" a="1"/>
  <c r="F149" i="1" s="1"/>
  <c r="E149" i="1"/>
  <c r="I148" i="1"/>
  <c r="K148" i="1" s="1"/>
  <c r="L148" i="1" s="1" a="1"/>
  <c r="L148" i="1" s="1"/>
  <c r="G148" i="1"/>
  <c r="F148" i="1" s="1" a="1"/>
  <c r="F148" i="1" s="1"/>
  <c r="E148" i="1"/>
  <c r="I147" i="1"/>
  <c r="K147" i="1" s="1"/>
  <c r="L147" i="1" s="1" a="1"/>
  <c r="L147" i="1" s="1"/>
  <c r="G147" i="1"/>
  <c r="F147" i="1" s="1" a="1"/>
  <c r="F147" i="1" s="1"/>
  <c r="E147" i="1"/>
  <c r="I146" i="1"/>
  <c r="K146" i="1" s="1"/>
  <c r="L146" i="1" s="1" a="1"/>
  <c r="L146" i="1" s="1"/>
  <c r="G146" i="1"/>
  <c r="F146" i="1" s="1" a="1"/>
  <c r="F146" i="1" s="1"/>
  <c r="E146" i="1"/>
  <c r="I145" i="1"/>
  <c r="K145" i="1" s="1"/>
  <c r="L145" i="1" s="1" a="1"/>
  <c r="L145" i="1" s="1"/>
  <c r="G145" i="1"/>
  <c r="F145" i="1" s="1" a="1"/>
  <c r="F145" i="1" s="1"/>
  <c r="E145" i="1"/>
  <c r="I144" i="1"/>
  <c r="K144" i="1" s="1"/>
  <c r="L144" i="1" s="1" a="1"/>
  <c r="L144" i="1" s="1"/>
  <c r="G144" i="1"/>
  <c r="F144" i="1" s="1" a="1"/>
  <c r="F144" i="1" s="1"/>
  <c r="E144" i="1"/>
  <c r="I143" i="1"/>
  <c r="K143" i="1" s="1"/>
  <c r="L143" i="1" s="1" a="1"/>
  <c r="L143" i="1" s="1"/>
  <c r="G143" i="1"/>
  <c r="F143" i="1" s="1" a="1"/>
  <c r="F143" i="1" s="1"/>
  <c r="E143" i="1"/>
  <c r="I142" i="1"/>
  <c r="K142" i="1" s="1"/>
  <c r="L142" i="1" s="1" a="1"/>
  <c r="L142" i="1" s="1"/>
  <c r="G142" i="1"/>
  <c r="F142" i="1" s="1" a="1"/>
  <c r="F142" i="1" s="1"/>
  <c r="E142" i="1"/>
  <c r="I141" i="1"/>
  <c r="K141" i="1" s="1"/>
  <c r="L141" i="1" s="1" a="1"/>
  <c r="L141" i="1" s="1"/>
  <c r="G141" i="1"/>
  <c r="F141" i="1" s="1" a="1"/>
  <c r="F141" i="1" s="1"/>
  <c r="E141" i="1"/>
  <c r="I140" i="1"/>
  <c r="K140" i="1" s="1"/>
  <c r="L140" i="1" s="1" a="1"/>
  <c r="L140" i="1" s="1"/>
  <c r="G140" i="1"/>
  <c r="F140" i="1" s="1" a="1"/>
  <c r="F140" i="1" s="1"/>
  <c r="E140" i="1"/>
  <c r="I139" i="1"/>
  <c r="K139" i="1" s="1"/>
  <c r="L139" i="1" s="1" a="1"/>
  <c r="L139" i="1" s="1"/>
  <c r="G139" i="1"/>
  <c r="F139" i="1" s="1" a="1"/>
  <c r="F139" i="1" s="1"/>
  <c r="E139" i="1"/>
  <c r="I138" i="1"/>
  <c r="K138" i="1" s="1"/>
  <c r="L138" i="1" s="1" a="1"/>
  <c r="L138" i="1" s="1"/>
  <c r="G138" i="1"/>
  <c r="F138" i="1" s="1" a="1"/>
  <c r="F138" i="1" s="1"/>
  <c r="E138" i="1"/>
  <c r="I137" i="1"/>
  <c r="K137" i="1" s="1"/>
  <c r="L137" i="1" s="1" a="1"/>
  <c r="L137" i="1" s="1"/>
  <c r="G137" i="1"/>
  <c r="F137" i="1" s="1" a="1"/>
  <c r="F137" i="1" s="1"/>
  <c r="E137" i="1"/>
  <c r="I136" i="1"/>
  <c r="K136" i="1" s="1"/>
  <c r="L136" i="1" s="1" a="1"/>
  <c r="L136" i="1" s="1"/>
  <c r="G136" i="1"/>
  <c r="F136" i="1" s="1" a="1"/>
  <c r="F136" i="1" s="1"/>
  <c r="E136" i="1"/>
  <c r="I135" i="1"/>
  <c r="K135" i="1" s="1"/>
  <c r="L135" i="1" s="1" a="1"/>
  <c r="L135" i="1" s="1"/>
  <c r="G135" i="1"/>
  <c r="F135" i="1" s="1" a="1"/>
  <c r="F135" i="1" s="1"/>
  <c r="E135" i="1"/>
  <c r="I134" i="1"/>
  <c r="K134" i="1" s="1"/>
  <c r="L134" i="1" s="1" a="1"/>
  <c r="L134" i="1" s="1"/>
  <c r="G134" i="1"/>
  <c r="F134" i="1" s="1" a="1"/>
  <c r="F134" i="1" s="1"/>
  <c r="E134" i="1"/>
  <c r="I133" i="1"/>
  <c r="K133" i="1" s="1"/>
  <c r="L133" i="1" s="1" a="1"/>
  <c r="L133" i="1" s="1"/>
  <c r="G133" i="1"/>
  <c r="F133" i="1" s="1" a="1"/>
  <c r="F133" i="1" s="1"/>
  <c r="E133" i="1"/>
  <c r="I132" i="1"/>
  <c r="K132" i="1" s="1"/>
  <c r="L132" i="1" s="1" a="1"/>
  <c r="L132" i="1" s="1"/>
  <c r="G132" i="1"/>
  <c r="F132" i="1" s="1" a="1"/>
  <c r="F132" i="1" s="1"/>
  <c r="E132" i="1"/>
  <c r="I131" i="1"/>
  <c r="K131" i="1" s="1"/>
  <c r="L131" i="1" s="1" a="1"/>
  <c r="L131" i="1" s="1"/>
  <c r="G131" i="1"/>
  <c r="F131" i="1" s="1" a="1"/>
  <c r="F131" i="1" s="1"/>
  <c r="E131" i="1"/>
  <c r="I130" i="1"/>
  <c r="K130" i="1" s="1"/>
  <c r="L130" i="1" s="1" a="1"/>
  <c r="L130" i="1" s="1"/>
  <c r="G130" i="1"/>
  <c r="F130" i="1" s="1" a="1"/>
  <c r="F130" i="1" s="1"/>
  <c r="E130" i="1"/>
  <c r="I129" i="1"/>
  <c r="K129" i="1" s="1"/>
  <c r="L129" i="1" s="1" a="1"/>
  <c r="L129" i="1" s="1"/>
  <c r="G129" i="1"/>
  <c r="F129" i="1" s="1" a="1"/>
  <c r="F129" i="1" s="1"/>
  <c r="E129" i="1"/>
  <c r="I128" i="1"/>
  <c r="K128" i="1" s="1"/>
  <c r="L128" i="1" s="1" a="1"/>
  <c r="L128" i="1" s="1"/>
  <c r="G128" i="1"/>
  <c r="F128" i="1" s="1" a="1"/>
  <c r="F128" i="1" s="1"/>
  <c r="E128" i="1"/>
  <c r="I127" i="1"/>
  <c r="K127" i="1" s="1"/>
  <c r="L127" i="1" s="1" a="1"/>
  <c r="L127" i="1" s="1"/>
  <c r="G127" i="1"/>
  <c r="F127" i="1" s="1" a="1"/>
  <c r="F127" i="1" s="1"/>
  <c r="E127" i="1"/>
  <c r="I126" i="1"/>
  <c r="K126" i="1" s="1"/>
  <c r="L126" i="1" s="1" a="1"/>
  <c r="L126" i="1" s="1"/>
  <c r="G126" i="1"/>
  <c r="F126" i="1" s="1" a="1"/>
  <c r="F126" i="1" s="1"/>
  <c r="E126" i="1"/>
  <c r="I125" i="1"/>
  <c r="K125" i="1" s="1"/>
  <c r="L125" i="1" s="1" a="1"/>
  <c r="L125" i="1" s="1"/>
  <c r="G125" i="1"/>
  <c r="F125" i="1" s="1" a="1"/>
  <c r="F125" i="1" s="1"/>
  <c r="E125" i="1"/>
  <c r="I124" i="1"/>
  <c r="K124" i="1" s="1"/>
  <c r="L124" i="1" s="1" a="1"/>
  <c r="L124" i="1" s="1"/>
  <c r="G124" i="1"/>
  <c r="F124" i="1" s="1" a="1"/>
  <c r="F124" i="1" s="1"/>
  <c r="E124" i="1"/>
  <c r="I123" i="1"/>
  <c r="K123" i="1" s="1"/>
  <c r="L123" i="1" s="1" a="1"/>
  <c r="L123" i="1" s="1"/>
  <c r="G123" i="1"/>
  <c r="F123" i="1" s="1" a="1"/>
  <c r="F123" i="1" s="1"/>
  <c r="E123" i="1"/>
  <c r="I122" i="1"/>
  <c r="K122" i="1" s="1"/>
  <c r="L122" i="1" s="1" a="1"/>
  <c r="L122" i="1" s="1"/>
  <c r="G122" i="1"/>
  <c r="F122" i="1" s="1" a="1"/>
  <c r="F122" i="1" s="1"/>
  <c r="E122" i="1"/>
  <c r="I121" i="1"/>
  <c r="K121" i="1" s="1"/>
  <c r="L121" i="1" s="1" a="1"/>
  <c r="L121" i="1" s="1"/>
  <c r="G121" i="1"/>
  <c r="F121" i="1" s="1" a="1"/>
  <c r="F121" i="1" s="1"/>
  <c r="E121" i="1"/>
  <c r="I120" i="1"/>
  <c r="K120" i="1" s="1"/>
  <c r="L120" i="1" s="1" a="1"/>
  <c r="L120" i="1" s="1"/>
  <c r="G120" i="1"/>
  <c r="F120" i="1" s="1" a="1"/>
  <c r="F120" i="1" s="1"/>
  <c r="E120" i="1"/>
  <c r="I119" i="1"/>
  <c r="K119" i="1" s="1"/>
  <c r="L119" i="1" s="1" a="1"/>
  <c r="L119" i="1" s="1"/>
  <c r="G119" i="1"/>
  <c r="F119" i="1" s="1" a="1"/>
  <c r="F119" i="1" s="1"/>
  <c r="E119" i="1"/>
  <c r="I118" i="1"/>
  <c r="K118" i="1" s="1"/>
  <c r="L118" i="1" s="1" a="1"/>
  <c r="L118" i="1" s="1"/>
  <c r="G118" i="1"/>
  <c r="F118" i="1" s="1" a="1"/>
  <c r="F118" i="1" s="1"/>
  <c r="E118" i="1"/>
  <c r="I117" i="1"/>
  <c r="K117" i="1" s="1"/>
  <c r="L117" i="1" s="1" a="1"/>
  <c r="L117" i="1" s="1"/>
  <c r="G117" i="1"/>
  <c r="F117" i="1" s="1" a="1"/>
  <c r="F117" i="1" s="1"/>
  <c r="E117" i="1"/>
  <c r="I116" i="1"/>
  <c r="K116" i="1" s="1"/>
  <c r="L116" i="1" s="1" a="1"/>
  <c r="L116" i="1" s="1"/>
  <c r="G116" i="1"/>
  <c r="F116" i="1" s="1" a="1"/>
  <c r="F116" i="1" s="1"/>
  <c r="E116" i="1"/>
  <c r="I115" i="1"/>
  <c r="K115" i="1" s="1"/>
  <c r="L115" i="1" s="1" a="1"/>
  <c r="L115" i="1" s="1"/>
  <c r="G115" i="1"/>
  <c r="F115" i="1" s="1" a="1"/>
  <c r="F115" i="1" s="1"/>
  <c r="E115" i="1"/>
  <c r="I114" i="1"/>
  <c r="K114" i="1" s="1"/>
  <c r="L114" i="1" s="1" a="1"/>
  <c r="L114" i="1" s="1"/>
  <c r="G114" i="1"/>
  <c r="F114" i="1" s="1" a="1"/>
  <c r="F114" i="1" s="1"/>
  <c r="E114" i="1"/>
  <c r="I113" i="1"/>
  <c r="K113" i="1" s="1"/>
  <c r="L113" i="1" s="1" a="1"/>
  <c r="L113" i="1" s="1"/>
  <c r="G113" i="1"/>
  <c r="F113" i="1" s="1" a="1"/>
  <c r="F113" i="1" s="1"/>
  <c r="E113" i="1"/>
  <c r="I112" i="1"/>
  <c r="K112" i="1" s="1"/>
  <c r="L112" i="1" s="1" a="1"/>
  <c r="L112" i="1" s="1"/>
  <c r="G112" i="1"/>
  <c r="F112" i="1" s="1" a="1"/>
  <c r="F112" i="1" s="1"/>
  <c r="E112" i="1"/>
  <c r="I111" i="1"/>
  <c r="K111" i="1" s="1"/>
  <c r="L111" i="1" s="1" a="1"/>
  <c r="L111" i="1" s="1"/>
  <c r="G111" i="1"/>
  <c r="F111" i="1" s="1" a="1"/>
  <c r="F111" i="1" s="1"/>
  <c r="E111" i="1"/>
  <c r="I110" i="1"/>
  <c r="K110" i="1" s="1"/>
  <c r="L110" i="1" s="1" a="1"/>
  <c r="L110" i="1" s="1"/>
  <c r="G110" i="1"/>
  <c r="F110" i="1" s="1" a="1"/>
  <c r="F110" i="1" s="1"/>
  <c r="E110" i="1"/>
  <c r="I109" i="1"/>
  <c r="K109" i="1" s="1"/>
  <c r="L109" i="1" s="1" a="1"/>
  <c r="L109" i="1" s="1"/>
  <c r="G109" i="1"/>
  <c r="F109" i="1" s="1" a="1"/>
  <c r="F109" i="1" s="1"/>
  <c r="E109" i="1"/>
  <c r="I108" i="1"/>
  <c r="K108" i="1" s="1"/>
  <c r="L108" i="1" s="1" a="1"/>
  <c r="L108" i="1" s="1"/>
  <c r="G108" i="1"/>
  <c r="F108" i="1" s="1" a="1"/>
  <c r="F108" i="1" s="1"/>
  <c r="E108" i="1"/>
  <c r="I107" i="1"/>
  <c r="K107" i="1" s="1"/>
  <c r="L107" i="1" s="1" a="1"/>
  <c r="L107" i="1" s="1"/>
  <c r="G107" i="1"/>
  <c r="F107" i="1" s="1" a="1"/>
  <c r="F107" i="1" s="1"/>
  <c r="E107" i="1"/>
  <c r="I106" i="1"/>
  <c r="K106" i="1" s="1"/>
  <c r="L106" i="1" s="1" a="1"/>
  <c r="L106" i="1" s="1"/>
  <c r="G106" i="1"/>
  <c r="F106" i="1" s="1" a="1"/>
  <c r="F106" i="1" s="1"/>
  <c r="E106" i="1"/>
  <c r="I105" i="1"/>
  <c r="K105" i="1" s="1"/>
  <c r="L105" i="1" s="1" a="1"/>
  <c r="L105" i="1" s="1"/>
  <c r="G105" i="1"/>
  <c r="F105" i="1" s="1" a="1"/>
  <c r="F105" i="1" s="1"/>
  <c r="E105" i="1"/>
  <c r="I104" i="1"/>
  <c r="K104" i="1" s="1"/>
  <c r="L104" i="1" s="1" a="1"/>
  <c r="L104" i="1" s="1"/>
  <c r="G104" i="1"/>
  <c r="F104" i="1" s="1" a="1"/>
  <c r="F104" i="1" s="1"/>
  <c r="E104" i="1"/>
  <c r="I103" i="1"/>
  <c r="K103" i="1" s="1"/>
  <c r="L103" i="1" s="1" a="1"/>
  <c r="L103" i="1" s="1"/>
  <c r="G103" i="1"/>
  <c r="F103" i="1" s="1" a="1"/>
  <c r="F103" i="1" s="1"/>
  <c r="E103" i="1"/>
  <c r="I102" i="1"/>
  <c r="K102" i="1" s="1"/>
  <c r="L102" i="1" s="1" a="1"/>
  <c r="L102" i="1" s="1"/>
  <c r="G102" i="1"/>
  <c r="F102" i="1" s="1" a="1"/>
  <c r="F102" i="1" s="1"/>
  <c r="E102" i="1"/>
  <c r="I101" i="1"/>
  <c r="K101" i="1" s="1"/>
  <c r="L101" i="1" s="1" a="1"/>
  <c r="L101" i="1" s="1"/>
  <c r="G101" i="1"/>
  <c r="F101" i="1" s="1" a="1"/>
  <c r="F101" i="1" s="1"/>
  <c r="E101" i="1"/>
  <c r="I100" i="1"/>
  <c r="K100" i="1" s="1"/>
  <c r="L100" i="1" s="1" a="1"/>
  <c r="L100" i="1" s="1"/>
  <c r="G100" i="1"/>
  <c r="F100" i="1" s="1" a="1"/>
  <c r="F100" i="1" s="1"/>
  <c r="E100" i="1"/>
  <c r="I99" i="1"/>
  <c r="K99" i="1" s="1"/>
  <c r="L99" i="1" s="1" a="1"/>
  <c r="L99" i="1" s="1"/>
  <c r="G99" i="1"/>
  <c r="F99" i="1" s="1" a="1"/>
  <c r="F99" i="1" s="1"/>
  <c r="E99" i="1"/>
  <c r="I98" i="1"/>
  <c r="K98" i="1" s="1"/>
  <c r="L98" i="1" s="1" a="1"/>
  <c r="L98" i="1" s="1"/>
  <c r="G98" i="1"/>
  <c r="F98" i="1" s="1" a="1"/>
  <c r="F98" i="1" s="1"/>
  <c r="E98" i="1"/>
  <c r="I97" i="1"/>
  <c r="K97" i="1" s="1"/>
  <c r="L97" i="1" s="1" a="1"/>
  <c r="L97" i="1" s="1"/>
  <c r="G97" i="1"/>
  <c r="F97" i="1" s="1" a="1"/>
  <c r="F97" i="1" s="1"/>
  <c r="E97" i="1"/>
  <c r="I96" i="1"/>
  <c r="K96" i="1" s="1"/>
  <c r="L96" i="1" s="1" a="1"/>
  <c r="L96" i="1" s="1"/>
  <c r="G96" i="1"/>
  <c r="F96" i="1" s="1" a="1"/>
  <c r="F96" i="1" s="1"/>
  <c r="E96" i="1"/>
  <c r="I95" i="1"/>
  <c r="K95" i="1" s="1"/>
  <c r="L95" i="1" s="1" a="1"/>
  <c r="L95" i="1" s="1"/>
  <c r="G95" i="1"/>
  <c r="F95" i="1" s="1" a="1"/>
  <c r="F95" i="1" s="1"/>
  <c r="E95" i="1"/>
  <c r="I94" i="1"/>
  <c r="K94" i="1" s="1"/>
  <c r="L94" i="1" s="1" a="1"/>
  <c r="L94" i="1" s="1"/>
  <c r="G94" i="1"/>
  <c r="F94" i="1" s="1" a="1"/>
  <c r="F94" i="1" s="1"/>
  <c r="E94" i="1"/>
  <c r="I93" i="1"/>
  <c r="K93" i="1" s="1"/>
  <c r="L93" i="1" s="1" a="1"/>
  <c r="L93" i="1" s="1"/>
  <c r="G93" i="1"/>
  <c r="F93" i="1" s="1" a="1"/>
  <c r="F93" i="1" s="1"/>
  <c r="E93" i="1"/>
  <c r="I92" i="1"/>
  <c r="K92" i="1" s="1"/>
  <c r="L92" i="1" s="1" a="1"/>
  <c r="L92" i="1" s="1"/>
  <c r="G92" i="1"/>
  <c r="F92" i="1" s="1" a="1"/>
  <c r="F92" i="1" s="1"/>
  <c r="E92" i="1"/>
  <c r="I91" i="1"/>
  <c r="K91" i="1" s="1"/>
  <c r="L91" i="1" s="1" a="1"/>
  <c r="L91" i="1" s="1"/>
  <c r="G91" i="1"/>
  <c r="F91" i="1" s="1" a="1"/>
  <c r="F91" i="1" s="1"/>
  <c r="E91" i="1"/>
  <c r="I90" i="1"/>
  <c r="K90" i="1" s="1"/>
  <c r="L90" i="1" s="1" a="1"/>
  <c r="L90" i="1" s="1"/>
  <c r="G90" i="1"/>
  <c r="F90" i="1" s="1" a="1"/>
  <c r="F90" i="1" s="1"/>
  <c r="E90" i="1"/>
  <c r="I89" i="1"/>
  <c r="K89" i="1" s="1"/>
  <c r="L89" i="1" s="1" a="1"/>
  <c r="L89" i="1" s="1"/>
  <c r="G89" i="1"/>
  <c r="F89" i="1" s="1" a="1"/>
  <c r="F89" i="1" s="1"/>
  <c r="E89" i="1"/>
  <c r="I88" i="1"/>
  <c r="K88" i="1" s="1"/>
  <c r="L88" i="1" s="1" a="1"/>
  <c r="L88" i="1" s="1"/>
  <c r="G88" i="1"/>
  <c r="F88" i="1" s="1" a="1"/>
  <c r="F88" i="1" s="1"/>
  <c r="E88" i="1"/>
  <c r="I87" i="1"/>
  <c r="K87" i="1" s="1"/>
  <c r="L87" i="1" s="1" a="1"/>
  <c r="L87" i="1" s="1"/>
  <c r="G87" i="1"/>
  <c r="F87" i="1" s="1" a="1"/>
  <c r="F87" i="1" s="1"/>
  <c r="E87" i="1"/>
  <c r="I86" i="1"/>
  <c r="K86" i="1" s="1"/>
  <c r="L86" i="1" s="1" a="1"/>
  <c r="L86" i="1" s="1"/>
  <c r="G86" i="1"/>
  <c r="F86" i="1" s="1" a="1"/>
  <c r="F86" i="1" s="1"/>
  <c r="E86" i="1"/>
  <c r="I85" i="1"/>
  <c r="K85" i="1" s="1"/>
  <c r="L85" i="1" s="1" a="1"/>
  <c r="L85" i="1" s="1"/>
  <c r="G85" i="1"/>
  <c r="F85" i="1" s="1" a="1"/>
  <c r="F85" i="1" s="1"/>
  <c r="E85" i="1"/>
  <c r="I84" i="1"/>
  <c r="K84" i="1" s="1"/>
  <c r="L84" i="1" s="1" a="1"/>
  <c r="L84" i="1" s="1"/>
  <c r="G84" i="1"/>
  <c r="F84" i="1" s="1" a="1"/>
  <c r="F84" i="1" s="1"/>
  <c r="E84" i="1"/>
  <c r="I83" i="1"/>
  <c r="K83" i="1" s="1"/>
  <c r="L83" i="1" s="1" a="1"/>
  <c r="L83" i="1" s="1"/>
  <c r="G83" i="1"/>
  <c r="F83" i="1" s="1" a="1"/>
  <c r="F83" i="1" s="1"/>
  <c r="E83" i="1"/>
  <c r="I82" i="1"/>
  <c r="K82" i="1" s="1"/>
  <c r="L82" i="1" s="1" a="1"/>
  <c r="L82" i="1" s="1"/>
  <c r="G82" i="1"/>
  <c r="F82" i="1" s="1" a="1"/>
  <c r="F82" i="1" s="1"/>
  <c r="E82" i="1"/>
  <c r="I81" i="1"/>
  <c r="K81" i="1" s="1"/>
  <c r="L81" i="1" s="1" a="1"/>
  <c r="L81" i="1" s="1"/>
  <c r="G81" i="1"/>
  <c r="F81" i="1" s="1" a="1"/>
  <c r="F81" i="1" s="1"/>
  <c r="E81" i="1"/>
  <c r="I80" i="1"/>
  <c r="K80" i="1" s="1"/>
  <c r="L80" i="1" s="1" a="1"/>
  <c r="L80" i="1" s="1"/>
  <c r="G80" i="1"/>
  <c r="F80" i="1" s="1" a="1"/>
  <c r="F80" i="1" s="1"/>
  <c r="E80" i="1"/>
  <c r="I79" i="1"/>
  <c r="K79" i="1" s="1"/>
  <c r="L79" i="1" s="1" a="1"/>
  <c r="L79" i="1" s="1"/>
  <c r="G79" i="1"/>
  <c r="F79" i="1" s="1" a="1"/>
  <c r="F79" i="1" s="1"/>
  <c r="E79" i="1"/>
  <c r="I78" i="1"/>
  <c r="K78" i="1" s="1"/>
  <c r="L78" i="1" s="1" a="1"/>
  <c r="L78" i="1" s="1"/>
  <c r="G78" i="1"/>
  <c r="F78" i="1" s="1" a="1"/>
  <c r="F78" i="1" s="1"/>
  <c r="E78" i="1"/>
  <c r="I77" i="1"/>
  <c r="K77" i="1" s="1"/>
  <c r="L77" i="1" s="1" a="1"/>
  <c r="L77" i="1" s="1"/>
  <c r="G77" i="1"/>
  <c r="F77" i="1" s="1" a="1"/>
  <c r="F77" i="1" s="1"/>
  <c r="E77" i="1"/>
  <c r="I76" i="1"/>
  <c r="K76" i="1" s="1"/>
  <c r="L76" i="1" s="1" a="1"/>
  <c r="L76" i="1" s="1"/>
  <c r="G76" i="1"/>
  <c r="F76" i="1" s="1" a="1"/>
  <c r="F76" i="1" s="1"/>
  <c r="E76" i="1"/>
  <c r="I75" i="1"/>
  <c r="K75" i="1" s="1"/>
  <c r="L75" i="1" s="1" a="1"/>
  <c r="L75" i="1" s="1"/>
  <c r="G75" i="1"/>
  <c r="F75" i="1" s="1" a="1"/>
  <c r="F75" i="1" s="1"/>
  <c r="E75" i="1"/>
  <c r="I74" i="1"/>
  <c r="K74" i="1" s="1"/>
  <c r="L74" i="1" s="1" a="1"/>
  <c r="L74" i="1" s="1"/>
  <c r="G74" i="1"/>
  <c r="F74" i="1" s="1" a="1"/>
  <c r="F74" i="1" s="1"/>
  <c r="E74" i="1"/>
  <c r="I73" i="1"/>
  <c r="K73" i="1" s="1"/>
  <c r="L73" i="1" s="1" a="1"/>
  <c r="L73" i="1" s="1"/>
  <c r="G73" i="1"/>
  <c r="F73" i="1" s="1" a="1"/>
  <c r="F73" i="1" s="1"/>
  <c r="E73" i="1"/>
  <c r="I72" i="1"/>
  <c r="K72" i="1" s="1"/>
  <c r="L72" i="1" s="1" a="1"/>
  <c r="L72" i="1" s="1"/>
  <c r="G72" i="1"/>
  <c r="F72" i="1" s="1" a="1"/>
  <c r="F72" i="1" s="1"/>
  <c r="E72" i="1"/>
  <c r="I71" i="1"/>
  <c r="K71" i="1" s="1"/>
  <c r="L71" i="1" s="1" a="1"/>
  <c r="L71" i="1" s="1"/>
  <c r="G71" i="1"/>
  <c r="F71" i="1" s="1" a="1"/>
  <c r="F71" i="1" s="1"/>
  <c r="E71" i="1"/>
  <c r="I70" i="1"/>
  <c r="K70" i="1" s="1"/>
  <c r="L70" i="1" s="1" a="1"/>
  <c r="L70" i="1" s="1"/>
  <c r="G70" i="1"/>
  <c r="F70" i="1" s="1" a="1"/>
  <c r="F70" i="1" s="1"/>
  <c r="E70" i="1"/>
  <c r="I69" i="1"/>
  <c r="K69" i="1" s="1"/>
  <c r="L69" i="1" s="1" a="1"/>
  <c r="L69" i="1" s="1"/>
  <c r="G69" i="1"/>
  <c r="F69" i="1" s="1" a="1"/>
  <c r="F69" i="1" s="1"/>
  <c r="E69" i="1"/>
  <c r="I68" i="1"/>
  <c r="K68" i="1" s="1"/>
  <c r="L68" i="1" s="1" a="1"/>
  <c r="L68" i="1" s="1"/>
  <c r="G68" i="1"/>
  <c r="F68" i="1" s="1" a="1"/>
  <c r="F68" i="1" s="1"/>
  <c r="E68" i="1"/>
  <c r="I67" i="1"/>
  <c r="K67" i="1" s="1"/>
  <c r="L67" i="1" s="1" a="1"/>
  <c r="L67" i="1" s="1"/>
  <c r="G67" i="1"/>
  <c r="F67" i="1" s="1" a="1"/>
  <c r="F67" i="1" s="1"/>
  <c r="E67" i="1"/>
  <c r="I66" i="1"/>
  <c r="K66" i="1" s="1"/>
  <c r="L66" i="1" s="1" a="1"/>
  <c r="L66" i="1" s="1"/>
  <c r="G66" i="1"/>
  <c r="F66" i="1" s="1" a="1"/>
  <c r="F66" i="1" s="1"/>
  <c r="E66" i="1"/>
  <c r="I65" i="1"/>
  <c r="K65" i="1" s="1"/>
  <c r="L65" i="1" s="1" a="1"/>
  <c r="L65" i="1" s="1"/>
  <c r="G65" i="1"/>
  <c r="F65" i="1" s="1" a="1"/>
  <c r="F65" i="1" s="1"/>
  <c r="E65" i="1"/>
  <c r="I64" i="1"/>
  <c r="K64" i="1" s="1"/>
  <c r="L64" i="1" s="1" a="1"/>
  <c r="L64" i="1" s="1"/>
  <c r="G64" i="1"/>
  <c r="F64" i="1" s="1" a="1"/>
  <c r="F64" i="1" s="1"/>
  <c r="E64" i="1"/>
  <c r="I63" i="1"/>
  <c r="K63" i="1" s="1"/>
  <c r="L63" i="1" s="1" a="1"/>
  <c r="L63" i="1" s="1"/>
  <c r="G63" i="1"/>
  <c r="F63" i="1" s="1" a="1"/>
  <c r="F63" i="1" s="1"/>
  <c r="E63" i="1"/>
  <c r="I62" i="1"/>
  <c r="K62" i="1" s="1"/>
  <c r="L62" i="1" s="1" a="1"/>
  <c r="L62" i="1" s="1"/>
  <c r="G62" i="1"/>
  <c r="F62" i="1" s="1" a="1"/>
  <c r="F62" i="1" s="1"/>
  <c r="E62" i="1"/>
  <c r="I61" i="1"/>
  <c r="K61" i="1" s="1"/>
  <c r="L61" i="1" s="1" a="1"/>
  <c r="L61" i="1" s="1"/>
  <c r="G61" i="1"/>
  <c r="F61" i="1" s="1" a="1"/>
  <c r="F61" i="1" s="1"/>
  <c r="E61" i="1"/>
  <c r="I60" i="1"/>
  <c r="K60" i="1" s="1"/>
  <c r="L60" i="1" s="1" a="1"/>
  <c r="L60" i="1" s="1"/>
  <c r="G60" i="1"/>
  <c r="F60" i="1" s="1" a="1"/>
  <c r="F60" i="1" s="1"/>
  <c r="E60" i="1"/>
  <c r="I59" i="1"/>
  <c r="K59" i="1" s="1"/>
  <c r="L59" i="1" s="1" a="1"/>
  <c r="L59" i="1" s="1"/>
  <c r="G59" i="1"/>
  <c r="F59" i="1" s="1" a="1"/>
  <c r="F59" i="1" s="1"/>
  <c r="E59" i="1"/>
  <c r="I58" i="1"/>
  <c r="K58" i="1" s="1"/>
  <c r="L58" i="1" s="1" a="1"/>
  <c r="L58" i="1" s="1"/>
  <c r="G58" i="1"/>
  <c r="F58" i="1" s="1" a="1"/>
  <c r="F58" i="1" s="1"/>
  <c r="E58" i="1"/>
  <c r="I57" i="1"/>
  <c r="K57" i="1" s="1"/>
  <c r="L57" i="1" s="1" a="1"/>
  <c r="L57" i="1" s="1"/>
  <c r="G57" i="1"/>
  <c r="F57" i="1" s="1" a="1"/>
  <c r="F57" i="1" s="1"/>
  <c r="E57" i="1"/>
  <c r="I56" i="1"/>
  <c r="K56" i="1" s="1"/>
  <c r="L56" i="1" s="1" a="1"/>
  <c r="L56" i="1" s="1"/>
  <c r="G56" i="1"/>
  <c r="F56" i="1" s="1" a="1"/>
  <c r="F56" i="1" s="1"/>
  <c r="E56" i="1"/>
  <c r="I55" i="1"/>
  <c r="K55" i="1" s="1"/>
  <c r="L55" i="1" s="1" a="1"/>
  <c r="L55" i="1" s="1"/>
  <c r="G55" i="1"/>
  <c r="F55" i="1" s="1" a="1"/>
  <c r="F55" i="1" s="1"/>
  <c r="E55" i="1"/>
  <c r="I54" i="1"/>
  <c r="K54" i="1" s="1"/>
  <c r="L54" i="1" s="1" a="1"/>
  <c r="L54" i="1" s="1"/>
  <c r="G54" i="1"/>
  <c r="F54" i="1" s="1" a="1"/>
  <c r="F54" i="1" s="1"/>
  <c r="E54" i="1"/>
  <c r="I53" i="1"/>
  <c r="K53" i="1" s="1"/>
  <c r="L53" i="1" s="1" a="1"/>
  <c r="L53" i="1" s="1"/>
  <c r="G53" i="1"/>
  <c r="F53" i="1" s="1" a="1"/>
  <c r="F53" i="1" s="1"/>
  <c r="E53" i="1"/>
  <c r="I52" i="1"/>
  <c r="K52" i="1" s="1"/>
  <c r="L52" i="1" s="1" a="1"/>
  <c r="L52" i="1" s="1"/>
  <c r="G52" i="1"/>
  <c r="F52" i="1" s="1" a="1"/>
  <c r="F52" i="1" s="1"/>
  <c r="E52" i="1"/>
  <c r="I51" i="1"/>
  <c r="K51" i="1" s="1"/>
  <c r="L51" i="1" s="1" a="1"/>
  <c r="L51" i="1" s="1"/>
  <c r="G51" i="1"/>
  <c r="F51" i="1" s="1" a="1"/>
  <c r="F51" i="1" s="1"/>
  <c r="E51" i="1"/>
  <c r="I50" i="1"/>
  <c r="K50" i="1" s="1"/>
  <c r="L50" i="1" s="1" a="1"/>
  <c r="L50" i="1" s="1"/>
  <c r="G50" i="1"/>
  <c r="F50" i="1" s="1" a="1"/>
  <c r="F50" i="1" s="1"/>
  <c r="E50" i="1"/>
  <c r="I49" i="1"/>
  <c r="K49" i="1" s="1"/>
  <c r="L49" i="1" s="1" a="1"/>
  <c r="L49" i="1" s="1"/>
  <c r="G49" i="1"/>
  <c r="F49" i="1" s="1" a="1"/>
  <c r="F49" i="1" s="1"/>
  <c r="E49" i="1"/>
  <c r="I48" i="1"/>
  <c r="K48" i="1" s="1"/>
  <c r="L48" i="1" s="1" a="1"/>
  <c r="L48" i="1" s="1"/>
  <c r="G48" i="1"/>
  <c r="F48" i="1" s="1" a="1"/>
  <c r="F48" i="1" s="1"/>
  <c r="E48" i="1"/>
  <c r="I47" i="1"/>
  <c r="K47" i="1" s="1"/>
  <c r="L47" i="1" s="1" a="1"/>
  <c r="L47" i="1" s="1"/>
  <c r="G47" i="1"/>
  <c r="F47" i="1" s="1" a="1"/>
  <c r="F47" i="1" s="1"/>
  <c r="E47" i="1"/>
  <c r="I46" i="1"/>
  <c r="K46" i="1" s="1"/>
  <c r="L46" i="1" s="1" a="1"/>
  <c r="L46" i="1" s="1"/>
  <c r="G46" i="1"/>
  <c r="F46" i="1" s="1" a="1"/>
  <c r="F46" i="1" s="1"/>
  <c r="E46" i="1"/>
  <c r="I45" i="1"/>
  <c r="K45" i="1" s="1"/>
  <c r="L45" i="1" s="1" a="1"/>
  <c r="L45" i="1" s="1"/>
  <c r="G45" i="1"/>
  <c r="F45" i="1" s="1" a="1"/>
  <c r="F45" i="1" s="1"/>
  <c r="E45" i="1"/>
  <c r="I44" i="1"/>
  <c r="K44" i="1" s="1"/>
  <c r="L44" i="1" s="1" a="1"/>
  <c r="L44" i="1" s="1"/>
  <c r="G44" i="1"/>
  <c r="F44" i="1" s="1" a="1"/>
  <c r="F44" i="1" s="1"/>
  <c r="E44" i="1"/>
  <c r="I43" i="1"/>
  <c r="K43" i="1" s="1"/>
  <c r="L43" i="1" s="1" a="1"/>
  <c r="L43" i="1" s="1"/>
  <c r="G43" i="1"/>
  <c r="F43" i="1" s="1" a="1"/>
  <c r="F43" i="1" s="1"/>
  <c r="E43" i="1"/>
  <c r="I42" i="1"/>
  <c r="K42" i="1" s="1"/>
  <c r="L42" i="1" s="1" a="1"/>
  <c r="L42" i="1" s="1"/>
  <c r="G42" i="1"/>
  <c r="F42" i="1" s="1" a="1"/>
  <c r="F42" i="1" s="1"/>
  <c r="E42" i="1"/>
  <c r="I41" i="1"/>
  <c r="K41" i="1" s="1"/>
  <c r="L41" i="1" s="1" a="1"/>
  <c r="L41" i="1" s="1"/>
  <c r="G41" i="1"/>
  <c r="F41" i="1" s="1" a="1"/>
  <c r="F41" i="1" s="1"/>
  <c r="E41" i="1"/>
  <c r="I40" i="1"/>
  <c r="K40" i="1" s="1"/>
  <c r="L40" i="1" s="1" a="1"/>
  <c r="L40" i="1" s="1"/>
  <c r="G40" i="1"/>
  <c r="F40" i="1" s="1" a="1"/>
  <c r="F40" i="1" s="1"/>
  <c r="E40" i="1"/>
  <c r="I39" i="1"/>
  <c r="K39" i="1" s="1"/>
  <c r="L39" i="1" s="1" a="1"/>
  <c r="L39" i="1" s="1"/>
  <c r="G39" i="1"/>
  <c r="F39" i="1" s="1" a="1"/>
  <c r="F39" i="1" s="1"/>
  <c r="E39" i="1"/>
  <c r="I38" i="1"/>
  <c r="K38" i="1" s="1"/>
  <c r="L38" i="1" s="1" a="1"/>
  <c r="L38" i="1" s="1"/>
  <c r="G38" i="1"/>
  <c r="F38" i="1" s="1" a="1"/>
  <c r="F38" i="1" s="1"/>
  <c r="E38" i="1"/>
  <c r="I37" i="1"/>
  <c r="K37" i="1" s="1"/>
  <c r="L37" i="1" s="1" a="1"/>
  <c r="L37" i="1" s="1"/>
  <c r="G37" i="1"/>
  <c r="F37" i="1" s="1" a="1"/>
  <c r="F37" i="1" s="1"/>
  <c r="E37" i="1"/>
  <c r="I36" i="1"/>
  <c r="K36" i="1" s="1"/>
  <c r="L36" i="1" s="1" a="1"/>
  <c r="L36" i="1" s="1"/>
  <c r="G36" i="1"/>
  <c r="F36" i="1" s="1" a="1"/>
  <c r="F36" i="1" s="1"/>
  <c r="E36" i="1"/>
  <c r="I35" i="1"/>
  <c r="K35" i="1" s="1"/>
  <c r="L35" i="1" s="1" a="1"/>
  <c r="L35" i="1" s="1"/>
  <c r="G35" i="1"/>
  <c r="F35" i="1" s="1" a="1"/>
  <c r="F35" i="1" s="1"/>
  <c r="E35" i="1"/>
  <c r="I34" i="1"/>
  <c r="K34" i="1" s="1"/>
  <c r="L34" i="1" s="1" a="1"/>
  <c r="L34" i="1" s="1"/>
  <c r="G34" i="1"/>
  <c r="F34" i="1" s="1" a="1"/>
  <c r="F34" i="1" s="1"/>
  <c r="E34" i="1"/>
  <c r="I33" i="1"/>
  <c r="K33" i="1" s="1"/>
  <c r="L33" i="1" s="1" a="1"/>
  <c r="L33" i="1" s="1"/>
  <c r="G33" i="1"/>
  <c r="F33" i="1" s="1" a="1"/>
  <c r="F33" i="1" s="1"/>
  <c r="E33" i="1"/>
  <c r="I32" i="1"/>
  <c r="K32" i="1" s="1"/>
  <c r="L32" i="1" s="1" a="1"/>
  <c r="L32" i="1" s="1"/>
  <c r="G32" i="1"/>
  <c r="F32" i="1" s="1" a="1"/>
  <c r="F32" i="1" s="1"/>
  <c r="E32" i="1"/>
  <c r="I31" i="1"/>
  <c r="K31" i="1" s="1"/>
  <c r="L31" i="1" s="1" a="1"/>
  <c r="L31" i="1" s="1"/>
  <c r="G31" i="1"/>
  <c r="F31" i="1" s="1" a="1"/>
  <c r="F31" i="1" s="1"/>
  <c r="E31" i="1"/>
  <c r="I30" i="1"/>
  <c r="K30" i="1" s="1"/>
  <c r="L30" i="1" s="1" a="1"/>
  <c r="L30" i="1" s="1"/>
  <c r="G30" i="1"/>
  <c r="F30" i="1" s="1" a="1"/>
  <c r="F30" i="1" s="1"/>
  <c r="E30" i="1"/>
  <c r="I29" i="1"/>
  <c r="K29" i="1" s="1"/>
  <c r="L29" i="1" s="1" a="1"/>
  <c r="L29" i="1" s="1"/>
  <c r="G29" i="1"/>
  <c r="F29" i="1" s="1" a="1"/>
  <c r="F29" i="1" s="1"/>
  <c r="E29" i="1"/>
  <c r="I28" i="1"/>
  <c r="K28" i="1" s="1"/>
  <c r="L28" i="1" s="1" a="1"/>
  <c r="L28" i="1" s="1"/>
  <c r="G28" i="1"/>
  <c r="F28" i="1" s="1" a="1"/>
  <c r="F28" i="1" s="1"/>
  <c r="E28" i="1"/>
  <c r="I27" i="1"/>
  <c r="K27" i="1" s="1"/>
  <c r="L27" i="1" s="1" a="1"/>
  <c r="L27" i="1" s="1"/>
  <c r="G27" i="1"/>
  <c r="F27" i="1" s="1" a="1"/>
  <c r="F27" i="1" s="1"/>
  <c r="E27" i="1"/>
  <c r="I26" i="1"/>
  <c r="K26" i="1" s="1"/>
  <c r="L26" i="1" s="1" a="1"/>
  <c r="L26" i="1" s="1"/>
  <c r="G26" i="1"/>
  <c r="F26" i="1" s="1" a="1"/>
  <c r="F26" i="1" s="1"/>
  <c r="E26" i="1"/>
  <c r="I25" i="1"/>
  <c r="K25" i="1" s="1"/>
  <c r="L25" i="1" s="1" a="1"/>
  <c r="L25" i="1" s="1"/>
  <c r="G25" i="1"/>
  <c r="F25" i="1" s="1" a="1"/>
  <c r="F25" i="1" s="1"/>
  <c r="E25" i="1"/>
  <c r="I24" i="1"/>
  <c r="K24" i="1" s="1"/>
  <c r="L24" i="1" s="1" a="1"/>
  <c r="L24" i="1" s="1"/>
  <c r="G24" i="1"/>
  <c r="F24" i="1" s="1" a="1"/>
  <c r="F24" i="1" s="1"/>
  <c r="E24" i="1"/>
  <c r="I23" i="1"/>
  <c r="K23" i="1" s="1"/>
  <c r="L23" i="1" s="1" a="1"/>
  <c r="L23" i="1" s="1"/>
  <c r="G23" i="1"/>
  <c r="F23" i="1" s="1" a="1"/>
  <c r="F23" i="1" s="1"/>
  <c r="E23" i="1"/>
  <c r="I22" i="1"/>
  <c r="K22" i="1" s="1"/>
  <c r="L22" i="1" s="1" a="1"/>
  <c r="L22" i="1" s="1"/>
  <c r="G22" i="1"/>
  <c r="F22" i="1" s="1" a="1"/>
  <c r="F22" i="1" s="1"/>
  <c r="E22" i="1"/>
  <c r="I21" i="1"/>
  <c r="K21" i="1" s="1"/>
  <c r="L21" i="1" s="1" a="1"/>
  <c r="L21" i="1" s="1"/>
  <c r="G21" i="1"/>
  <c r="F21" i="1" s="1" a="1"/>
  <c r="F21" i="1" s="1"/>
  <c r="E21" i="1"/>
  <c r="I20" i="1"/>
  <c r="K20" i="1" s="1"/>
  <c r="L20" i="1" s="1" a="1"/>
  <c r="L20" i="1" s="1"/>
  <c r="G20" i="1"/>
  <c r="F20" i="1" s="1" a="1"/>
  <c r="F20" i="1" s="1"/>
  <c r="E20" i="1"/>
  <c r="I19" i="1"/>
  <c r="K19" i="1" s="1"/>
  <c r="L19" i="1" s="1" a="1"/>
  <c r="L19" i="1" s="1"/>
  <c r="G19" i="1"/>
  <c r="F19" i="1" s="1" a="1"/>
  <c r="F19" i="1" s="1"/>
  <c r="E19" i="1"/>
  <c r="I18" i="1"/>
  <c r="K18" i="1" s="1"/>
  <c r="L18" i="1" s="1" a="1"/>
  <c r="L18" i="1" s="1"/>
  <c r="G18" i="1"/>
  <c r="F18" i="1" s="1" a="1"/>
  <c r="F18" i="1" s="1"/>
  <c r="E18" i="1"/>
  <c r="I17" i="1"/>
  <c r="K17" i="1" s="1"/>
  <c r="L17" i="1" s="1" a="1"/>
  <c r="L17" i="1" s="1"/>
  <c r="G17" i="1"/>
  <c r="F17" i="1" s="1" a="1"/>
  <c r="F17" i="1" s="1"/>
  <c r="E17" i="1"/>
  <c r="I16" i="1"/>
  <c r="K16" i="1" s="1"/>
  <c r="L16" i="1" s="1" a="1"/>
  <c r="L16" i="1" s="1"/>
  <c r="G16" i="1"/>
  <c r="F16" i="1" s="1" a="1"/>
  <c r="F16" i="1" s="1"/>
  <c r="E16" i="1"/>
  <c r="I15" i="1"/>
  <c r="K15" i="1" s="1"/>
  <c r="L15" i="1" s="1" a="1"/>
  <c r="L15" i="1" s="1"/>
  <c r="G15" i="1"/>
  <c r="F15" i="1" s="1" a="1"/>
  <c r="F15" i="1" s="1"/>
  <c r="E15" i="1"/>
  <c r="I14" i="1"/>
  <c r="K14" i="1" s="1"/>
  <c r="L14" i="1" s="1" a="1"/>
  <c r="L14" i="1" s="1"/>
  <c r="G14" i="1"/>
  <c r="F14" i="1" s="1" a="1"/>
  <c r="F14" i="1" s="1"/>
  <c r="E14" i="1"/>
  <c r="I13" i="1"/>
  <c r="K13" i="1" s="1"/>
  <c r="L13" i="1" s="1" a="1"/>
  <c r="L13" i="1" s="1"/>
  <c r="G13" i="1"/>
  <c r="F13" i="1" s="1" a="1"/>
  <c r="F13" i="1" s="1"/>
  <c r="E13" i="1"/>
  <c r="I12" i="1"/>
  <c r="K12" i="1" s="1"/>
  <c r="L12" i="1" s="1" a="1"/>
  <c r="L12" i="1" s="1"/>
  <c r="G12" i="1"/>
  <c r="F12" i="1" s="1" a="1"/>
  <c r="F12" i="1" s="1"/>
  <c r="E12" i="1"/>
  <c r="I11" i="1"/>
  <c r="K11" i="1" s="1"/>
  <c r="L11" i="1" s="1" a="1"/>
  <c r="L11" i="1" s="1"/>
  <c r="G11" i="1"/>
  <c r="F11" i="1" s="1" a="1"/>
  <c r="F11" i="1" s="1"/>
  <c r="E11" i="1"/>
  <c r="I10" i="1"/>
  <c r="K10" i="1" s="1"/>
  <c r="L10" i="1" s="1" a="1"/>
  <c r="L10" i="1" s="1"/>
  <c r="G10" i="1"/>
  <c r="F10" i="1" s="1" a="1"/>
  <c r="F10" i="1" s="1"/>
  <c r="E10" i="1"/>
  <c r="I9" i="1"/>
  <c r="K9" i="1" s="1"/>
  <c r="L9" i="1" s="1" a="1"/>
  <c r="L9" i="1" s="1"/>
  <c r="G9" i="1"/>
  <c r="F9" i="1" s="1" a="1"/>
  <c r="F9" i="1" s="1"/>
  <c r="E9" i="1"/>
  <c r="I8" i="1"/>
  <c r="K8" i="1" s="1"/>
  <c r="L8" i="1" s="1" a="1"/>
  <c r="L8" i="1" s="1"/>
  <c r="G8" i="1"/>
  <c r="F8" i="1" s="1" a="1"/>
  <c r="F8" i="1" s="1"/>
  <c r="E8" i="1"/>
  <c r="I7" i="1"/>
  <c r="K7" i="1" s="1"/>
  <c r="L7" i="1" s="1" a="1"/>
  <c r="L7" i="1" s="1"/>
  <c r="G7" i="1"/>
  <c r="F7" i="1" s="1" a="1"/>
  <c r="F7" i="1" s="1"/>
  <c r="E7" i="1"/>
  <c r="I6" i="1"/>
  <c r="K6" i="1" s="1"/>
  <c r="L6" i="1" s="1" a="1"/>
  <c r="L6" i="1" s="1"/>
  <c r="G6" i="1"/>
  <c r="F6" i="1" s="1" a="1"/>
  <c r="F6" i="1" s="1"/>
  <c r="E6" i="1"/>
  <c r="I5" i="1"/>
  <c r="K5" i="1" s="1"/>
  <c r="L5" i="1" s="1" a="1"/>
  <c r="L5" i="1" s="1"/>
  <c r="G5" i="1"/>
  <c r="F5" i="1" s="1" a="1"/>
  <c r="F5" i="1" s="1"/>
  <c r="E5" i="1"/>
  <c r="I4" i="1"/>
  <c r="K4" i="1" s="1"/>
  <c r="L4" i="1" s="1" a="1"/>
  <c r="L4" i="1" s="1"/>
  <c r="G4" i="1"/>
  <c r="F4" i="1" s="1" a="1"/>
  <c r="F4" i="1" s="1"/>
  <c r="E4" i="1"/>
  <c r="I3" i="1"/>
  <c r="K3" i="1" s="1"/>
  <c r="L3" i="1" s="1" a="1"/>
  <c r="L3" i="1" s="1"/>
  <c r="G3" i="1"/>
  <c r="F3" i="1" s="1" a="1"/>
  <c r="F3" i="1" s="1"/>
  <c r="E3" i="1"/>
  <c r="I2" i="1"/>
  <c r="K2" i="1" s="1"/>
  <c r="L2" i="1" s="1" a="1"/>
  <c r="L2" i="1" s="1"/>
  <c r="G2" i="1"/>
  <c r="F2" i="1" s="1" a="1"/>
  <c r="F2" i="1" s="1"/>
  <c r="E2" i="1"/>
  <c r="H534" i="1" l="1"/>
  <c r="J534" i="1" s="1"/>
  <c r="H496" i="1"/>
  <c r="J496" i="1" s="1"/>
  <c r="H489" i="1"/>
  <c r="J489" i="1" s="1"/>
  <c r="H513" i="1"/>
  <c r="J513" i="1" s="1"/>
  <c r="H504" i="1"/>
  <c r="J504" i="1" s="1"/>
  <c r="H488" i="1"/>
  <c r="J488" i="1" s="1"/>
  <c r="H487" i="1"/>
  <c r="J487" i="1" s="1"/>
  <c r="H532" i="1"/>
  <c r="J532" i="1" s="1"/>
  <c r="H526" i="1"/>
  <c r="J526" i="1" s="1"/>
  <c r="H517" i="1"/>
  <c r="J517" i="1" s="1"/>
  <c r="H511" i="1"/>
  <c r="J511" i="1" s="1"/>
  <c r="H529" i="1"/>
  <c r="J529" i="1" s="1"/>
  <c r="H508" i="1"/>
  <c r="J508" i="1" s="1"/>
  <c r="H519" i="1"/>
  <c r="J519" i="1" s="1"/>
  <c r="H498" i="1"/>
  <c r="J498" i="1" s="1"/>
  <c r="H497" i="1"/>
  <c r="J497" i="1" s="1"/>
  <c r="H542" i="1"/>
  <c r="J542" i="1" s="1"/>
  <c r="H533" i="1"/>
  <c r="J533" i="1" s="1"/>
  <c r="H521" i="1"/>
  <c r="J521" i="1" s="1"/>
  <c r="H543" i="1"/>
  <c r="J543" i="1" s="1"/>
  <c r="H527" i="1"/>
  <c r="J527" i="1" s="1"/>
  <c r="H514" i="1"/>
  <c r="J514" i="1" s="1"/>
  <c r="H506" i="1"/>
  <c r="J506" i="1" s="1"/>
  <c r="H298" i="1"/>
  <c r="J298" i="1" s="1"/>
  <c r="H537" i="1"/>
  <c r="J537" i="1" s="1"/>
  <c r="H524" i="1"/>
  <c r="J524" i="1" s="1"/>
  <c r="H516" i="1"/>
  <c r="J516" i="1" s="1"/>
  <c r="H503" i="1"/>
  <c r="J503" i="1" s="1"/>
  <c r="H539" i="1"/>
  <c r="J539" i="1" s="1"/>
  <c r="H531" i="1"/>
  <c r="J531" i="1" s="1"/>
  <c r="H518" i="1"/>
  <c r="J518" i="1" s="1"/>
  <c r="H502" i="1"/>
  <c r="J502" i="1" s="1"/>
  <c r="H494" i="1"/>
  <c r="J494" i="1" s="1"/>
  <c r="H536" i="1"/>
  <c r="J536" i="1" s="1"/>
  <c r="H523" i="1"/>
  <c r="J523" i="1" s="1"/>
  <c r="H507" i="1"/>
  <c r="J507" i="1" s="1"/>
  <c r="H491" i="1"/>
  <c r="J491" i="1" s="1"/>
  <c r="H541" i="1"/>
  <c r="J541" i="1" s="1"/>
  <c r="H528" i="1"/>
  <c r="J528" i="1" s="1"/>
  <c r="H512" i="1"/>
  <c r="J512" i="1" s="1"/>
  <c r="H499" i="1"/>
  <c r="J499" i="1" s="1"/>
  <c r="H538" i="1"/>
  <c r="J538" i="1" s="1"/>
  <c r="H522" i="1"/>
  <c r="J522" i="1" s="1"/>
  <c r="H509" i="1"/>
  <c r="J509" i="1" s="1"/>
  <c r="H501" i="1"/>
  <c r="J501" i="1" s="1"/>
  <c r="H493" i="1"/>
  <c r="J493" i="1" s="1"/>
  <c r="H29" i="1"/>
  <c r="J29" i="1" s="1"/>
  <c r="H540" i="1"/>
  <c r="J540" i="1" s="1"/>
  <c r="H535" i="1"/>
  <c r="J535" i="1" s="1"/>
  <c r="H530" i="1"/>
  <c r="J530" i="1" s="1"/>
  <c r="H525" i="1"/>
  <c r="J525" i="1" s="1"/>
  <c r="H520" i="1"/>
  <c r="J520" i="1" s="1"/>
  <c r="H515" i="1"/>
  <c r="J515" i="1" s="1"/>
  <c r="H510" i="1"/>
  <c r="J510" i="1" s="1"/>
  <c r="H505" i="1"/>
  <c r="J505" i="1" s="1"/>
  <c r="H500" i="1"/>
  <c r="J500" i="1" s="1"/>
  <c r="H495" i="1"/>
  <c r="J495" i="1" s="1"/>
  <c r="H490" i="1"/>
  <c r="J490" i="1" s="1"/>
  <c r="H492" i="1"/>
  <c r="J492" i="1" s="1"/>
  <c r="H64" i="1"/>
  <c r="J64" i="1" s="1"/>
  <c r="H295" i="1"/>
  <c r="J295" i="1" s="1"/>
  <c r="H575" i="1"/>
  <c r="J575" i="1" s="1"/>
  <c r="H554" i="1"/>
  <c r="J554" i="1" s="1"/>
  <c r="H549" i="1"/>
  <c r="J549" i="1" s="1"/>
  <c r="H544" i="1"/>
  <c r="J544" i="1" s="1"/>
  <c r="H556" i="1"/>
  <c r="J556" i="1" s="1"/>
  <c r="H551" i="1"/>
  <c r="J551" i="1" s="1"/>
  <c r="H546" i="1"/>
  <c r="J546" i="1" s="1"/>
  <c r="H553" i="1"/>
  <c r="J553" i="1" s="1"/>
  <c r="H548" i="1"/>
  <c r="J548" i="1" s="1"/>
  <c r="H555" i="1"/>
  <c r="J555" i="1" s="1"/>
  <c r="H550" i="1"/>
  <c r="J550" i="1" s="1"/>
  <c r="H545" i="1"/>
  <c r="J545" i="1" s="1"/>
  <c r="H552" i="1"/>
  <c r="J552" i="1" s="1"/>
  <c r="H547" i="1"/>
  <c r="J547" i="1" s="1"/>
  <c r="H460" i="1"/>
  <c r="J460" i="1" s="1"/>
  <c r="H473" i="1"/>
  <c r="J473" i="1" s="1"/>
  <c r="H38" i="1"/>
  <c r="J38" i="1" s="1"/>
  <c r="H84" i="1"/>
  <c r="J84" i="1" s="1"/>
  <c r="H290" i="1"/>
  <c r="J290" i="1" s="1"/>
  <c r="H78" i="1"/>
  <c r="J78" i="1" s="1"/>
  <c r="H449" i="1"/>
  <c r="J449" i="1" s="1"/>
  <c r="H23" i="3"/>
  <c r="J23" i="3" s="1"/>
  <c r="H156" i="1"/>
  <c r="J156" i="1" s="1"/>
  <c r="H569" i="1"/>
  <c r="J569" i="1" s="1"/>
  <c r="H79" i="1"/>
  <c r="J79" i="1" s="1"/>
  <c r="H372" i="1"/>
  <c r="J372" i="1" s="1"/>
  <c r="H471" i="1"/>
  <c r="J471" i="1" s="1"/>
  <c r="H151" i="1"/>
  <c r="J151" i="1" s="1"/>
  <c r="H190" i="1"/>
  <c r="J190" i="1" s="1"/>
  <c r="H268" i="1"/>
  <c r="J268" i="1" s="1"/>
  <c r="H465" i="1"/>
  <c r="J465" i="1" s="1"/>
  <c r="H468" i="1"/>
  <c r="J468" i="1" s="1"/>
  <c r="H88" i="1"/>
  <c r="J88" i="1" s="1"/>
  <c r="H85" i="1"/>
  <c r="J85" i="1" s="1"/>
  <c r="H40" i="1"/>
  <c r="J40" i="1" s="1"/>
  <c r="H3" i="3"/>
  <c r="J3" i="3" s="1"/>
  <c r="H104" i="1"/>
  <c r="J104" i="1" s="1"/>
  <c r="H342" i="1"/>
  <c r="J342" i="1" s="1"/>
  <c r="H16" i="1"/>
  <c r="J16" i="1" s="1"/>
  <c r="H22" i="1"/>
  <c r="J22" i="1" s="1"/>
  <c r="H51" i="1"/>
  <c r="J51" i="1" s="1"/>
  <c r="H54" i="1"/>
  <c r="J54" i="1" s="1"/>
  <c r="H289" i="1"/>
  <c r="J289" i="1" s="1"/>
  <c r="H323" i="1"/>
  <c r="J323" i="1" s="1"/>
  <c r="H390" i="1"/>
  <c r="J390" i="1" s="1"/>
  <c r="H576" i="1"/>
  <c r="J576" i="1" s="1"/>
  <c r="H149" i="1"/>
  <c r="J149" i="1" s="1"/>
  <c r="H320" i="1"/>
  <c r="J320" i="1" s="1"/>
  <c r="H407" i="1"/>
  <c r="J407" i="1" s="1"/>
  <c r="H429" i="1"/>
  <c r="J429" i="1" s="1"/>
  <c r="H462" i="1"/>
  <c r="J462" i="1" s="1"/>
  <c r="H58" i="1"/>
  <c r="J58" i="1" s="1"/>
  <c r="H96" i="1"/>
  <c r="J96" i="1" s="1"/>
  <c r="H162" i="1"/>
  <c r="J162" i="1" s="1"/>
  <c r="H307" i="1"/>
  <c r="J307" i="1" s="1"/>
  <c r="H327" i="1"/>
  <c r="J327" i="1" s="1"/>
  <c r="H376" i="1"/>
  <c r="J376" i="1" s="1"/>
  <c r="H433" i="1"/>
  <c r="J433" i="1" s="1"/>
  <c r="H90" i="1"/>
  <c r="J90" i="1" s="1"/>
  <c r="H147" i="1"/>
  <c r="J147" i="1" s="1"/>
  <c r="H150" i="1"/>
  <c r="J150" i="1" s="1"/>
  <c r="H374" i="1"/>
  <c r="J374" i="1" s="1"/>
  <c r="H365" i="1"/>
  <c r="J365" i="1" s="1"/>
  <c r="H44" i="1"/>
  <c r="J44" i="1" s="1"/>
  <c r="H50" i="1"/>
  <c r="J50" i="1" s="1"/>
  <c r="H75" i="1"/>
  <c r="J75" i="1" s="1"/>
  <c r="H285" i="1"/>
  <c r="J285" i="1" s="1"/>
  <c r="H441" i="1"/>
  <c r="J441" i="1" s="1"/>
  <c r="H403" i="1"/>
  <c r="J403" i="1" s="1"/>
  <c r="H474" i="1"/>
  <c r="J474" i="1" s="1"/>
  <c r="H420" i="1"/>
  <c r="J420" i="1" s="1"/>
  <c r="H475" i="1"/>
  <c r="J475" i="1" s="1"/>
  <c r="H573" i="1"/>
  <c r="J573" i="1" s="1"/>
  <c r="H11" i="3"/>
  <c r="J11" i="3" s="1"/>
  <c r="H68" i="1"/>
  <c r="J68" i="1" s="1"/>
  <c r="H292" i="1"/>
  <c r="J292" i="1" s="1"/>
  <c r="H319" i="1"/>
  <c r="J319" i="1" s="1"/>
  <c r="H334" i="1"/>
  <c r="J334" i="1" s="1"/>
  <c r="H373" i="1"/>
  <c r="J373" i="1" s="1"/>
  <c r="H399" i="1"/>
  <c r="J399" i="1" s="1"/>
  <c r="H430" i="1"/>
  <c r="J430" i="1" s="1"/>
  <c r="H472" i="1"/>
  <c r="J472" i="1" s="1"/>
  <c r="H481" i="1"/>
  <c r="J481" i="1" s="1"/>
  <c r="H484" i="1"/>
  <c r="J484" i="1" s="1"/>
  <c r="H300" i="1"/>
  <c r="J300" i="1" s="1"/>
  <c r="H324" i="1"/>
  <c r="J324" i="1" s="1"/>
  <c r="H143" i="1"/>
  <c r="J143" i="1" s="1"/>
  <c r="H15" i="1"/>
  <c r="J15" i="1" s="1"/>
  <c r="H60" i="1"/>
  <c r="J60" i="1" s="1"/>
  <c r="H152" i="1"/>
  <c r="J152" i="1" s="1"/>
  <c r="H155" i="1"/>
  <c r="J155" i="1" s="1"/>
  <c r="H158" i="1"/>
  <c r="J158" i="1" s="1"/>
  <c r="H287" i="1"/>
  <c r="J287" i="1" s="1"/>
  <c r="H388" i="1"/>
  <c r="J388" i="1" s="1"/>
  <c r="H476" i="1"/>
  <c r="J476" i="1" s="1"/>
  <c r="H479" i="1"/>
  <c r="J479" i="1" s="1"/>
  <c r="H571" i="1"/>
  <c r="J571" i="1" s="1"/>
  <c r="H12" i="3"/>
  <c r="J12" i="3" s="1"/>
  <c r="H112" i="1"/>
  <c r="J112" i="1" s="1"/>
  <c r="H135" i="1"/>
  <c r="J135" i="1" s="1"/>
  <c r="H317" i="1"/>
  <c r="J317" i="1" s="1"/>
  <c r="H368" i="1"/>
  <c r="J368" i="1" s="1"/>
  <c r="H382" i="1"/>
  <c r="J382" i="1" s="1"/>
  <c r="H443" i="1"/>
  <c r="J443" i="1" s="1"/>
  <c r="H13" i="3"/>
  <c r="J13" i="3" s="1"/>
  <c r="H105" i="1"/>
  <c r="J105" i="1" s="1"/>
  <c r="H25" i="1"/>
  <c r="J25" i="1" s="1"/>
  <c r="H34" i="1"/>
  <c r="J34" i="1" s="1"/>
  <c r="H159" i="1"/>
  <c r="J159" i="1" s="1"/>
  <c r="H341" i="1"/>
  <c r="J341" i="1" s="1"/>
  <c r="H419" i="1"/>
  <c r="J419" i="1" s="1"/>
  <c r="H59" i="1"/>
  <c r="J59" i="1" s="1"/>
  <c r="H347" i="1"/>
  <c r="J347" i="1" s="1"/>
  <c r="H383" i="1"/>
  <c r="J383" i="1" s="1"/>
  <c r="H453" i="1"/>
  <c r="J453" i="1" s="1"/>
  <c r="H486" i="1"/>
  <c r="J486" i="1" s="1"/>
  <c r="H121" i="1"/>
  <c r="J121" i="1" s="1"/>
  <c r="H364" i="1"/>
  <c r="J364" i="1" s="1"/>
  <c r="H24" i="1"/>
  <c r="J24" i="1" s="1"/>
  <c r="H48" i="1"/>
  <c r="J48" i="1" s="1"/>
  <c r="H72" i="1"/>
  <c r="J72" i="1" s="1"/>
  <c r="H94" i="1"/>
  <c r="J94" i="1" s="1"/>
  <c r="H110" i="1"/>
  <c r="J110" i="1" s="1"/>
  <c r="H124" i="1"/>
  <c r="J124" i="1" s="1"/>
  <c r="H154" i="1"/>
  <c r="J154" i="1" s="1"/>
  <c r="H157" i="1"/>
  <c r="J157" i="1" s="1"/>
  <c r="H284" i="1"/>
  <c r="J284" i="1" s="1"/>
  <c r="H329" i="1"/>
  <c r="J329" i="1" s="1"/>
  <c r="H332" i="1"/>
  <c r="J332" i="1" s="1"/>
  <c r="H385" i="1"/>
  <c r="J385" i="1" s="1"/>
  <c r="H395" i="1"/>
  <c r="J395" i="1" s="1"/>
  <c r="H428" i="1"/>
  <c r="J428" i="1" s="1"/>
  <c r="H439" i="1"/>
  <c r="J439" i="1" s="1"/>
  <c r="H466" i="1"/>
  <c r="J466" i="1" s="1"/>
  <c r="H482" i="1"/>
  <c r="J482" i="1" s="1"/>
  <c r="H485" i="1"/>
  <c r="J485" i="1" s="1"/>
  <c r="H7" i="3"/>
  <c r="J7" i="3" s="1"/>
  <c r="H5" i="1"/>
  <c r="J5" i="1" s="1"/>
  <c r="H35" i="1"/>
  <c r="J35" i="1" s="1"/>
  <c r="H61" i="1"/>
  <c r="J61" i="1" s="1"/>
  <c r="H209" i="1"/>
  <c r="J209" i="1" s="1"/>
  <c r="H299" i="1"/>
  <c r="J299" i="1" s="1"/>
  <c r="H304" i="1"/>
  <c r="J304" i="1" s="1"/>
  <c r="H321" i="1"/>
  <c r="J321" i="1" s="1"/>
  <c r="H370" i="1"/>
  <c r="J370" i="1" s="1"/>
  <c r="H409" i="1"/>
  <c r="J409" i="1" s="1"/>
  <c r="H423" i="1"/>
  <c r="J423" i="1" s="1"/>
  <c r="H456" i="1"/>
  <c r="J456" i="1" s="1"/>
  <c r="H458" i="1"/>
  <c r="J458" i="1" s="1"/>
  <c r="H461" i="1"/>
  <c r="J461" i="1" s="1"/>
  <c r="H463" i="1"/>
  <c r="J463" i="1" s="1"/>
  <c r="H18" i="3"/>
  <c r="J18" i="3" s="1"/>
  <c r="H136" i="1"/>
  <c r="J136" i="1" s="1"/>
  <c r="H338" i="1"/>
  <c r="J338" i="1" s="1"/>
  <c r="H469" i="1"/>
  <c r="J469" i="1" s="1"/>
  <c r="H483" i="1"/>
  <c r="J483" i="1" s="1"/>
  <c r="H574" i="1"/>
  <c r="J574" i="1" s="1"/>
  <c r="H2" i="3"/>
  <c r="J2" i="3" s="1"/>
  <c r="H49" i="1"/>
  <c r="J49" i="1" s="1"/>
  <c r="H82" i="1"/>
  <c r="J82" i="1" s="1"/>
  <c r="H239" i="1"/>
  <c r="J239" i="1" s="1"/>
  <c r="H12" i="1"/>
  <c r="J12" i="1" s="1"/>
  <c r="H92" i="1"/>
  <c r="J92" i="1" s="1"/>
  <c r="H100" i="1"/>
  <c r="J100" i="1" s="1"/>
  <c r="H8" i="1"/>
  <c r="J8" i="1" s="1"/>
  <c r="H20" i="1"/>
  <c r="J20" i="1" s="1"/>
  <c r="H57" i="1"/>
  <c r="J57" i="1" s="1"/>
  <c r="H70" i="1"/>
  <c r="J70" i="1" s="1"/>
  <c r="H114" i="1"/>
  <c r="J114" i="1" s="1"/>
  <c r="H122" i="1"/>
  <c r="J122" i="1" s="1"/>
  <c r="H125" i="1"/>
  <c r="J125" i="1" s="1"/>
  <c r="H219" i="1"/>
  <c r="J219" i="1" s="1"/>
  <c r="H251" i="1"/>
  <c r="J251" i="1" s="1"/>
  <c r="H280" i="1"/>
  <c r="J280" i="1" s="1"/>
  <c r="H302" i="1"/>
  <c r="J302" i="1" s="1"/>
  <c r="H311" i="1"/>
  <c r="J311" i="1" s="1"/>
  <c r="H330" i="1"/>
  <c r="J330" i="1" s="1"/>
  <c r="H348" i="1"/>
  <c r="J348" i="1" s="1"/>
  <c r="H418" i="1"/>
  <c r="J418" i="1" s="1"/>
  <c r="H446" i="1"/>
  <c r="J446" i="1" s="1"/>
  <c r="H464" i="1"/>
  <c r="J464" i="1" s="1"/>
  <c r="H467" i="1"/>
  <c r="J467" i="1" s="1"/>
  <c r="H6" i="1"/>
  <c r="J6" i="1" s="1"/>
  <c r="H23" i="1"/>
  <c r="J23" i="1" s="1"/>
  <c r="H101" i="1"/>
  <c r="J101" i="1" s="1"/>
  <c r="H203" i="1"/>
  <c r="J203" i="1" s="1"/>
  <c r="H336" i="1"/>
  <c r="J336" i="1" s="1"/>
  <c r="H454" i="1"/>
  <c r="J454" i="1" s="1"/>
  <c r="H470" i="1"/>
  <c r="J470" i="1" s="1"/>
  <c r="H26" i="1"/>
  <c r="J26" i="1" s="1"/>
  <c r="H182" i="1"/>
  <c r="J182" i="1" s="1"/>
  <c r="H55" i="1"/>
  <c r="J55" i="1" s="1"/>
  <c r="H71" i="1"/>
  <c r="J71" i="1" s="1"/>
  <c r="H11" i="1"/>
  <c r="J11" i="1" s="1"/>
  <c r="H45" i="1"/>
  <c r="J45" i="1" s="1"/>
  <c r="H106" i="1"/>
  <c r="J106" i="1" s="1"/>
  <c r="H120" i="1"/>
  <c r="J120" i="1" s="1"/>
  <c r="H126" i="1"/>
  <c r="J126" i="1" s="1"/>
  <c r="H169" i="1"/>
  <c r="J169" i="1" s="1"/>
  <c r="H331" i="1"/>
  <c r="J331" i="1" s="1"/>
  <c r="H344" i="1"/>
  <c r="J344" i="1" s="1"/>
  <c r="H389" i="1"/>
  <c r="J389" i="1" s="1"/>
  <c r="H392" i="1"/>
  <c r="J392" i="1" s="1"/>
  <c r="H570" i="1"/>
  <c r="J570" i="1" s="1"/>
  <c r="H74" i="1"/>
  <c r="J74" i="1" s="1"/>
  <c r="H76" i="1"/>
  <c r="J76" i="1" s="1"/>
  <c r="H91" i="1"/>
  <c r="J91" i="1" s="1"/>
  <c r="H115" i="1"/>
  <c r="J115" i="1" s="1"/>
  <c r="H266" i="1"/>
  <c r="J266" i="1" s="1"/>
  <c r="H283" i="1"/>
  <c r="J283" i="1" s="1"/>
  <c r="H400" i="1"/>
  <c r="J400" i="1" s="1"/>
  <c r="H447" i="1"/>
  <c r="J447" i="1" s="1"/>
  <c r="H19" i="1"/>
  <c r="J19" i="1" s="1"/>
  <c r="H39" i="1"/>
  <c r="J39" i="1" s="1"/>
  <c r="H140" i="1"/>
  <c r="J140" i="1" s="1"/>
  <c r="H86" i="1"/>
  <c r="J86" i="1" s="1"/>
  <c r="H95" i="1"/>
  <c r="J95" i="1" s="1"/>
  <c r="H127" i="1"/>
  <c r="J127" i="1" s="1"/>
  <c r="H141" i="1"/>
  <c r="J141" i="1" s="1"/>
  <c r="H222" i="1"/>
  <c r="J222" i="1" s="1"/>
  <c r="H310" i="1"/>
  <c r="J310" i="1" s="1"/>
  <c r="H97" i="1"/>
  <c r="J97" i="1" s="1"/>
  <c r="H2" i="1"/>
  <c r="J2" i="1" s="1"/>
  <c r="H66" i="1"/>
  <c r="J66" i="1" s="1"/>
  <c r="H80" i="1"/>
  <c r="J80" i="1" s="1"/>
  <c r="H89" i="1"/>
  <c r="J89" i="1" s="1"/>
  <c r="H116" i="1"/>
  <c r="J116" i="1" s="1"/>
  <c r="H130" i="1"/>
  <c r="J130" i="1" s="1"/>
  <c r="H137" i="1"/>
  <c r="J137" i="1" s="1"/>
  <c r="H153" i="1"/>
  <c r="J153" i="1" s="1"/>
  <c r="H36" i="1"/>
  <c r="J36" i="1" s="1"/>
  <c r="H30" i="1"/>
  <c r="J30" i="1" s="1"/>
  <c r="H7" i="1"/>
  <c r="J7" i="1" s="1"/>
  <c r="H14" i="1"/>
  <c r="J14" i="1" s="1"/>
  <c r="H160" i="1"/>
  <c r="J160" i="1" s="1"/>
  <c r="H37" i="1"/>
  <c r="J37" i="1" s="1"/>
  <c r="H4" i="1"/>
  <c r="J4" i="1" s="1"/>
  <c r="H10" i="1"/>
  <c r="J10" i="1" s="1"/>
  <c r="H31" i="1"/>
  <c r="J31" i="1" s="1"/>
  <c r="H56" i="1"/>
  <c r="J56" i="1" s="1"/>
  <c r="H62" i="1"/>
  <c r="J62" i="1" s="1"/>
  <c r="H107" i="1"/>
  <c r="J107" i="1" s="1"/>
  <c r="H171" i="1"/>
  <c r="J171" i="1" s="1"/>
  <c r="H216" i="1"/>
  <c r="J216" i="1" s="1"/>
  <c r="H308" i="1"/>
  <c r="J308" i="1" s="1"/>
  <c r="H18" i="1"/>
  <c r="J18" i="1" s="1"/>
  <c r="H41" i="1"/>
  <c r="J41" i="1" s="1"/>
  <c r="H52" i="1"/>
  <c r="J52" i="1" s="1"/>
  <c r="H81" i="1"/>
  <c r="J81" i="1" s="1"/>
  <c r="H13" i="1"/>
  <c r="J13" i="1" s="1"/>
  <c r="H21" i="1"/>
  <c r="J21" i="1" s="1"/>
  <c r="H28" i="1"/>
  <c r="J28" i="1" s="1"/>
  <c r="H3" i="1"/>
  <c r="J3" i="1" s="1"/>
  <c r="H17" i="1"/>
  <c r="J17" i="1" s="1"/>
  <c r="H27" i="1"/>
  <c r="J27" i="1" s="1"/>
  <c r="H46" i="1"/>
  <c r="J46" i="1" s="1"/>
  <c r="H9" i="1"/>
  <c r="J9" i="1" s="1"/>
  <c r="H42" i="1"/>
  <c r="J42" i="1" s="1"/>
  <c r="H161" i="1"/>
  <c r="J161" i="1" s="1"/>
  <c r="H306" i="1"/>
  <c r="J306" i="1" s="1"/>
  <c r="H69" i="1"/>
  <c r="J69" i="1" s="1"/>
  <c r="H32" i="1"/>
  <c r="J32" i="1" s="1"/>
  <c r="H65" i="1"/>
  <c r="J65" i="1" s="1"/>
  <c r="H134" i="1"/>
  <c r="J134" i="1" s="1"/>
  <c r="H145" i="1"/>
  <c r="J145" i="1" s="1"/>
  <c r="H168" i="1"/>
  <c r="J168" i="1" s="1"/>
  <c r="H212" i="1"/>
  <c r="J212" i="1" s="1"/>
  <c r="H337" i="1"/>
  <c r="J337" i="1" s="1"/>
  <c r="H98" i="1"/>
  <c r="J98" i="1" s="1"/>
  <c r="H102" i="1"/>
  <c r="J102" i="1" s="1"/>
  <c r="H131" i="1"/>
  <c r="J131" i="1" s="1"/>
  <c r="H193" i="1"/>
  <c r="J193" i="1" s="1"/>
  <c r="H226" i="1"/>
  <c r="J226" i="1" s="1"/>
  <c r="H242" i="1"/>
  <c r="J242" i="1" s="1"/>
  <c r="H296" i="1"/>
  <c r="J296" i="1" s="1"/>
  <c r="H325" i="1"/>
  <c r="J325" i="1" s="1"/>
  <c r="H335" i="1"/>
  <c r="J335" i="1" s="1"/>
  <c r="H379" i="1"/>
  <c r="J379" i="1" s="1"/>
  <c r="H412" i="1"/>
  <c r="J412" i="1" s="1"/>
  <c r="H422" i="1"/>
  <c r="J422" i="1" s="1"/>
  <c r="H384" i="1"/>
  <c r="J384" i="1" s="1"/>
  <c r="H438" i="1"/>
  <c r="J438" i="1" s="1"/>
  <c r="H188" i="1"/>
  <c r="J188" i="1" s="1"/>
  <c r="H205" i="1"/>
  <c r="J205" i="1" s="1"/>
  <c r="H271" i="1"/>
  <c r="J271" i="1" s="1"/>
  <c r="H291" i="1"/>
  <c r="J291" i="1" s="1"/>
  <c r="H333" i="1"/>
  <c r="J333" i="1" s="1"/>
  <c r="H371" i="1"/>
  <c r="J371" i="1" s="1"/>
  <c r="H415" i="1"/>
  <c r="J415" i="1" s="1"/>
  <c r="H478" i="1"/>
  <c r="J478" i="1" s="1"/>
  <c r="H313" i="1"/>
  <c r="J313" i="1" s="1"/>
  <c r="H351" i="1"/>
  <c r="J351" i="1" s="1"/>
  <c r="H431" i="1"/>
  <c r="J431" i="1" s="1"/>
  <c r="H232" i="1"/>
  <c r="J232" i="1" s="1"/>
  <c r="H236" i="1"/>
  <c r="J236" i="1" s="1"/>
  <c r="H282" i="1"/>
  <c r="J282" i="1" s="1"/>
  <c r="H286" i="1"/>
  <c r="J286" i="1" s="1"/>
  <c r="H309" i="1"/>
  <c r="J309" i="1" s="1"/>
  <c r="H111" i="1"/>
  <c r="J111" i="1" s="1"/>
  <c r="H117" i="1"/>
  <c r="J117" i="1" s="1"/>
  <c r="H132" i="1"/>
  <c r="J132" i="1" s="1"/>
  <c r="H142" i="1"/>
  <c r="J142" i="1" s="1"/>
  <c r="H148" i="1"/>
  <c r="J148" i="1" s="1"/>
  <c r="H175" i="1"/>
  <c r="J175" i="1" s="1"/>
  <c r="H215" i="1"/>
  <c r="J215" i="1" s="1"/>
  <c r="H238" i="1"/>
  <c r="J238" i="1" s="1"/>
  <c r="H243" i="1"/>
  <c r="J243" i="1" s="1"/>
  <c r="H249" i="1"/>
  <c r="J249" i="1" s="1"/>
  <c r="H261" i="1"/>
  <c r="J261" i="1" s="1"/>
  <c r="H297" i="1"/>
  <c r="J297" i="1" s="1"/>
  <c r="H305" i="1"/>
  <c r="J305" i="1" s="1"/>
  <c r="H316" i="1"/>
  <c r="J316" i="1" s="1"/>
  <c r="H326" i="1"/>
  <c r="J326" i="1" s="1"/>
  <c r="H436" i="1"/>
  <c r="J436" i="1" s="1"/>
  <c r="H288" i="1"/>
  <c r="J288" i="1" s="1"/>
  <c r="H301" i="1"/>
  <c r="J301" i="1" s="1"/>
  <c r="H391" i="1"/>
  <c r="J391" i="1" s="1"/>
  <c r="H402" i="1"/>
  <c r="J402" i="1" s="1"/>
  <c r="H9" i="3"/>
  <c r="J9" i="3" s="1"/>
  <c r="H194" i="1"/>
  <c r="J194" i="1" s="1"/>
  <c r="H378" i="1"/>
  <c r="J378" i="1" s="1"/>
  <c r="H405" i="1"/>
  <c r="J405" i="1" s="1"/>
  <c r="H246" i="1"/>
  <c r="J246" i="1" s="1"/>
  <c r="H278" i="1"/>
  <c r="J278" i="1" s="1"/>
  <c r="H477" i="1"/>
  <c r="J477" i="1" s="1"/>
  <c r="H480" i="1"/>
  <c r="J480" i="1" s="1"/>
  <c r="H4" i="3"/>
  <c r="J4" i="3" s="1"/>
  <c r="H411" i="1"/>
  <c r="J411" i="1" s="1"/>
  <c r="H413" i="1"/>
  <c r="J413" i="1" s="1"/>
  <c r="H421" i="1"/>
  <c r="J421" i="1" s="1"/>
  <c r="H448" i="1"/>
  <c r="J448" i="1" s="1"/>
  <c r="H450" i="1"/>
  <c r="J450" i="1" s="1"/>
  <c r="H572" i="1"/>
  <c r="J572" i="1" s="1"/>
  <c r="H16" i="3"/>
  <c r="J16" i="3" s="1"/>
  <c r="H452" i="1"/>
  <c r="J452" i="1" s="1"/>
  <c r="H14" i="3"/>
  <c r="J14" i="3" s="1"/>
  <c r="H252" i="1"/>
  <c r="J252" i="1" s="1"/>
  <c r="H256" i="1"/>
  <c r="J256" i="1" s="1"/>
  <c r="H259" i="1"/>
  <c r="J259" i="1" s="1"/>
  <c r="H276" i="1"/>
  <c r="J276" i="1" s="1"/>
  <c r="H293" i="1"/>
  <c r="J293" i="1" s="1"/>
  <c r="H339" i="1"/>
  <c r="J339" i="1" s="1"/>
  <c r="H345" i="1"/>
  <c r="J345" i="1" s="1"/>
  <c r="H357" i="1"/>
  <c r="J357" i="1" s="1"/>
  <c r="H359" i="1"/>
  <c r="J359" i="1" s="1"/>
  <c r="H375" i="1"/>
  <c r="J375" i="1" s="1"/>
  <c r="H417" i="1"/>
  <c r="J417" i="1" s="1"/>
  <c r="H435" i="1"/>
  <c r="J435" i="1" s="1"/>
  <c r="H5" i="3"/>
  <c r="J5" i="3" s="1"/>
  <c r="H19" i="3"/>
  <c r="J19" i="3" s="1"/>
  <c r="H455" i="1"/>
  <c r="J455" i="1" s="1"/>
  <c r="H457" i="1"/>
  <c r="J457" i="1" s="1"/>
  <c r="H8" i="3"/>
  <c r="J8" i="3" s="1"/>
  <c r="H10" i="3"/>
  <c r="J10" i="3" s="1"/>
  <c r="H15" i="3"/>
  <c r="J15" i="3" s="1"/>
  <c r="H340" i="1"/>
  <c r="J340" i="1" s="1"/>
  <c r="H350" i="1"/>
  <c r="J350" i="1" s="1"/>
  <c r="H366" i="1"/>
  <c r="J366" i="1" s="1"/>
  <c r="H377" i="1"/>
  <c r="J377" i="1" s="1"/>
  <c r="H396" i="1"/>
  <c r="J396" i="1" s="1"/>
  <c r="H410" i="1"/>
  <c r="J410" i="1" s="1"/>
  <c r="H459" i="1"/>
  <c r="J459" i="1" s="1"/>
  <c r="H47" i="1"/>
  <c r="J47" i="1" s="1"/>
  <c r="H67" i="1"/>
  <c r="J67" i="1" s="1"/>
  <c r="H77" i="1"/>
  <c r="J77" i="1" s="1"/>
  <c r="H87" i="1"/>
  <c r="J87" i="1" s="1"/>
  <c r="H99" i="1"/>
  <c r="J99" i="1" s="1"/>
  <c r="H113" i="1"/>
  <c r="J113" i="1" s="1"/>
  <c r="H123" i="1"/>
  <c r="J123" i="1" s="1"/>
  <c r="H133" i="1"/>
  <c r="J133" i="1" s="1"/>
  <c r="H146" i="1"/>
  <c r="J146" i="1" s="1"/>
  <c r="H233" i="1"/>
  <c r="J233" i="1" s="1"/>
  <c r="H93" i="1"/>
  <c r="J93" i="1" s="1"/>
  <c r="H109" i="1"/>
  <c r="J109" i="1" s="1"/>
  <c r="H119" i="1"/>
  <c r="J119" i="1" s="1"/>
  <c r="H129" i="1"/>
  <c r="J129" i="1" s="1"/>
  <c r="H139" i="1"/>
  <c r="J139" i="1" s="1"/>
  <c r="H170" i="1"/>
  <c r="J170" i="1" s="1"/>
  <c r="H174" i="1"/>
  <c r="J174" i="1" s="1"/>
  <c r="H195" i="1"/>
  <c r="J195" i="1" s="1"/>
  <c r="H202" i="1"/>
  <c r="J202" i="1" s="1"/>
  <c r="H33" i="1"/>
  <c r="J33" i="1" s="1"/>
  <c r="H43" i="1"/>
  <c r="J43" i="1" s="1"/>
  <c r="H53" i="1"/>
  <c r="J53" i="1" s="1"/>
  <c r="H63" i="1"/>
  <c r="J63" i="1" s="1"/>
  <c r="H73" i="1"/>
  <c r="J73" i="1" s="1"/>
  <c r="H83" i="1"/>
  <c r="J83" i="1" s="1"/>
  <c r="H108" i="1"/>
  <c r="J108" i="1" s="1"/>
  <c r="H118" i="1"/>
  <c r="J118" i="1" s="1"/>
  <c r="H128" i="1"/>
  <c r="J128" i="1" s="1"/>
  <c r="H138" i="1"/>
  <c r="J138" i="1" s="1"/>
  <c r="H103" i="1"/>
  <c r="J103" i="1" s="1"/>
  <c r="H178" i="1"/>
  <c r="J178" i="1" s="1"/>
  <c r="H201" i="1"/>
  <c r="J201" i="1" s="1"/>
  <c r="H164" i="1"/>
  <c r="J164" i="1" s="1"/>
  <c r="H185" i="1"/>
  <c r="J185" i="1" s="1"/>
  <c r="H144" i="1"/>
  <c r="J144" i="1" s="1"/>
  <c r="H172" i="1"/>
  <c r="J172" i="1" s="1"/>
  <c r="H181" i="1"/>
  <c r="J181" i="1" s="1"/>
  <c r="H189" i="1"/>
  <c r="J189" i="1" s="1"/>
  <c r="H196" i="1"/>
  <c r="J196" i="1" s="1"/>
  <c r="H220" i="1"/>
  <c r="J220" i="1" s="1"/>
  <c r="H229" i="1"/>
  <c r="J229" i="1" s="1"/>
  <c r="H262" i="1"/>
  <c r="J262" i="1" s="1"/>
  <c r="H180" i="1"/>
  <c r="J180" i="1" s="1"/>
  <c r="H184" i="1"/>
  <c r="J184" i="1" s="1"/>
  <c r="H165" i="1"/>
  <c r="J165" i="1" s="1"/>
  <c r="H179" i="1"/>
  <c r="J179" i="1" s="1"/>
  <c r="H213" i="1"/>
  <c r="J213" i="1" s="1"/>
  <c r="H258" i="1"/>
  <c r="J258" i="1" s="1"/>
  <c r="H322" i="1"/>
  <c r="J322" i="1" s="1"/>
  <c r="H248" i="1"/>
  <c r="J248" i="1" s="1"/>
  <c r="H273" i="1"/>
  <c r="J273" i="1" s="1"/>
  <c r="H303" i="1"/>
  <c r="J303" i="1" s="1"/>
  <c r="H211" i="1"/>
  <c r="J211" i="1" s="1"/>
  <c r="H263" i="1"/>
  <c r="J263" i="1" s="1"/>
  <c r="H270" i="1"/>
  <c r="J270" i="1" s="1"/>
  <c r="H200" i="1"/>
  <c r="J200" i="1" s="1"/>
  <c r="H221" i="1"/>
  <c r="J221" i="1" s="1"/>
  <c r="H253" i="1"/>
  <c r="J253" i="1" s="1"/>
  <c r="H260" i="1"/>
  <c r="J260" i="1" s="1"/>
  <c r="H167" i="1"/>
  <c r="J167" i="1" s="1"/>
  <c r="H177" i="1"/>
  <c r="J177" i="1" s="1"/>
  <c r="H187" i="1"/>
  <c r="J187" i="1" s="1"/>
  <c r="H191" i="1"/>
  <c r="J191" i="1" s="1"/>
  <c r="H199" i="1"/>
  <c r="J199" i="1" s="1"/>
  <c r="H206" i="1"/>
  <c r="J206" i="1" s="1"/>
  <c r="H210" i="1"/>
  <c r="J210" i="1" s="1"/>
  <c r="H272" i="1"/>
  <c r="J272" i="1" s="1"/>
  <c r="H281" i="1"/>
  <c r="J281" i="1" s="1"/>
  <c r="H314" i="1"/>
  <c r="J314" i="1" s="1"/>
  <c r="H166" i="1"/>
  <c r="J166" i="1" s="1"/>
  <c r="H176" i="1"/>
  <c r="J176" i="1" s="1"/>
  <c r="H186" i="1"/>
  <c r="J186" i="1" s="1"/>
  <c r="H223" i="1"/>
  <c r="J223" i="1" s="1"/>
  <c r="H228" i="1"/>
  <c r="J228" i="1" s="1"/>
  <c r="H241" i="1"/>
  <c r="J241" i="1" s="1"/>
  <c r="H250" i="1"/>
  <c r="J250" i="1" s="1"/>
  <c r="H328" i="1"/>
  <c r="J328" i="1" s="1"/>
  <c r="H318" i="1"/>
  <c r="J318" i="1" s="1"/>
  <c r="H163" i="1"/>
  <c r="J163" i="1" s="1"/>
  <c r="H173" i="1"/>
  <c r="J173" i="1" s="1"/>
  <c r="H183" i="1"/>
  <c r="J183" i="1" s="1"/>
  <c r="H192" i="1"/>
  <c r="J192" i="1" s="1"/>
  <c r="H198" i="1"/>
  <c r="J198" i="1" s="1"/>
  <c r="H208" i="1"/>
  <c r="J208" i="1" s="1"/>
  <c r="H218" i="1"/>
  <c r="J218" i="1" s="1"/>
  <c r="H231" i="1"/>
  <c r="J231" i="1" s="1"/>
  <c r="H240" i="1"/>
  <c r="J240" i="1" s="1"/>
  <c r="H279" i="1"/>
  <c r="J279" i="1" s="1"/>
  <c r="H294" i="1"/>
  <c r="J294" i="1" s="1"/>
  <c r="H312" i="1"/>
  <c r="J312" i="1" s="1"/>
  <c r="H230" i="1"/>
  <c r="J230" i="1" s="1"/>
  <c r="H269" i="1"/>
  <c r="J269" i="1" s="1"/>
  <c r="H358" i="1"/>
  <c r="J358" i="1" s="1"/>
  <c r="H197" i="1"/>
  <c r="J197" i="1" s="1"/>
  <c r="H207" i="1"/>
  <c r="J207" i="1" s="1"/>
  <c r="H217" i="1"/>
  <c r="J217" i="1" s="1"/>
  <c r="H227" i="1"/>
  <c r="J227" i="1" s="1"/>
  <c r="H237" i="1"/>
  <c r="J237" i="1" s="1"/>
  <c r="H247" i="1"/>
  <c r="J247" i="1" s="1"/>
  <c r="H257" i="1"/>
  <c r="J257" i="1" s="1"/>
  <c r="H267" i="1"/>
  <c r="J267" i="1" s="1"/>
  <c r="H277" i="1"/>
  <c r="J277" i="1" s="1"/>
  <c r="H225" i="1"/>
  <c r="J225" i="1" s="1"/>
  <c r="H235" i="1"/>
  <c r="J235" i="1" s="1"/>
  <c r="H245" i="1"/>
  <c r="J245" i="1" s="1"/>
  <c r="H255" i="1"/>
  <c r="J255" i="1" s="1"/>
  <c r="H265" i="1"/>
  <c r="J265" i="1" s="1"/>
  <c r="H275" i="1"/>
  <c r="J275" i="1" s="1"/>
  <c r="H204" i="1"/>
  <c r="J204" i="1" s="1"/>
  <c r="H214" i="1"/>
  <c r="J214" i="1" s="1"/>
  <c r="H224" i="1"/>
  <c r="J224" i="1" s="1"/>
  <c r="H234" i="1"/>
  <c r="J234" i="1" s="1"/>
  <c r="H244" i="1"/>
  <c r="J244" i="1" s="1"/>
  <c r="H254" i="1"/>
  <c r="J254" i="1" s="1"/>
  <c r="H264" i="1"/>
  <c r="J264" i="1" s="1"/>
  <c r="H274" i="1"/>
  <c r="J274" i="1" s="1"/>
  <c r="H315" i="1"/>
  <c r="J315" i="1" s="1"/>
  <c r="H360" i="1"/>
  <c r="J360" i="1" s="1"/>
  <c r="H352" i="1"/>
  <c r="J352" i="1" s="1"/>
  <c r="H354" i="1"/>
  <c r="J354" i="1" s="1"/>
  <c r="H362" i="1"/>
  <c r="J362" i="1" s="1"/>
  <c r="H381" i="1"/>
  <c r="J381" i="1" s="1"/>
  <c r="H401" i="1"/>
  <c r="J401" i="1" s="1"/>
  <c r="H406" i="1"/>
  <c r="J406" i="1" s="1"/>
  <c r="H426" i="1"/>
  <c r="J426" i="1" s="1"/>
  <c r="H356" i="1"/>
  <c r="J356" i="1" s="1"/>
  <c r="H398" i="1"/>
  <c r="J398" i="1" s="1"/>
  <c r="H416" i="1"/>
  <c r="J416" i="1" s="1"/>
  <c r="H346" i="1"/>
  <c r="J346" i="1" s="1"/>
  <c r="H425" i="1"/>
  <c r="J425" i="1" s="1"/>
  <c r="H397" i="1"/>
  <c r="J397" i="1" s="1"/>
  <c r="H369" i="1"/>
  <c r="J369" i="1" s="1"/>
  <c r="H394" i="1"/>
  <c r="J394" i="1" s="1"/>
  <c r="H404" i="1"/>
  <c r="J404" i="1" s="1"/>
  <c r="H445" i="1"/>
  <c r="J445" i="1" s="1"/>
  <c r="H427" i="1"/>
  <c r="J427" i="1" s="1"/>
  <c r="H380" i="1"/>
  <c r="J380" i="1" s="1"/>
  <c r="H408" i="1"/>
  <c r="J408" i="1" s="1"/>
  <c r="H386" i="1"/>
  <c r="J386" i="1" s="1"/>
  <c r="H393" i="1"/>
  <c r="J393" i="1" s="1"/>
  <c r="H424" i="1"/>
  <c r="J424" i="1" s="1"/>
  <c r="H444" i="1"/>
  <c r="J444" i="1" s="1"/>
  <c r="H361" i="1"/>
  <c r="J361" i="1" s="1"/>
  <c r="H434" i="1"/>
  <c r="J434" i="1" s="1"/>
  <c r="H437" i="1"/>
  <c r="J437" i="1" s="1"/>
  <c r="H349" i="1"/>
  <c r="J349" i="1" s="1"/>
  <c r="H355" i="1"/>
  <c r="J355" i="1" s="1"/>
  <c r="H387" i="1"/>
  <c r="J387" i="1" s="1"/>
  <c r="H367" i="1"/>
  <c r="J367" i="1" s="1"/>
  <c r="H440" i="1"/>
  <c r="J440" i="1" s="1"/>
  <c r="H442" i="1"/>
  <c r="J442" i="1" s="1"/>
  <c r="H343" i="1"/>
  <c r="J343" i="1" s="1"/>
  <c r="H353" i="1"/>
  <c r="J353" i="1" s="1"/>
  <c r="H363" i="1"/>
  <c r="J363" i="1" s="1"/>
  <c r="H414" i="1"/>
  <c r="J414" i="1" s="1"/>
  <c r="H432" i="1"/>
  <c r="J432" i="1" s="1"/>
  <c r="H451" i="1"/>
  <c r="J451" i="1" s="1"/>
  <c r="H21" i="3"/>
  <c r="J21" i="3" s="1"/>
  <c r="H6" i="3"/>
  <c r="J6" i="3" s="1"/>
  <c r="H17" i="3"/>
  <c r="J17" i="3" s="1"/>
  <c r="H22" i="3"/>
  <c r="J22" i="3" s="1"/>
  <c r="H20" i="3"/>
  <c r="J20" i="3" s="1"/>
</calcChain>
</file>

<file path=xl/sharedStrings.xml><?xml version="1.0" encoding="utf-8"?>
<sst xmlns="http://schemas.openxmlformats.org/spreadsheetml/2006/main" count="5975" uniqueCount="2491">
  <si>
    <t>Citation (APA 7th-Annotated)</t>
  </si>
  <si>
    <t>sequence</t>
  </si>
  <si>
    <t xml:space="preserve">DOI if different from article or doi Alt </t>
  </si>
  <si>
    <t>Item number</t>
  </si>
  <si>
    <t>1st Author</t>
  </si>
  <si>
    <t>other author(s)</t>
  </si>
  <si>
    <t>year</t>
  </si>
  <si>
    <t>Publication name</t>
  </si>
  <si>
    <t>DOI (or Alt)</t>
  </si>
  <si>
    <t>Item name</t>
  </si>
  <si>
    <t>Item encoded</t>
  </si>
  <si>
    <t>Public TSV match from AUTO_Public_TSV_FileList (generated by _tools/file_list.R; do not edit manually)</t>
  </si>
  <si>
    <t>Item full original title</t>
  </si>
  <si>
    <t>Source format</t>
  </si>
  <si>
    <t>N.B.</t>
  </si>
  <si>
    <t>Progress stage</t>
  </si>
  <si>
    <t>Snapshot name if unchanged</t>
  </si>
  <si>
    <t>Source URL link</t>
  </si>
  <si>
    <t>Flags pre-addressed</t>
  </si>
  <si>
    <t>Flags possible</t>
  </si>
  <si>
    <t>Flags active (skips)</t>
  </si>
  <si>
    <t>Topic</t>
  </si>
  <si>
    <t>Taxon</t>
  </si>
  <si>
    <t>Main Trait(s)</t>
  </si>
  <si>
    <t>Other Trait(s)</t>
  </si>
  <si>
    <t>Material type (e.g. histological, MRI)</t>
  </si>
  <si>
    <t>Method</t>
  </si>
  <si>
    <t>Measure type</t>
  </si>
  <si>
    <t>Team</t>
  </si>
  <si>
    <t>Collection</t>
  </si>
  <si>
    <t>Data role (primary/secondary/both)</t>
  </si>
  <si>
    <t>Source (if secondary)</t>
  </si>
  <si>
    <t>recommendation</t>
  </si>
  <si>
    <t>Andelin, A. K., Olavarria, J. F., Fine, I., Taber, E. N., Schwartz, D., Kroenke, C. D., &amp; Stevens, A. A. (2019). The Effect of Onset Age of Visual Deprivation on Visual Cortex Surface Area Across-Species. Cereb Cortex, 29(10), 4321-4333. https://doi.org/10.1093/cercor/bhy315</t>
  </si>
  <si>
    <t>Table 4</t>
  </si>
  <si>
    <t>table</t>
  </si>
  <si>
    <t>FINISHED</t>
  </si>
  <si>
    <t>Armstrong, E. (1979). Quantitative comparison of the hominoid thalamus. I. Specific sensory relay nuclei. Am J Phys Anthropol, 51(3), 365-382. https://doi.org/10.1002/ajpa.1330510308</t>
  </si>
  <si>
    <t>Tables 1-9</t>
  </si>
  <si>
    <t>Tables 1-9. Hominoid thalamic sensory-relay nucleus volumes, neuronal densities and numbers, and neuronal-volume distributions</t>
  </si>
  <si>
    <t>tables</t>
  </si>
  <si>
    <t>Primary mixed-datatype series. Table 1 provides LGB, MGBp and VB volumes plus percent of dorsal thalamus; Tables 2-4 density; Table 5 LGB subcomponent volumes; Table 6 neuron counts; Tables 7-9 neuronal perikaryal-volume distributions. Split during build.</t>
  </si>
  <si>
    <t>https://doi.org/10.1002/ajpa.1330510308</t>
  </si>
  <si>
    <t>mixed datatypes; specimen abbreviations require a specimen crosswalk; some literature-comparison rows are secondary</t>
  </si>
  <si>
    <t>thalamic sensory relay nuclei</t>
  </si>
  <si>
    <t>Hominoids</t>
  </si>
  <si>
    <t>regional volumes; neuronal density and number; neuronal size</t>
  </si>
  <si>
    <t>LGB/LGBd; MGB parvocellular; ventrobasal complex; dorsal thalamus proportion; neuronal density; neuron number; neuronal perikaryal volume</t>
  </si>
  <si>
    <t>histological volumetry; neuronal density/count estimation; neuronal perikaryal morphometry</t>
  </si>
  <si>
    <t>volume + cell density/count + neuronal perikaryal volume</t>
  </si>
  <si>
    <t>Armstrong</t>
  </si>
  <si>
    <t>both</t>
  </si>
  <si>
    <t>Keep specimen-level records and separate regional volume, cell density/count, and cell-size outputs.</t>
  </si>
  <si>
    <t>Ashwell, K. W. S. (2020). Quantitative analysis of cerebellar morphology in monotreme, metatherian and eutherian mammals. Zoology (Jena), 139, 125753. https://doi.org/10.1016/j.zool.2020.125753</t>
  </si>
  <si>
    <t>Supplementary Table</t>
  </si>
  <si>
    <t>Supplementary Table.  Cerebellar Morphology Data</t>
  </si>
  <si>
    <t>Ashwell</t>
  </si>
  <si>
    <t>Avelino-de-Souza, K., Patzke, N., Karlsson, K. A. E., Manger, P. R., &amp; Herculano-Houzel, S. (2025). Cellular Composition of the Brain of a Northern Minke Whale. J Comp Neurol, 533(9), e70089. https://doi.org/10.1002/cne.70089</t>
  </si>
  <si>
    <t>TABLE 1</t>
  </si>
  <si>
    <t>Table 1. Cellular composition of the brain of a Northern minke whale (Balaenoptera acutorostrata)</t>
  </si>
  <si>
    <t>https://doi.org/10.1002/cne.70089</t>
  </si>
  <si>
    <t>Cetaceans &amp; others</t>
  </si>
  <si>
    <t>neuron number</t>
  </si>
  <si>
    <t>isotropic fractionator</t>
  </si>
  <si>
    <t>cell count</t>
  </si>
  <si>
    <t>HH</t>
  </si>
  <si>
    <t>primary</t>
  </si>
  <si>
    <t>Baker, J., Barton, R. A., &amp; Venditti, C. (2025). Human dexterity and brains evolved hand in hand. Communications Biology, 8(1). https://doi.org/10.1038/s42003-025-08686-5</t>
  </si>
  <si>
    <t>Supplementary Data 1</t>
  </si>
  <si>
    <t>Balzeau, A., Holloway, R. L., &amp; Grimaud-Hervé, D. (2012). Variations and asymmetries in regional brain surface in the genus Homo. J Hum Evol, 62(6), 696-706. https://doi.org/10.1016/j.jhevol.2012.03.007</t>
  </si>
  <si>
    <t>Table 2</t>
  </si>
  <si>
    <t>Table 2. Regression results for the relationship between endocranial volume and the surface of the frontal, parieto-temporal and occipital lobes.</t>
  </si>
  <si>
    <t>Table 3</t>
  </si>
  <si>
    <t>Table 3 Size-corrected dimensions for the surface of the frontal, parieto-temporal and occipital lobes in the different analysed samples.</t>
  </si>
  <si>
    <t>Table 5</t>
  </si>
  <si>
    <t>Table 5 Percentage contribution of frontal, parieto-temporal and occipital lobes to the hemispheres.</t>
  </si>
  <si>
    <t>Barbeito-Andrés, J., Castro-Fonseca, E., Qiu, L. R., Bernal, V., Lent, R., Henkelman, M., Lukowiak, K., Gleiser, P. M., Hallgrímsson, B., &amp; González, P. N. (2019). Region-specific changes in Mus musculus brain size and cell composition under chronic nutrient restriction. J Exp Biol, 222(Pt 17). https://doi.org/10.1242/jeb.204651</t>
  </si>
  <si>
    <t>cell density</t>
  </si>
  <si>
    <t>cell number</t>
  </si>
  <si>
    <t>volumes</t>
  </si>
  <si>
    <t>Barger, N., Hanson, K. L., Teffer, K., Schenker-Ahmed, N. M., &amp; Semendeferi, K. (2014). Evidence for evolutionary specialization in human limbic structures. Front Hum Neurosci, 8, 277. https://doi.org/10.3389/fnhum.2014.00277</t>
  </si>
  <si>
    <t>Table 1</t>
  </si>
  <si>
    <t>Table 1 | Volume of amygdala, hippocampus, and striatum in hominoid species collected with stereological methods.</t>
  </si>
  <si>
    <t>histological sections</t>
  </si>
  <si>
    <t>Zilles</t>
  </si>
  <si>
    <t>Barger, N., Stefanacci, L., &amp; Semendeferi, K. (2007). A comparative volumetric analysis of the amygdaloid complex and basolateral division in the human and ape brain. Am J Phys Anthropol, 134(3), 392-403. https://doi.org/10.1002/ajpa.20684</t>
  </si>
  <si>
    <t>TABLE 1. Volumetric estimates of the amygdaloid complex and the basolateral division</t>
  </si>
  <si>
    <t>Apes &amp; humans</t>
  </si>
  <si>
    <t>amygdala subdivision volumes</t>
  </si>
  <si>
    <t xml:space="preserve"> </t>
  </si>
  <si>
    <t>volume</t>
  </si>
  <si>
    <t>Barger, N., Stefanacci, L., Schumann, C. M., Sherwood, C. C., Annese, J., Allman, J. M., Buckwalter, J. A., Hof, P. R., &amp; Semendeferi, K. (2012). Neuronal populations in the basolateral nuclei of the amygdala are differentially increased in humans compared with apes: A stereological study. J Comp Neurol, 520(13), 3035-3054. https://doi.org/10.1002/cne.23118</t>
  </si>
  <si>
    <t>Table 1. Specimens in Sample</t>
  </si>
  <si>
    <t>PDF (printed table)</t>
  </si>
  <si>
    <t>Amygdala neuron number (specimen sample)</t>
  </si>
  <si>
    <t>Apes &amp; humans; Old World monkey</t>
  </si>
  <si>
    <t>specimen sample: species, sex, age, hemisphere, collection provenance</t>
  </si>
  <si>
    <t>specimen metadata (not a volumetric/neuron measure)</t>
  </si>
  <si>
    <t>Multiple (Semendeferi lab + contributed collections; see item note)</t>
  </si>
  <si>
    <t>Table 3. Average Neuron Number x10^6 (SD) for each nucleus in each species</t>
  </si>
  <si>
    <t>Primates</t>
  </si>
  <si>
    <t>amygdala neuron numbers (basolateral + central nuclei)</t>
  </si>
  <si>
    <t>neuron count (stereology)</t>
  </si>
  <si>
    <t>Barks, S. K., Calhoun, M. E., Hopkins, W. D., Cranfield, M. R., Mudakikwa, A., Stoinski, T. S., Patterson, F. G., Erwin, J. M., Hecht, E. E., Hof, P. R., &amp; Sherwood, C. C. (2014). Brain organization of gorillas reflects species differences in ecology. Am J Phys Anthropol. https://doi.org/10.1002/ajpa.22646</t>
  </si>
  <si>
    <t>Fig 4 A</t>
  </si>
  <si>
    <t>Fig4A_allsubjects_volumes</t>
  </si>
  <si>
    <t>Barks</t>
  </si>
  <si>
    <t>Fig 5 A</t>
  </si>
  <si>
    <t>Fig5A_adultsonly_volumes</t>
  </si>
  <si>
    <t>TABLE 1. Individual data</t>
  </si>
  <si>
    <t>TABLE 2</t>
  </si>
  <si>
    <t>TABLE 2. Stereological sampling of brains</t>
  </si>
  <si>
    <t>unpublishedviaDeCasien</t>
  </si>
  <si>
    <t>"Sherwood et al.64 and Barks et al.65 provided neocortex, hippocampus, striatum, thalamus, cerebellum, amygdala and insula measures for multiple gorilla species (Gorilla gorilla gorilla, G. g. graueri and G. beringei) from post-mortem MRI scans" (DeCasien and Higham 2019)</t>
  </si>
  <si>
    <t>Baron, G., Frahm, H. D., &amp; Stephan, H. (1988). Comparison of brain structure volumes in Insectivora and Primates. VIII. Vestibular complex. J Hirnforsch, 29(5), 509-523. http://www.ncbi.nlm.nih.gov/pubmed/3216099</t>
  </si>
  <si>
    <t>PMID:3216099</t>
  </si>
  <si>
    <t>Table 1. Volumes and indices of the vestibular complex (VC) and its main components (VM, V1, VL, VS) in Insectivora and Scadentia</t>
  </si>
  <si>
    <t>Insectivora, Scandentia &amp; Primates</t>
  </si>
  <si>
    <t>vestibular nuclear complex volume</t>
  </si>
  <si>
    <t>Stephan</t>
  </si>
  <si>
    <t>Baron, G., Frahm, H. D., Bhatnagar, K. P., &amp; Stephan, H. (1983). Comparison of brain structure volumes in Insectivora and Primates. III. Main olfactory bulb (MOB). J Hirnforsch, 24(5), 551-568. https://www.ncbi.nlm.nih.gov/pubmed/6663055</t>
  </si>
  <si>
    <t>PMID:6663055</t>
  </si>
  <si>
    <t>main olfactory bulb (MOB) volume</t>
  </si>
  <si>
    <t>Baron, G., Stephan, H., &amp; Frahm, H. D. (1987). Comparison of brain structure volumes in Insectivora and Primates. VI. Paleocortical components. J Hirnforsch, 28(4), 463-477. http://www.ncbi.nlm.nih.gov/pubmed/3116076</t>
  </si>
  <si>
    <t>PMID:3116076</t>
  </si>
  <si>
    <t>brain-structure volume (Comparison series, Part)</t>
  </si>
  <si>
    <t>Baron, G., Stephan, H., &amp; Frahm, H. D. (1990). Comparison of brain structure volumes in Insectivora and primates. IX. Trigeminal complex. J Hirnforsch, 31(2), 193-200. https://www.ncbi.nlm.nih.gov/pubmed/2358663</t>
  </si>
  <si>
    <t>PMID:2358663</t>
  </si>
  <si>
    <t xml:space="preserve">Table 1 .IX. Trigeminal complex </t>
  </si>
  <si>
    <t>trigeminal complex volume</t>
  </si>
  <si>
    <t>volumetry</t>
  </si>
  <si>
    <t>Baron, G., Stephan, H., &amp; Frahm, H. D. (1996). Comparative Neurobiology in Chiroptera: Macromorphology, Brain Structures, Tables, and Atlases. Birkhäuser.</t>
  </si>
  <si>
    <t>ISBN:9783764353704</t>
  </si>
  <si>
    <t>Table 10</t>
  </si>
  <si>
    <t>Table 13</t>
  </si>
  <si>
    <t>Volumes (in mm3) of the sensory trigeminal complex and of the tractus solitarii and funicular nuclei of the medulla oblongata</t>
  </si>
  <si>
    <t>Structure list, species count and the table's size/index role confirmed against the book's own Table 1 key (PDF pp. 264-265) and the printed column header, 2026-08-31.</t>
  </si>
  <si>
    <t>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</si>
  <si>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Mammals</t>
  </si>
  <si>
    <t>trigeminal and somatosensory brainstem nucleus volumes</t>
  </si>
  <si>
    <t>Not yet transcribed. PDF pages 74-78; N = 150 printed rows. Extend Baron_etal_1996_extract_snapshots.py, which already reads this PDF's text layer for Tables 10 and 32 with an explicit literal OCR-repair table.</t>
  </si>
  <si>
    <t>Table 16</t>
  </si>
  <si>
    <t>Volumes of some motor and relay nuclei of the medulla oblongata</t>
  </si>
  <si>
    <t>medullary motor and relay nucleus volumes</t>
  </si>
  <si>
    <t>Not yet transcribed. PDF pages 86-90; N = 150 printed rows. Extend Baron_etal_1996_extract_snapshots.py, which already reads this PDF's text layer for Tables 10 and 32 with an explicit literal OCR-repair table.</t>
  </si>
  <si>
    <t>Table 19</t>
  </si>
  <si>
    <t>Volumes of the vestibular nuclei of the medulla oblongata</t>
  </si>
  <si>
    <t>vestibular nucleus volumes</t>
  </si>
  <si>
    <t>Not yet transcribed. PDF pages 98-102; N = 150 printed rows. Extend Baron_etal_1996_extract_snapshots.py, which already reads this PDF's text layer for Tables 10 and 32 with an explicit literal OCR-repair table.</t>
  </si>
  <si>
    <t>Linear measures of brains in mm</t>
  </si>
  <si>
    <t>linear brain measures (mm); corpus callosum length</t>
  </si>
  <si>
    <t>linear measure (mm)</t>
  </si>
  <si>
    <t>Not yet transcribed. PDF pages 4-11; N = 303 printed rows. Extend Baron_etal_1996_extract_snapshots.py, which already reads this PDF's text layer for Tables 10 and 32 with an explicit literal OCR-repair table.</t>
  </si>
  <si>
    <t>Table 22</t>
  </si>
  <si>
    <t>Volumes of the auditory nuclei of the medulla oblongata</t>
  </si>
  <si>
    <t>auditory brainstem nucleus volumes</t>
  </si>
  <si>
    <t>Not yet transcribed. PDF pages 110-114; N = 150 printed rows. Extend Baron_etal_1996_extract_snapshots.py, which already reads this PDF's text layer for Tables 10 and 32 with an explicit literal OCR-repair table.</t>
  </si>
  <si>
    <t>Table 25</t>
  </si>
  <si>
    <t>Volumes of mesencephalic components</t>
  </si>
  <si>
    <t>mesencephalic component volumes; inferior and superior colliculus</t>
  </si>
  <si>
    <t>Not yet transcribed. PDF pages 122-126; N = 150 printed rows. Extend Baron_etal_1996_extract_snapshots.py, which already reads this PDF's text layer for Tables 10 and 32 with an explicit literal OCR-repair table.</t>
  </si>
  <si>
    <t>Table 28</t>
  </si>
  <si>
    <t>Volumes of cerebellar nuclei in mm3</t>
  </si>
  <si>
    <t>cerebellar nucleus volumes</t>
  </si>
  <si>
    <t>Not yet transcribed. PDF pages 134; N = 18 printed rows. Extend Baron_etal_1996_extract_snapshots.py, which already reads this PDF's text layer for Tables 10 and 32 with an explicit literal OCR-repair table.</t>
  </si>
  <si>
    <t>Table 30</t>
  </si>
  <si>
    <t>Volumes of some mesencephalic and diencephalic components in mm3</t>
  </si>
  <si>
    <t>lateral lemniscus and geniculate nucleus volumes</t>
  </si>
  <si>
    <t>Build; small and cheap (19 species, one page) and disproportionately useful: medial geniculate (auditory) and lateral geniculate with its dorsal/ventral split (visual) in one table, which is the thalamic tier of the audiovisual comparison. Carry the corrected abbreviations, not the OCR forms. This table is also the only place Asellia tridens appears with component volumes.</t>
  </si>
  <si>
    <t>Table 32</t>
  </si>
  <si>
    <t>Table 35</t>
  </si>
  <si>
    <t>Volumes, size indices, average size indices of the accessory olfactory bulb, and percentage of AOB relative to the BOL complex</t>
  </si>
  <si>
    <t>accessory olfactory bulb volume</t>
  </si>
  <si>
    <t>Build the volume column only. AOB is not separated in Table 32, whose BOL is the whole olfactory bulb complex, so this is the only route to an MOB/AOB split for bats.</t>
  </si>
  <si>
    <t>Table 36</t>
  </si>
  <si>
    <t>Schneider's area measurements of cortical regions (mm2)</t>
  </si>
  <si>
    <t>Reprinted from another author's work, not a Frankfurt-collection measurement. Register as secondary and keep the original author attribution in the item note; check the upstream publication before treating any value as primary. Inherits the whole-source merge gate already recorded for Tables 10/32: seven historical taxon concepts in MANUAL_REVIEW, and source rows that collapse to the same species must be averaged within the item before Tier-1 recency resolution. Resolving that gate once unblocks every Baron item, so build order need not wait on it.</t>
  </si>
  <si>
    <t>cortical surface areas (mm2)</t>
  </si>
  <si>
    <t>cortical surface area</t>
  </si>
  <si>
    <t>secondary</t>
  </si>
  <si>
    <t>Schneider (1957b) planimetry of cortical regions</t>
  </si>
  <si>
    <t>Build only if bat cortical surface areas are wanted for __merging_cortical_areas. Secondary: the measurements are Schneider's (1957b), and Stephan &amp; Pirlot 1970 cite Schneider's cortical surface work directly, so prefer the original if it can be obtained.</t>
  </si>
  <si>
    <t>Table 39</t>
  </si>
  <si>
    <t>Lütgemeier's area measurements of cortical regions (in mm2)</t>
  </si>
  <si>
    <t>Lütgemeier (1962) planimetry of cortical regions</t>
  </si>
  <si>
    <t>Table 42</t>
  </si>
  <si>
    <t>Lütgemeier's area measurements of the semicortex (in mm2)</t>
  </si>
  <si>
    <t>Build only with Tables 39 and 45. Secondary (Lütgemeier 1962).</t>
  </si>
  <si>
    <t>semicortex surface areas (mm2)</t>
  </si>
  <si>
    <t>Table 45</t>
  </si>
  <si>
    <t>Lütgemeier's area measurements of the "bicortex" (in mm2)</t>
  </si>
  <si>
    <t>Build only with Tables 39 and 42. Secondary (Lütgemeier 1962).</t>
  </si>
  <si>
    <t>bicortex surface areas (mm2)</t>
  </si>
  <si>
    <t>Table 48</t>
  </si>
  <si>
    <t>Brodmann's area measurements of cortical regions (in mm2)</t>
  </si>
  <si>
    <t>Brodmann (1913) planimetry of cortical regions</t>
  </si>
  <si>
    <t>Average body weights (BoW) and brain weights (BrW) of 342 species and/or subspecies of bats</t>
  </si>
  <si>
    <t>body mass (g); brain mass (mg)</t>
  </si>
  <si>
    <t>body mass; brain mass</t>
  </si>
  <si>
    <t>Build, highest priority of the untranscribed set: 342 species/subspecies is the largest block in the book and larger than the 272 in Tables 10/32. Feeds __merging_brain_mass. Keep the source-of-data column — it separates Stephan-collection values from compiled literature values, so the item is part primary, part secondary at row level. Check the multi-line sex rows are not double-counted, and check overlap with Ashwell 2020 and the other held bat body/brain sources before wiring.</t>
  </si>
  <si>
    <t>Table 51</t>
  </si>
  <si>
    <t>Pirlot's data of body and brain weights and of the volumes of the five fundamental brain parts and seven telencephalon components in mm3</t>
  </si>
  <si>
    <t>brain structure volumes (mm3); body and brain weight</t>
  </si>
  <si>
    <t>Build. Small but genuinely additive: six species that the 272-row tables do not cover, in the same structure scheme, so they extend rather than duplicate Tables 10/32. Note that paleocortex and amygdala are pooled here (PAL+AMY) whereas Table 32 separates them. Secondary within the book — the measurements are Pirlot's — and it is a different Pirlot dataset from Stephan &amp; Pirlot (1970), which shares no species with it.</t>
  </si>
  <si>
    <t>Table 8</t>
  </si>
  <si>
    <t>Volumes of net brain (NET), ventricles (VENT) and rests (REST) and their percentages relative to standard brain volumes</t>
  </si>
  <si>
    <t>Printed columns: n, then mm3 and % for each of NET, VENT and REST. Only the three mm3 columns are raw; the three percentage columns are derived from them against the standard brain volume and should not be carried as measurements. Average percentages are Table 9 — do not transcribe.</t>
  </si>
  <si>
    <t>net brain volume; ventricle volume; rest volume</t>
  </si>
  <si>
    <t>Build. NET brain volume is the denominator the rest of the book's indices are built on, and the ventricle volumes are not available from any other held source. Transcribe the mm3 columns only.</t>
  </si>
  <si>
    <t>Bauernfeind, A. L., de Sousa, A. A., Avasthi, T., Dobson, S. D., Raghanti, M. A., Lewandowski, A. H., Zilles, K., Semendeferi, K., Allman, J. M., Craig, A. D., Hof, P. R., &amp; Sherwood, C. C. (2013). A volumetric comparison of the insular cortex and its subregions in primates. J Hum Evol, 64(4), 263-279. https://doi.org/10.1016/j.jhevol.2012.12.003</t>
  </si>
  <si>
    <t>Volumetric comparison of the insular cortex (Table 1)</t>
  </si>
  <si>
    <t>insular cortex volumes</t>
  </si>
  <si>
    <t>Stephan, Sherwood</t>
  </si>
  <si>
    <t>Bianchi, S., Stimpson, C. D., Bauernfeind, A. L., Schapiro, S. J., Baze, W. B., McArthur, M. J., Bronson, E., Hopkins, W. D., Semendeferi, K., Jacobs, B., Hof, P. R., &amp; Sherwood, C. C. (2012). Dendritic morphology of pyramidal neurons in the chimpanzee neocortex: regional specializations and comparison to humans. Cereb Cortex, 23(10), 2429-2436. https://doi.org/10.1093/cercor/bhs239</t>
  </si>
  <si>
    <t>Demographic information for chimpanzee (N=7) and human samples (N=8)</t>
  </si>
  <si>
    <t>PDF; table/figure</t>
  </si>
  <si>
    <t>https://doi.org/10.1093/cercor/bhs239</t>
  </si>
  <si>
    <t>overlapping publication lineage; retain specimen and source-level provenance</t>
  </si>
  <si>
    <t>cortical pyramidal-neuron morphology</t>
  </si>
  <si>
    <t>dendritic morphology; spine measures; sample metadata</t>
  </si>
  <si>
    <t>Sample metadata: age, sex, post-mortem interval, fixation length</t>
  </si>
  <si>
    <t>Golgi or intracellular Lucifer Yellow morphology, as specified in source</t>
  </si>
  <si>
    <t>cell morphology / metadata</t>
  </si>
  <si>
    <t>Add; essential specimen provenance.</t>
  </si>
  <si>
    <t>Dependent measures in areas 3b, 4, 18, and 10 in chimpanzees and humans</t>
  </si>
  <si>
    <t>Cell soma area/depth, TDL, MSL, DSC, DSN, DSD, dendritic tree count by species and cortical area</t>
  </si>
  <si>
    <t>primary quantitative table; human values reuse Jacobs 1997/2001</t>
  </si>
  <si>
    <t>Add; core trait table. Flag human values as reused source lineage.</t>
  </si>
  <si>
    <t>Boddy, A. M., McGowen, M. R., Sherwood, C. C., Grossman, L. I., Goodman, M., &amp; Wildman, D. E. (2012). Comparative analysis of encephalization in mammals reveals relaxed constraints on anthropoid primate and cetacean brain scaling. J Evol Biol, 25(5), 981-994. https://doi.org/10.1111/j.1420-9101.2012.02491.x</t>
  </si>
  <si>
    <t>brain_body_database_v2.txt</t>
  </si>
  <si>
    <t>the individuals values</t>
  </si>
  <si>
    <t>Table S1</t>
  </si>
  <si>
    <t>means</t>
  </si>
  <si>
    <t>Bortoff, G. A., &amp; Strick, P. L. (1993). Corticospinal terminations in two New-World primates: Further evidence that corticomotoneuronal connections provide part of the neural substrate for manual dexterity. The Journal of Neuroscience, 13(12), 5105–5118. https://doi.org/10.1523/JNEUROSCI.13-12-05105.1993</t>
  </si>
  <si>
    <t>Curated Table 1. Species-specific corticospinal termination extent and CM-connection inference</t>
  </si>
  <si>
    <t>https://doi.org/10.1523/JNEUROSCI.13-12-05105.1993</t>
  </si>
  <si>
    <t>spinal cord / M1 output</t>
  </si>
  <si>
    <t>two New-World primate species</t>
  </si>
  <si>
    <t>corticospinal termination extent and corticomotoneuronal inference</t>
  </si>
  <si>
    <t>CST ventral-horn / lamina IX termination extent; CM-connection inference</t>
  </si>
  <si>
    <t>WGA-HRP anterograde tract tracing from primary motor cortex</t>
  </si>
  <si>
    <t>ordinal anatomical grade + qualitative inference</t>
  </si>
  <si>
    <t>Bortoff/Strick</t>
  </si>
  <si>
    <t>Grade 0–2 is coded only from explicit species-level terminal-field evidence. CM_monosynaptic remains blank because light microscopy cannot establish direct monosynaptic presence or absence; likely/against is retained separately as inference. Data role = PRIMARY: the WGA-HRP result is Bortoff &amp; Strick’s own, only the 0–2 grading is curatorial (see reference_tables/..._definitions.csv, Method:coding). Keyed on the article DOI — the earlier COMPILATION:Corticospinal_terminations override was removed 2026-08-15; a second CST paper gets its own folder and is pooled in __merging_behaviour, not appended to this table.</t>
  </si>
  <si>
    <t>Boyer, D. M., &amp; Harrington, A. R. (2018). Scaling of bony canals for encephalic vessels in euarchontans: Implications for the role of the vertebral artery and brain metabolism. J Hum Evol, 114, 85-101. https://doi.org/10.1016/j.jhevol.2017.09.003</t>
  </si>
  <si>
    <t>Table 1 Taxon list and species mean values.</t>
  </si>
  <si>
    <t>Boyer, D. M., &amp; Harrington, A. R. (2019). New estimates of blood flow rates in the vertebral artery of euarchontans and their implications for encephalic blood flow scaling: A response to Seymour and Snelling (2018). J Hum Evol, 128, 93-98. https://doi.org/10.1016/j.jhevol.2018.10.002</t>
  </si>
  <si>
    <t>SOM Table S6</t>
  </si>
  <si>
    <t>Brodmann, K. (1913). Neue Ergebnisse über die vergleichende histologische Lokalisation der Großhirnrinde mit besonderer Berücksichtigung des Stirnhirns. Verhandlungen der Anatomischen Gesellschaft, 41, 157-216.</t>
  </si>
  <si>
    <t>OCLC:8777719</t>
  </si>
  <si>
    <t>Tabelle 1. Gesamtrindenfläche, Furchenrinde und Hirngewicht bei verschiedenen Säugetieren</t>
  </si>
  <si>
    <t>Mammalia (all orders)</t>
  </si>
  <si>
    <t>total cortical surface area; sulcal cortex; brain weight</t>
  </si>
  <si>
    <t>surface area (mm2) + mass (g)</t>
  </si>
  <si>
    <t>Brodmann, K. (1913). Neue Forschungsergebnisse der Großhirnrindenanatomie mit besonderer Berücksichtigung anthropologischer Fragen. Verhandlungen der Gesellschaft Deutscher Naturforscher und Ärzte, 85(1), 200-240</t>
  </si>
  <si>
    <t>10.0000/placeholder</t>
  </si>
  <si>
    <t>Tabelle 1</t>
  </si>
  <si>
    <t>Documented non-build: this row's "Tabelle 1: Gesamtrindenfläche, Furchenrinde und Hirngewicht bei verschiedenen Säugetieren" is the identical table (same title, same data) already captured in Brodmann__1913_Table1, built from Brodmann_1913_Verhandlungen.pdf p.206 (the only Brodmann source PDF present in this folder besides the unrelated English 1909 localisation-doctrine book, Brodmann.pdf). This row's own citation (Verhandlungen der Gesellschaft Deutscher Naturforscher und Ärzte, 85(1), 200-240) matches this PDF's actual title page exactly, while Brodmann__1913_Table1's citation (Verhandlungen der Anatomischen Gesellschaft, 41, 157-216) is a different nominal source not present as a separate file here. Whether these are two genuinely separate 1913 Brodmann publications that happen to repeat the same table verbatim, or a mislabeled citation on one row, could not be resolved from the materials in this repo -- flagged for owner review -- but no distinct additional data exists to build here without duplicating the already-delivered 38-row dataset. Marked FINISHED rather than left blank, per the same documented-non-build precedent as Halley_Krubitzer_2019_Figure1.</t>
  </si>
  <si>
    <t>Mammals (various)</t>
  </si>
  <si>
    <t>Burger, J. R., George, M. A., Leadbetter, C., &amp; Shaikh, F. (2019). The allometry of brain size in mammals. J Mammal, 100(2), 276-283. https://doi.org/10.1093/jmammal/gyz043</t>
  </si>
  <si>
    <t>Supplementary Data SD1</t>
  </si>
  <si>
    <t>Supplementary Data SD2</t>
  </si>
  <si>
    <t>gyz043_suppl_Supplement_Data.csv</t>
  </si>
  <si>
    <t>brain and body size</t>
  </si>
  <si>
    <t>brain &amp; body mass</t>
  </si>
  <si>
    <t>derived relative brain size data are problematic</t>
  </si>
  <si>
    <t>Burish, M. J., Peebles, J. K., Baldwin, M. K., Tavares, L., Kaas, J. H., &amp; Herculano-Houzel, S. (2010). Cellular scaling rules for primate spinal cords. Brain Behav Evol, 76(1), 45-59. https://doi.org/10.1159/000319019</t>
  </si>
  <si>
    <t>Supplementary Table 1</t>
  </si>
  <si>
    <t>Supplementary Table 1: Dataset of individual spinal cord measurements</t>
  </si>
  <si>
    <t>primates and tree shrew</t>
  </si>
  <si>
    <t>number spinal cord neurons</t>
  </si>
  <si>
    <t>Table 1. Cellular composition of the spinal cord</t>
  </si>
  <si>
    <t>https://doi.org/10.1159/000319019</t>
  </si>
  <si>
    <t>species-name-error: species-name typo corrected from paper text (in .R script).</t>
  </si>
  <si>
    <t>Bush, E. C., &amp; Allman, J. M. (2003). The scaling of white matter to gray matter in cerebellum and neocortex. Brain Behav Evol, 61(1), 1-5. https://doi.org/10.1159/000068880</t>
  </si>
  <si>
    <t>Allman</t>
  </si>
  <si>
    <t>AFIP</t>
  </si>
  <si>
    <t>Bush, E. C., &amp; Allman, J. M. (2004). The scaling of frontal cortex in primates and carnivores. Proc Natl Acad Sci U S A, 101(11), 3962-3966. https://doi.org/10.1073/pnas.0305760101</t>
  </si>
  <si>
    <t>a</t>
  </si>
  <si>
    <t>Table 1. White matter and gray matter volumes (cm3) for neocortex and cerebellum for 45 mammals</t>
  </si>
  <si>
    <t>Mammals (incl. primates)</t>
  </si>
  <si>
    <t>neocortex &amp; cerebellum grey/white volumes</t>
  </si>
  <si>
    <t>Bush, E. C., &amp; Allman, J. M. (2004). Three-dimensional structure and evolution of primate primary visual cortex. Anat Rec (Hoboken), 281(1), 1088-1094. https://doi.org/10.1002/ar.a.20114</t>
  </si>
  <si>
    <t>b</t>
  </si>
  <si>
    <t>Table 1. Measurements in V1 and the rest of the brain for a sample of primates</t>
  </si>
  <si>
    <t>V1 grey, LGN, V1 surface, neocortex GM/WM</t>
  </si>
  <si>
    <t>volumetry/stereology</t>
  </si>
  <si>
    <t>TABLE 3</t>
  </si>
  <si>
    <t>Butti, C., Sherwood, C. C., Hakeem, A. Y., Allman, J. M., &amp; Hof, P. R. (2009). Total number and volume of Von Economo neurons in the cerebral cortex of cetaceans. J Comp Neurol, 515(2), 243-259. https://doi.org/10.1002/cne.22055</t>
  </si>
  <si>
    <t>Table 6</t>
  </si>
  <si>
    <t>Campos, G. B., &amp; Welker, W. I. (1976). Comparisons between brains of a large and a small hystricomorph rodent: capybara, Hydrochoerus and guinea pig, Cavia; neocortical projection regions and measurements of brain subdivisions. Brain Behav Evol, 13(4), 243-266. https://doi.org/10.1159/000123814</t>
  </si>
  <si>
    <t>Table 1. Quantitative comparisons of brains of capybara and guinea pig</t>
  </si>
  <si>
    <t>https://doi.org/10.1159/000123814</t>
  </si>
  <si>
    <t>mixed-datatype table; n=1 per species; derived multiplication-factor rows</t>
  </si>
  <si>
    <t>brain subdivisions / cortex / cell counts</t>
  </si>
  <si>
    <t>Rodents</t>
  </si>
  <si>
    <t>regional volumes; cortical morphometry; cell density and number</t>
  </si>
  <si>
    <t>prosencephalon; neocortex; white matter; thalamus; caudate; globus pallidus; basal forebrain; hippocampus; hypothalamus; cortical surface/fissures/thickness; cell density and number</t>
  </si>
  <si>
    <t>histological volumetry; cortical surface measurement; cell-density sampling and counts</t>
  </si>
  <si>
    <t>volume + area + thickness + cell density/count</t>
  </si>
  <si>
    <t>Welker/Wisconsin</t>
  </si>
  <si>
    <t>University of Wisconsin Comparative Mammalian Brain Collection</t>
  </si>
  <si>
    <t>Capellini, I., Barton, R. A., McNamara, P., Preston, B. T., &amp; Nunn, C. L. (2008). Phylogenetic analysis of the ecology and evolution of mammalian sleep. Evolution, 62(7), 1764-1776. https://doi.org/10.1111/j.1558-5646.2008.00392.x</t>
  </si>
  <si>
    <t>sleep-data_Female</t>
  </si>
  <si>
    <t>all data downloaded from database cited in paper with search term Sex = Female</t>
  </si>
  <si>
    <t>none - digital-native (sleep-data_Female.csv IS the frozen source)</t>
  </si>
  <si>
    <t>sleep (total sleep time, REM, NREM)</t>
  </si>
  <si>
    <t>sleep (h/day, REM %)</t>
  </si>
  <si>
    <t>Capellini</t>
  </si>
  <si>
    <t>one row per primary study x species x sex class, not per species - aggregate at the merge. Citation-dependent with HerculanoHouzel__2015_Table1 for daily sleep (both descend from Zepelin / Campbell &amp; Tobler) - resolve, never average.</t>
  </si>
  <si>
    <t>sleep-data_Male</t>
  </si>
  <si>
    <t>all data downloaded from database cited in paper with search term Sex = Male</t>
  </si>
  <si>
    <t>none - digital-native (sleep-data_Male.csv IS the frozen source)</t>
  </si>
  <si>
    <t>sleep-data_Mixed</t>
  </si>
  <si>
    <t>all data downloaded from database cited in paper with search term Sex = Mixed</t>
  </si>
  <si>
    <t>none - digital-native (sleep-data_Mixed.csv IS the frozen source)</t>
  </si>
  <si>
    <t>Caspar, K. R., Pallasdies, F., Mader, L., Sartorelli, H., &amp; Begall, S. (2022). The evolution and biological correlates of hand preferences in anthropoid primates. Elife, 11, e77875. https://doi.org/10.7554/eLife.77875</t>
  </si>
  <si>
    <t>Supplementary file 3</t>
  </si>
  <si>
    <t>part 2: ecological table</t>
  </si>
  <si>
    <t>elife-77875-supp3-v1.xlsx</t>
  </si>
  <si>
    <t>https://cdn.elifesciences.org/articles/77875/elife-77875-supp3-v1.xlsx</t>
  </si>
  <si>
    <t>Habitual Tool Use, Ecology, Female brain size</t>
  </si>
  <si>
    <t>behavioural (handedness, tool use, ecology)</t>
  </si>
  <si>
    <t>part 1: handedness summary table</t>
  </si>
  <si>
    <t>https://elifesciences.org/download/aHR0cHM6Ly9jZG4uZWxpZmVzY2llbmNlcy5vcmcvYXJ0aWNsZXMvNzc4NzUvZWxpZmUtNzc4NzUtdjEucGRmP2Nhbm9uaWNhbFVyaT1odHRwczovL2VsaWZlc2NpZW5jZXMub3JnL2FydGljbGVzLzc3ODc1/elife-77875-v1.pdf?_hash=NStjcL9fTlmy3AQDwSiM0YgMVB3UYjO8nDg0UbwN5gM%3D</t>
  </si>
  <si>
    <t>Handedness derived data</t>
  </si>
  <si>
    <t>behavioural (handedness)</t>
  </si>
  <si>
    <t>perhaps useful to get raw data as well?</t>
  </si>
  <si>
    <t>Caves, E. M., Brandley, N. C., &amp; Johnsen, S. (2018). Visual Acuity and the Evolution of Signals. Trends Ecol Evol, 33(5), 358-372. https://doi.org/10.1016/j.tree.2018.03.001</t>
  </si>
  <si>
    <t>Changizi, M. A. (2001). Principles underlying mammalian neocortical scaling. Biol Cybern, 84(3), 207-215. https://doi.org/10.1007/s004220000205</t>
  </si>
  <si>
    <t>Figure 3</t>
  </si>
  <si>
    <t>figure and caption</t>
  </si>
  <si>
    <t>number of cortical areas</t>
  </si>
  <si>
    <t>cortical area count / scaling</t>
  </si>
  <si>
    <t>summary to check more precise areas from ProjectKaskan</t>
  </si>
  <si>
    <t>Changizi, M. A. (2003). Relationship between number of muscles, behavioral repertoire size, and encephalization in mammals. Journal of Theoretical Biology, 220(2), 157–168. https://doi.org/10.1006/jtbi.2003.3125</t>
  </si>
  <si>
    <t>Estimates for number of ethobehavior types, encephalization index, and number of muscle types for mammalian orders and species.</t>
  </si>
  <si>
    <t>https://doi.org/10.1006/jtbi.2003.3125</t>
  </si>
  <si>
    <t>Source table and interpretation checked against attached PDF</t>
  </si>
  <si>
    <t>Verify taxon names and whether values are raw, derived, or model summaries before merge</t>
  </si>
  <si>
    <t>comparative intelligence</t>
  </si>
  <si>
    <t>Behavioral repertoire size; encephalization; muscle types</t>
  </si>
  <si>
    <t>observed counts / derived index</t>
  </si>
  <si>
    <t>Ingest this rather than averaging it with Johnson Table 1; use Johnson as provenance/cross-check.</t>
  </si>
  <si>
    <t>Changizi, M. A., &amp; Shimojo, S. (2005). Parcellation and area-area connectivity as a function of neocortex size. Brain Behavior and Evolution, 66(2), 88-98. https://doi.org/10.1159/000085942</t>
  </si>
  <si>
    <t>average relative size of cortical areas; brain mass; EQ</t>
  </si>
  <si>
    <t>cortical parcellation (mean relative area size)</t>
  </si>
  <si>
    <t>Changizi</t>
  </si>
  <si>
    <t>19 animals. The 4 rows with no SD (mouse, rat, ferret, cat) were COUNTED from unflattened maps, not measured - avg = 100/(2 x areas shown) reproduces all four exactly; recorded in rel_size_basis. brain_mass_g is kept in grams as printed (project unit is mg - convert x1000 at merge time).</t>
  </si>
  <si>
    <t>relative size of V1, V2, A1, S1 and M1 (% of neocortex)</t>
  </si>
  <si>
    <t>cortical area relative size (pct neocortex)</t>
  </si>
  <si>
    <t>16 animals; blanks are 'not measured', NEVER zero, and are the main hazard in this table - a shifted row misassigns M1. Mouse's row is entirely blank and is kept as printed. V2, A1, S1 and M1 are not yet in _keys/anatomy_reference.csv.</t>
  </si>
  <si>
    <t>number of cortical areas and area-area connections per subnetwork</t>
  </si>
  <si>
    <t>cortical connectivity (areas, edges)</t>
  </si>
  <si>
    <t>10 sensory / somato-motor subnetworks compiled from other groups' connectivity matrices.</t>
  </si>
  <si>
    <t>area-area connections per cortical area</t>
  </si>
  <si>
    <t>cortical connectivity (connections per area)</t>
  </si>
  <si>
    <t>38 rows / 11 animals. 3 rows print 'not shown here' -&gt; NA with area_not_shown flagged. Table 4 prints 'TD' twice in the tree-shrew block; the second is almost certainly TI (Lyon et al. 1998) - kept verbatim, flagged. The opossum here is Kahn et al. 2000 (Monodelphis domestica), NOT the Didelphis of Table 1.</t>
  </si>
  <si>
    <t>average number of area connections per area</t>
  </si>
  <si>
    <t>cortical connectivity (mean connections per area)</t>
  </si>
  <si>
    <t>11 rows, derived from Table 4: 10^mean(log10 x) and the sample SD of log10 x reproduce Table 5's mean AND SD to 2 dp for all 9 recomputable animals. Rat SD = 0 is a true zero (n = 1).</t>
  </si>
  <si>
    <t>Chaplin, T. A., Yu, H. H., Soares, J. G., Gattass, R., &amp; Rosa, M. G. (2013). A conserved pattern of differential expansion of cortical areas in simian primates. J Neurosci, 33(38), 15120-15125. https://doi.org/10.1523/JNEUROSCI.2909-13.2013</t>
  </si>
  <si>
    <t>Results Text</t>
  </si>
  <si>
    <t>Results, first paragraph — cortical surface areas of the three monkey models</t>
  </si>
  <si>
    <t>text</t>
  </si>
  <si>
    <t>https://doi.org/10.1523/JNEUROSCI.2909-13.2013</t>
  </si>
  <si>
    <t>Values, species, sexes and body masses read directly from the PDF Results text on 2026-08-31; confirmed the paper carries Figures 1-4 only and no data tables, and that the supplemental material is a video. Citation and DOI confirmed via CrossRef.</t>
  </si>
  <si>
    <t>Surface areas of computational cortical models, not direct anatomical measurement, and one individual per species. Whole-cortex and both-hemisphere status must be established at build before wiring into __merging_cortical_areas (compare the Demirci et al. 2023 halving rule). Macaque body mass not reported. Cebus apella value conflicts with Mota et al. 2019 (7653) by ~12 per cent; Macaca mulatta conflicts with Turner et al. 2016 (15,230).</t>
  </si>
  <si>
    <t>Total cortical surface area (mm2)</t>
  </si>
  <si>
    <t>MRI using reference landmark registration</t>
  </si>
  <si>
    <t>Three species with printed values, and it unblocks the Chaplin owner decision recorded in _checks/registry_audit_20260831.md: the registered DOI 10.1002/cne.23215 is the marmoset V1 retinotopy paper, this one is the surfaces paper. Establish the hemisphere convention before wiring into __merging_cortical_areas.</t>
  </si>
  <si>
    <t>Chen, Z., &amp; Wiens, J. J. (2020). The origins of acoustic communication in vertebrates. Nature Communications, 11(1), 369. https://doi.org/10.1038/s41467-020-14356-3</t>
  </si>
  <si>
    <t>Supplementary Data 3</t>
  </si>
  <si>
    <t>41467_2020_14356_MOESM6_ESM.xlsx</t>
  </si>
  <si>
    <t>https://static-content.springer.com/esm/art%3A10.1038%2Fs41467-020-14356-3/MediaObjects/41467_2020_14356_MOESM6_ESM.xlsx</t>
  </si>
  <si>
    <t>Tetrapod vertebrates</t>
  </si>
  <si>
    <t>acoustic communication</t>
  </si>
  <si>
    <t>dial activity (Supp 4)</t>
  </si>
  <si>
    <t>behavioural (acoustic communication)</t>
  </si>
  <si>
    <t>Collins, C. E., Airey, D. C., Young, N. A., Leitch, D. B., &amp; Kaas, J. H. (2010). Neuron densities vary across and within cortical areas in primates. Proc Natl Acad Sci U S A, 107(36), 15927-15932. https://doi.org/10.1073/pnas.1010356107</t>
  </si>
  <si>
    <t>Dataset S1</t>
  </si>
  <si>
    <t>cortical area surface area, neuron density</t>
  </si>
  <si>
    <t>Kaas</t>
  </si>
  <si>
    <t>Collins, C. E., Turner, E. C., Sawyer, E. K., Reed, J. L., Young, N. A., Flaherty, D. K., &amp; Kaas, J. H. (2016). Cortical cell and neuron density estimates in one chimpanzee hemisphere. Proc Natl Acad Sci U S A, 113(3), 740-745. https://doi.org/10.1073/pnas.1524208113</t>
  </si>
  <si>
    <t>Cortical cell and neuron density in one chimpanzee hemisphere (Table 1)</t>
  </si>
  <si>
    <t>cortical neuron/cell density</t>
  </si>
  <si>
    <t>neuron/cell density &amp; number</t>
  </si>
  <si>
    <t>de Jager, E., Prigge, L., Amod, N., Oettle, A., &amp; Beaudet, A. (2022). Exploring the relationship between soft and hard tissues: The example of vertebral arteries and transverse foramina. J Anat, 241(2), 447-452. https://doi.org/10.1111/joa.13681</t>
  </si>
  <si>
    <t>de Magalhães, J. P., Abidi, Z., Dos Santos, G. A., Avelar, R. A., Barardo, D., Chatsirisupachai, K., Clark, P., De-Souza, E. A., Johnson, E. J., Lopes, I., Novoa, G., Senez, L., Talay, A., Thornton, D., &amp; To, P. K. P. (2024). Human Ageing Genomic Resources: updates on key databases in ageing research. Nucleic Acids Res, 52(D1), D900-D908. https://doi.org/10.1093/nar/gkad927</t>
  </si>
  <si>
    <t>anage_data.txt</t>
  </si>
  <si>
    <t>AnAge database export (Build 15) -- full species table</t>
  </si>
  <si>
    <t>database export (tab-delimited txt)</t>
  </si>
  <si>
    <t>Digital-native source; no snapshot needed (untouched download is the frozen copy). Public TSV, README and definitions.csv all built and uploaded 2026-09-24; flag corrected from BUILT (pending validation) to FINISHED 2026-09-25 once the TSV's presence in __Public/comparative-data was confirmed directly (the AUTO_Public_TSV_FileList cache had not yet been refreshed by _tools/file_list.R, so it still showed no match).</t>
  </si>
  <si>
    <t>https://genomics.senescence.info/species/index.html</t>
  </si>
  <si>
    <t>no reference bibliography distributed with export; HAGRID not stable across builds</t>
  </si>
  <si>
    <t>life history / longevity</t>
  </si>
  <si>
    <t>all taxa (1,349 of 4,645 rows are Mammalia)</t>
  </si>
  <si>
    <t>maximum longevity; sexual maturity; gestation/incubation; weaning; litter size; growth rate</t>
  </si>
  <si>
    <t>metabolic rate; body temperature; mortality-rate model parameters (sparse)</t>
  </si>
  <si>
    <t>database compilation from primary literature (per-record reference codes)</t>
  </si>
  <si>
    <t>time (days/yrs); mass (g); count; rate</t>
  </si>
  <si>
    <t>AnAge's own primary-literature references (per Source_ref / References columns; bibliography not distributed)</t>
  </si>
  <si>
    <t>General-purpose life-history covariate table; Mammalia subset most relevant to this project</t>
  </si>
  <si>
    <t xml:space="preserve">de Sousa, A. A. (2008). Hominoid brain organization: Histometric and morphometric comparisons of visual brain structures [Ph.D., The George Washington University]. United States -- District of Columbia. http://proquest.umi.com/pqdweb?did=1564016401&amp;Fmt=7&amp;clientId=5241&amp;RQT=309&amp;VName=PQD </t>
  </si>
  <si>
    <t>UMI:3311323</t>
  </si>
  <si>
    <t>Suppl. Table 5.2</t>
  </si>
  <si>
    <t>Suppl. Table 5.2 Comparison of adjusted values to published data (Semendeferi 1998, 2002)</t>
  </si>
  <si>
    <t>Table 4.1</t>
  </si>
  <si>
    <t>Table 4.1 Samples used in analyses of V1, V2, VP and V5 (9 specimens)</t>
  </si>
  <si>
    <t>Table 5.1</t>
  </si>
  <si>
    <t>Table 5.1 Specimens and volumes</t>
  </si>
  <si>
    <t>Table 5.6</t>
  </si>
  <si>
    <t>Table 5.6 Species mean volumes of cortical areas and brain nuclei</t>
  </si>
  <si>
    <t>de Sousa, A. A., Sherwood, C. C., Hof, P. R., &amp; Zilles, K. (2013). Lamination of the lateral geniculate nucleus of catarrhine primates. Brain Behav Evol, 81(2), 93-108. https://doi.org/10.1159/000346495</t>
  </si>
  <si>
    <t>Table 1. LGN parvocellular lamination, species mean brain weights and LGN volumes</t>
  </si>
  <si>
    <t>catarrhine primates</t>
  </si>
  <si>
    <t>LGN volume + parvocellular lamination + brain weight</t>
  </si>
  <si>
    <t>Stephan, Zilles</t>
  </si>
  <si>
    <t>Stephan, Zilles, AFIP, Sherwood, Hof</t>
  </si>
  <si>
    <t>de Sousa, A. A., Sherwood, C. C., Mohlberg, H., Amunts, K., Schleicher, A., MacLeod, C. E., Hof, P. R., Frahm, H., &amp; Zilles, K. (2010). Hominoid visual brain structure volumes and the position of the lunate sulcus. J Hum Evol, 58(4), 281-292. https://doi.org/10.1016/j.jhevol.2009.11.011</t>
  </si>
  <si>
    <t>Sup Table 2</t>
  </si>
  <si>
    <t>Supplementary Table 2. Primate species mean volumes</t>
  </si>
  <si>
    <t>https://doi.org/10.1016/j.jhevol.2009.11.011</t>
  </si>
  <si>
    <t>value-error: Neocortex (Neo. vol.) for 17 strepsirrhine/tarsier spp. mis-copied from Stephan 1981/1988 in published Supp. Table 2 (13/17 exceed brain vol., impossible) — kept in snapshot, corrected to Stephan values in dataset.  ||  species-name-error: 7 binomials misspelt in published table — kept in snapshot, corrected in dataset (see correction column).</t>
  </si>
  <si>
    <t>units labelled 'g' in source but values are cm3</t>
  </si>
  <si>
    <t>value error (transcription) + species-name errors</t>
  </si>
  <si>
    <t>Primates (+ Insectivora)</t>
  </si>
  <si>
    <t>brain, neocortex, V1 (area striata), LGN mean volumes</t>
  </si>
  <si>
    <t>Online supplementary Table 2 (file 1-s2.0-S0047248410000023-mmc2.doc). Snapshot reproduces the published table verbatim incl. the error; cleaned CSV corrects it. See deSousa_etal_2010.ReadMe.md.</t>
  </si>
  <si>
    <t>Hominoid visual brain structure volumes (Table 1)</t>
  </si>
  <si>
    <t>visual brain structure volumes</t>
  </si>
  <si>
    <t>histological sections &amp; MRI</t>
  </si>
  <si>
    <t>de Sousa, A. A., Sherwood, C. C., Schleicher, A., Amunts, K., MacLeod, C. E., Hof, P. R., &amp; Zilles, K. (2009). Comparative cytoarchitectural analyses of striate and extrastriate areas in hominoids. Cereb Cortex, 20(4), 966-981. https://doi.org/10.1093/cercor/bhp158</t>
  </si>
  <si>
    <t>Table 1 Samples used in analyses of V1, V2, and VP</t>
  </si>
  <si>
    <t>https://doi.org/10.1093/cercor/bhp158</t>
  </si>
  <si>
    <t>value-provenance: neocortex for ppz (Zahlia) printed as 279 cm3 is the value deSousa_etal_2010_Table1 gives for a DIFFERENT bonobo (YN86-137); Zahlia's own neocortex is 214.4 cm3. Kept as printed in the snapshot and the data, flagged, and not merged (plausible value belonging to a real sibling specimen, so it is not corrected by guesswork).  ||  laterality: left V1 + left LGN are LEFT hemisphere printed UNDOUBLED - registered in __merging_volumes/laterality_known.csv as doubling = none, required_suffix = _left.  ||  rounding vs deSousa_etal_2010_Table1: brain mass 58 g vs 57.6 g (mf2) and 360 g vs 359.5 g (ptb); neocortex 254 vs 254.3, 269 vs 268.5, 263 vs 262.8, 198 vs 198.3 cm3 - print rounding, not disagreement.  ||  derived-not-transcribed: Tables 2-4 (RMA regressions, Euclidean distances, PCA loadings) deliberately not built.</t>
  </si>
  <si>
    <t>sample description table: specimen metadata + re-used size variables</t>
  </si>
  <si>
    <t>catarrhines</t>
  </si>
  <si>
    <t>specimen sex + age; body mass; brain mass; neocortex, left V1 (area striata) and left LGN volumes; optic nerve cross-sectional area; eye half surface area</t>
  </si>
  <si>
    <t>volumetry (re-used); cytoarchitecture / GLI is the paper's own method but is figure-only</t>
  </si>
  <si>
    <t>volume, mass, area</t>
  </si>
  <si>
    <t>Data role = SECONDARY. Every macroanatomical column is re-used data: left V1 / left LGN / neocortex / brain mass = deSousa_etal_2010_Table1 (the same 9 specimens; audited 31 match, 1 mismatch, 4 one-sided within print precision); optic nerve cross-sectional area + eye half surface area = Stephan &amp; Frahm 1981 species means (footnote f); human neocortex = MacLeod unpublished combined-sex mean n = 8 (footnote b); ptd brain+body mass = Herndon et al. 1999 (footnote d); Homo body mass = Zilles 1972 (a); Pan paniscus body mass = Jungers &amp; Susman 1984 (c); EQ = derived (Martin 1981 / Ruff et al. 1997). The paper's own primary measurements (GLI values, relative laminar widths) are published only in Figures 5-7 and are not tabulated, and Tables 2-4 are derived statistics, so nothing here is ingested into a merge. Why the item is still worth having: it prints left V1 and left LGN in whole mm3 where 2010 Table 1 prints 1-d.p. cm3, and it confirms Macaca fascicularis ma22 left LGN = 46 mm3, which 2010 printed as 0 and the project had reconstructed as 0.046 cm3 from Supp. Table 2. All nine specimens resolve to the collection catalog (CAT-070, 080, 082, 095, 111, 131, 133, 134, 150) with printed sex and age matching. See deSousa_etal_2009_Table1.ReadMe.md.</t>
  </si>
  <si>
    <t>Table 2 _x000D_RMA regressions of V1, V2, and VP GLI values on brain and visual system variables.</t>
  </si>
  <si>
    <t>de Sousa, A. A., Todorov, O. S., &amp; Proulx, M. J. (2022). A natural history of vertebrate vision loss: Insight from mammalian vision for human visual function. Neurosci Biobehav Rev, 134, 104550. https://doi.org/10.1016/j.neubiorev.2022.104550</t>
  </si>
  <si>
    <t>acuityblind.csv</t>
  </si>
  <si>
    <t>Deaner, R. O., van Schaik, C. P., &amp; Johnson, V. E. (2006). Do some taxa have better domain-general cognition than others? A meta-analysis. Evol Psychol, 4, 149–196. https://doi.org/10.1177/147470490600400114</t>
  </si>
  <si>
    <t>Full genus-by-procedure ranking dataset across nine cognitive paradigms; lower rank indicates better performance.</t>
  </si>
  <si>
    <t>Domain-general cognition; task rank</t>
  </si>
  <si>
    <t>rank</t>
  </si>
  <si>
    <t>The full genus-by-procedure cognitive ranking dataset: the same 30 procedures and nine paradigms represented in Johnson et al. (2002), with extensive methodological interpretation in the surrounding text.</t>
  </si>
  <si>
    <t>DeCasien, A. R., &amp; Higham, J. P. (2019). Primate mosaic brain evolution reflects selection on sensory and cognitive specialization. Nat Ecol Evol, 3(10), 1483-1493. https://doi.org/10.1038/s41559-019-0969-0</t>
  </si>
  <si>
    <t>Activity Period Data</t>
  </si>
  <si>
    <t>Supplementary Data 1-Activity Period</t>
  </si>
  <si>
    <t>https://www.nature.com/articles/s41559-019-0969-0#Sec13</t>
  </si>
  <si>
    <t>Activity Period</t>
  </si>
  <si>
    <t>ecology (activity period)</t>
  </si>
  <si>
    <t>Brain Region Data mm3</t>
  </si>
  <si>
    <t>Supplementary Data 1-Brain Region</t>
  </si>
  <si>
    <t>brain Regions Volumes</t>
  </si>
  <si>
    <t>secondary incl some previously unpublished data</t>
  </si>
  <si>
    <t>mostly Stephan and other Ddorf studies</t>
  </si>
  <si>
    <t>Brain Region Data Notes</t>
  </si>
  <si>
    <t>Diet Data</t>
  </si>
  <si>
    <t>Supplementary Data 1-Diet</t>
  </si>
  <si>
    <t>Diet</t>
  </si>
  <si>
    <t>ecology (diet)</t>
  </si>
  <si>
    <t>DQI data</t>
  </si>
  <si>
    <t>Group Size Data aggregated</t>
  </si>
  <si>
    <t>Supplementary Data 1-Group Size</t>
  </si>
  <si>
    <t>Social System</t>
  </si>
  <si>
    <t>ecology (social system)</t>
  </si>
  <si>
    <t>Group Size Data from 38</t>
  </si>
  <si>
    <t>references brain data</t>
  </si>
  <si>
    <t>Social System Data</t>
  </si>
  <si>
    <t>Supplementary Data 1-Social System</t>
  </si>
  <si>
    <t>Source Refs from 38</t>
  </si>
  <si>
    <t>DeCasien, A. R., Williams, S. A., &amp; Higham, J. P. (2017). Primate brain size is predicted by diet but not sociality [Article]. Nat Ecol Evol, 1(5), 112. https://doi.org/10.1038/s41559-017-0112</t>
  </si>
  <si>
    <t>Brain Data</t>
  </si>
  <si>
    <t>Dell, L. A., Patzke, N., Spocter, M. A., Siegel, J. M., &amp; Manger, P. R. (2016). Organization of the sleep-related neural systems in the brain of the harbour porpoise (Phocoena phocoena). J Comp Neurol, 524(10), 1999-2017. https://doi.org/10.1002/cne.23929</t>
  </si>
  <si>
    <t>Orphan Dell_etal_2016_Table4.tsv sits in the paper folder alongside the correct __Public copy -- owner should delete it by hand (file deletion unavailable to the assistant).</t>
  </si>
  <si>
    <t>Demirci, N., Hoffman, M. E., &amp; Holland, M. A. (2023). Systematic cortical thickness and curvature patterns in primates. NeuroImage, 278, 120283. https://doi.org/10.1016/j.neuroimage.2023.120283</t>
  </si>
  <si>
    <t>Fig. 1</t>
  </si>
  <si>
    <t xml:space="preserve">Fig. 1. The primate species investigated in this study. </t>
  </si>
  <si>
    <t>Dooley, J. C., Nguyen, H., Seelke, A. M. H., &amp; Krubitzer, L. (2012). Visual acuity in the short-tailed opossum (Monodelphis domestica). Neuroscience, 223, 124–130. https://doi.org/10.1016/j.neuroscience.2012.07.065</t>
  </si>
  <si>
    <t>Discussion Text</t>
  </si>
  <si>
    <t>Discussion text. Visual acuity of other marsupials and rodent models compared with Monodelphis domestica</t>
  </si>
  <si>
    <t>Numbat 5.2, wallaby 4.8, quoll 2.6, fat-tailed dunnart 2.36 cpd (behavioural); Didelphis marsupialis aurita 2.4 (RGC density) &amp; 1.25 (VEP); mouse 0.39, rat 0.54 (OPT). Same values as Fig. 5 – figure not used.</t>
  </si>
  <si>
    <t>https://doi.org/10.1016/j.neuroscience.2012.07.065</t>
  </si>
  <si>
    <t>values compiled from cited sources; method differs by species</t>
  </si>
  <si>
    <t>sensory vision</t>
  </si>
  <si>
    <t>Marsupials; Rodents</t>
  </si>
  <si>
    <t>visual acuity (cycles/degree)</t>
  </si>
  <si>
    <t>diel activity pattern</t>
  </si>
  <si>
    <t>literature compilation (behaviour, RGC density, VEP, OPT)</t>
  </si>
  <si>
    <t>acuity (cycles/degree)</t>
  </si>
  <si>
    <t>Krubitzer</t>
  </si>
  <si>
    <t>Arrese et al. (1999, 2000); Hemmi &amp; Mark (1998); Harman (1986); Silveira et al. (1982); Douglas et al. (2005)</t>
  </si>
  <si>
    <t>Record method per value; prefer original sources.</t>
  </si>
  <si>
    <t>Results text. Maximum observed visual acuity of Monodelphis domestica (optokinetic test)</t>
  </si>
  <si>
    <t>Mean max acuity 0.585 cpd ± 0.019 SEM, range 0.55–0.65 cpd; n = 6 (3 M, 3 F; 84–109 g); crepuscular; 14:10 L:D. Table 1 is stimulus stripe widths only (method) – not data.</t>
  </si>
  <si>
    <t>OPT underestimates acuity vs behavioural tasks (25% mice, 45% rats) – keep method column</t>
  </si>
  <si>
    <t>Monodelphis domestica</t>
  </si>
  <si>
    <t>head-tracking latency; probability of head tracking (Figs 3–4)</t>
  </si>
  <si>
    <t>optokinetic test (OPT), staircase</t>
  </si>
  <si>
    <t>Primary opossum value from text; do not extract Table 1.</t>
  </si>
  <si>
    <t>Dos Santos, S. E., Medeiros, M., Porfirio, J., Tavares, W., Pessoa, L., Grinberg, L., Leite, R. E. P., Ferretti-Rebustini, R. E. L., Suemoto, C. K., Filho, W. J., Noctor, S. C., Sherwood, C. C., Kaas, J. H., Manger, P. R., &amp; Herculano-Houzel, S. (2020). Similar Microglial Cell Densities across Brain Structures and Mammalian Species: Implications for Brain Tissue Function. J Neurosci, 40(24), 4622-4643. https://doi.org/10.1523/JNEUROSCI.2339-19.2020</t>
  </si>
  <si>
    <t>value-error: published Table 1 (main PDF) has transcription typos in several cell counts (some impossible — neurons or microglia &gt; total cells; e.g. Tragelaphus strepsiceros whole-brain cells ~1000x too small). Superseded by the authors' unpublished data. Verify: DosSantos_etal_2020_Table1_check.R + DosSantos_etal_2020_comparison_summary.md.</t>
  </si>
  <si>
    <t>EXCLUDED from merged cellcounts (cell-count typos); DosSantos_etal_2020_unpublished used instead (commented out in cellcounts_compiled.R).</t>
  </si>
  <si>
    <t>microglia</t>
  </si>
  <si>
    <t>Cell numbers, region size</t>
  </si>
  <si>
    <t>cell count (microglia)</t>
  </si>
  <si>
    <t>unpublished</t>
  </si>
  <si>
    <t>https://doi.org/10.1523/JNEUROSCI.2339-19.2020</t>
  </si>
  <si>
    <t>value-correction-source: authors' unpublished spreadsheet used in the merged cellcounts INSTEAD of the published Table 1 (which has cell-count typos); internally consistent and matches Herculano-Houzel et al. 2015. Provides microglia/cell (I/C) ratios; received 22 Mar 2024 via O. S. Todorov from the authors' team.</t>
  </si>
  <si>
    <t>Dos Santos, S. E., Porfirio, J., da Cunha, F. B., Manger, P. R., Tavares, W., Pessoa, L., Raghanti, M. A., Sherwood, C. C., &amp; Herculano-Houzel, S. (2017). Cellular Scaling Rules for the Brains of Marsupials: Not as "Primitive" as Expected. Brain Behav Evol. https://doi.org/10.1159/000452856</t>
  </si>
  <si>
    <t>table, erratum</t>
  </si>
  <si>
    <t>https://ndownloader.figstatic.com/files/7428211</t>
  </si>
  <si>
    <t>erratum</t>
  </si>
  <si>
    <t>Marsupials</t>
  </si>
  <si>
    <t>Dunbar, R. I. M. (1992). Neocortex size as a constraint on group-size in primates. J Hum Evol, 22(6), 469-493. https://doi.org/10.1016/0047-2484(92)90081-J</t>
  </si>
  <si>
    <t>Table 1 Data for main variables (generic means)</t>
  </si>
  <si>
    <t>Eagleman, D. M., &amp; Vaughn, D. A. (2021). The Defensive Activation Theory: REM Sleep as a Mechanism to Prevent Takeover of the Visual Cortex [Hypothesis and Theory]. Front Neurosci, 15(598), 632853. https://doi.org/10.3389/fnins.2021.632853</t>
  </si>
  <si>
    <t>TABLE 1 | Three behavioral correlates of plasticity and the proportion of REM (versus non-REM) sleep in 25 primate species.</t>
  </si>
  <si>
    <t>proportion REM and developmental milestones</t>
  </si>
  <si>
    <t>behaviour/physiology (REM sleep, development)</t>
  </si>
  <si>
    <t>Ebinger, P. (1974). A cytoarchitectonic volumetric comparison of brains in wild and domestic sheep. Z Anat Entwicklungsgesch, 144(3), 267-302. https://doi.org/10.1007/BF00522811</t>
  </si>
  <si>
    <t>Tables 3-4</t>
  </si>
  <si>
    <t>Tables 3-4. Individual absolute brain and brain-structure volumes in wild and domestic sheep</t>
  </si>
  <si>
    <t>Elston, G. N. (2000). Pyramidal cells of the frontal lobe: all the more spinous to think with. J Neurosci, 20(18), RC95. https://doi.org/10.1523/JNEUROSCI.20-18-j0002.2000</t>
  </si>
  <si>
    <t>Figure 2</t>
  </si>
  <si>
    <t>https://doi.org/10.1523/JNEUROSCI.20-18-j0002.2000</t>
  </si>
  <si>
    <t>Figure-derived regional macaque morphology; text also reports estimated total spines</t>
  </si>
  <si>
    <t>primary for PFC; comparator values from earlier studies</t>
  </si>
  <si>
    <t>Add figure-level item, not a table. Provenance-map V1/7a/TE.</t>
  </si>
  <si>
    <t>Elston, G. N., Benavides-Piccione, R., &amp; DeFelipe, J. (2001). The pyramidal cell in cognition: a comparative study in human and monkey. J Neurosci, 21(17), RC163. https://doi.org/10.1523/JNEUROSCI.21-17-j0002.2001</t>
  </si>
  <si>
    <t>https://doi.org/10.1523/JNEUROSCI.21-17-j0002.2001</t>
  </si>
  <si>
    <t>Species × region: peak branching complexity, basal dendritic field area, maximum spine density</t>
  </si>
  <si>
    <t>Add; directly tabulated. Keep species and region separate.</t>
  </si>
  <si>
    <t>Elston, G. N., Benavides-Piccione, R., Elston, A., Zietsch, B., Defelipe, J., Manger, P., Casagrande, V., &amp; Kaas, J. H. (2006). Specializations of the granular prefrontal cortex of primates: implications for cognitive processing. Anat Rec A Discov Mol Cell Evol Biol, 288(1), 26-35. https://doi.org/10.1002/ar.a.20278</t>
  </si>
  <si>
    <t>https://doi.org/10.1002/ar.a.20278</t>
  </si>
  <si>
    <t>Comparative primate species × cortical area/region; includes source-letter provenance per value</t>
  </si>
  <si>
    <t>Add; highest-priority comparative table. Preserve source footnotes for every cell.</t>
  </si>
  <si>
    <t>Falcone, C., Wolf-Ochoa, M., Amina, S., Hong, T., Vakilzadeh, G., Hopkins, W. D., Hof, P. R., Sherwood, C. C., Manger, P. R., Noctor, S. C., &amp; Martínez-Cerdeño, V. (2019). Cortical interlaminar astrocytes across the therian mammal radiation. J Comp Neurol, 527(10), 1654-1674. https://doi.org/10.1002/cne.24605</t>
  </si>
  <si>
    <t>TABLE 1 Pial and subpial ILA presence in mammalian species analyzed. Highlighted in red are the species where proper subpial ILA are present</t>
  </si>
  <si>
    <t>Primates &amp; other mammals</t>
  </si>
  <si>
    <t>interlaminar astrocyte morphology</t>
  </si>
  <si>
    <t>cell morphology (interlaminar astrocytes)</t>
  </si>
  <si>
    <t>TABLE 2 ILA linear density, number of primary processes, number of total processes, total length, and complexity, of mammalian species analyzed</t>
  </si>
  <si>
    <t>Finlay, B. L., Cheung, D. T.-M., &amp; Darlington, R. B. (2006). Developmental constraints on or developmental structure in brain evolution? In Y. Munakata &amp; M. H. Johnson (Eds.), Processes of Change in Brain and Cognitive Development (Vol. 8208, pp. 131-162). Oxford University Press. https://doi.org/10.1093/oso/9780198568742.003.0006</t>
  </si>
  <si>
    <t>Table 6.1</t>
  </si>
  <si>
    <t>https://www.researchgate.net/publication/299027052_Developmental_constraints_on_or_developmental_structure_in_brain_evolution</t>
  </si>
  <si>
    <t>xml:space="preserve"&gt;WHOLE-PAPER FLAG 2026-08-29: traced cortical surfaces systematically low vs independent flattening/planimetry (galago 383 vs Collins 1849-2261 mm2; possum 208 vs Brodmann 1547); several rows lack a citable primary; owl monkey high. All rows held out of __merging_cortical_areas _wide (status flagged_pending_ProjectKaskan_check). Verify against the Project Kaskan remeasuring dataset (restricted repo) once built, then unflag per column. See Finlay_etal_2006/Finlay_etal_2006_Table6.1_source_attribution.csv. (Re-applied 2026-08-29 after an earlier application was lost to a concurrent workbook save.)</t>
  </si>
  <si>
    <t>cerebral cortex surface area and number of areas (broadly defined)</t>
  </si>
  <si>
    <t>cortical surface area / volume</t>
  </si>
  <si>
    <t>Fobbs, A. J., Jr., &amp; Johnson, J. I. (2011). Brain collections at the National Museum of Health and Medicine. Ann N Y Acad Sci, 1225 Suppl 1(S1), E20-29. https://doi.org/10.1111/j.1749-6632.2011.06036.x</t>
  </si>
  <si>
    <t>Table S1 a</t>
  </si>
  <si>
    <t>Table S1: Detailed lists of specimens in the Yakovlev-Haleem Collection, useful for studies of vertebrate brain evolution. (A) List of normative control human specimens in sequence by age. (B) List of nonhuman vertebrate specimens.</t>
  </si>
  <si>
    <t>Table S1 b</t>
  </si>
  <si>
    <t>Table S2</t>
  </si>
  <si>
    <t>Table S2: List of specimens in the Welker Wisconsin Collection, arranged alphabetically by common names of species. The specimen numbers designate the year of acquisition by the first two digits, followed by a hyphen and 1 to 3 digits denoting the order in which the specimens were acquired. Thus 63–361 designates the 361st specimen acquired in the Wisconsin laboratories in the year 1963. The stain listed as Heidenhain is the Sanides-Heidenhain-Woelcke modification of the Weigert method, introduced to the Wisconsin laboratories by Friedrich Sanides in the mid-1960s.</t>
  </si>
  <si>
    <t>Table S3</t>
  </si>
  <si>
    <t>Table S3: List of specimens in the Johnson Michigan State Collection, arranged in approximate phylogenetic order, according to the Universal Species Identification System.5 The specimen numbers for the Michigan State Collection carry the following information. The first two digits represent the year of acquisition. The third digit gives some information about the purpose of acquiring the specimen – 0 is a normal marsupial or monotreme specimen, 1 is an experimental specimen, 2 is a normal specimen, 3 is a cat, 4 is an opossum, and 5 is a raccoon. The last two digits represent the sequence during that year in which the specimen was acquired. Thus 65063 indicates a normal monotreme or marsupial specimen, the 63rd specimen acquired in 1965.</t>
  </si>
  <si>
    <t>Table S4</t>
  </si>
  <si>
    <t>Table S4: List of specimens in the Meyer Phipps Johns Hopkins Collection.</t>
  </si>
  <si>
    <t>Table S5 a</t>
  </si>
  <si>
    <t>Table S5: Lists of specimens in the Huber-Crosby and Crosby-Lauer collections.</t>
  </si>
  <si>
    <t>Table S5 b</t>
  </si>
  <si>
    <t>Fox, J. H., &amp; Wilczynski, W. (1986). Allometry of major CNS divisions: towards a reevaluation of somatic brain-body scaling. Brain Behav Evol, 28(4), 157-169. https://doi.org/10.1159/000118700</t>
  </si>
  <si>
    <t>Table I</t>
  </si>
  <si>
    <t>Source paper and target table identified</t>
  </si>
  <si>
    <t>Verify taxonomy, specimen metadata, units, and structure ontology before merge</t>
  </si>
  <si>
    <t>comparative brain volumes</t>
  </si>
  <si>
    <t>Body mass; whole brain; forebrain; cerebellum; brainstem</t>
  </si>
  <si>
    <t>Gross dissection and analytical weighing; formalin-fixed brains</t>
  </si>
  <si>
    <t>mass (g); spinal cord area (mm²)</t>
  </si>
  <si>
    <t>primary and secondary</t>
  </si>
  <si>
    <t>Extract Table I only as primary data, mark measurement type as weight. Do not duplicate Stephan-derived nonrodent data. Stephan-compatible brain structure volumes</t>
  </si>
  <si>
    <t>Frahm, H. D., &amp; Zilles, K. (1994). Volumetric comparison of hippocampal regions in 44 primate species. J Hirnforsch, 35(3), 343-354. https://www.ncbi.nlm.nih.gov/pubmed/7983368</t>
  </si>
  <si>
    <t>PMID:7983368</t>
  </si>
  <si>
    <t>hippocampal region volumes</t>
  </si>
  <si>
    <t>Frahm, H. D., Rehkämper, G., &amp; Nevo, E. (1997). Brain structure volumes in the mole rat, Spalax ehrenbergi (Spalacidae, Rodentia) in comparison to the rat and subterrestrial insectivores. J Hirnforsch, 38(2), 209-222. https://www.ncbi.nlm.nih.gov/pubmed/9176733</t>
  </si>
  <si>
    <t>PMID:9176733</t>
  </si>
  <si>
    <t>brain structure volumes (Spalax)</t>
  </si>
  <si>
    <t>Frahm, H. D., Stephan, H., &amp; Baron, G. (1984). Comparison of brain structure volumes in insectivora and primates. V. Area striata (AS). J Hirnforsch, 25(5), 537-557. https://www.ncbi.nlm.nih.gov/pubmed/6501869</t>
  </si>
  <si>
    <t>PMID:6501869</t>
  </si>
  <si>
    <t>Table 1. Volumes of area striata and some of its laminar components (in mm3).</t>
  </si>
  <si>
    <t>area striata volume</t>
  </si>
  <si>
    <t>Table 2. Percentages of total area striata (ASV) and its laminar components relative to brain weight (BrW), telencephalon volume (TV), neocortex (NV) and its components (NW, NG, NG1, NG2–6), and ratios between ASG and the dorsal nucleus of the corpus geniculatum laterale (CGL).</t>
  </si>
  <si>
    <t>Frahm, H. D., Stephan, H., &amp; Stephan, M. (1982). Comparison of brain structure volumes in Insectivora and Primates. I. Neocortex. J Hirnforsch, 23(4), 375-389. https://www.ncbi.nlm.nih.gov/pubmed/7161477</t>
  </si>
  <si>
    <t>PMID:7161477</t>
  </si>
  <si>
    <t>Table 2. Volumes and percentages of total neocortex, white and grey matters, and laminae 1 and 2-6 in Insectivora, Scandentia, and Primates.</t>
  </si>
  <si>
    <t>neocortex volume</t>
  </si>
  <si>
    <t>Frahm, H. D., Zilles, K., Schleicher, A., &amp; Stephan, H. (1998). The size of the middle temporal area in primates. J Hirnforsch, 39(1), 45-54. https://www.ncbi.nlm.nih.gov/pubmed/9672110</t>
  </si>
  <si>
    <t>PMID:9672110</t>
  </si>
  <si>
    <t>middle temporal area (MT) size</t>
  </si>
  <si>
    <t>Fritsches, K. A., Brill, R. W., &amp; Warrant, E. J. (2005). Warm eyes provide superior vision in swordfishes. Curr Biol, 15(1), 55-58. https://doi.org/10.1016/j.cub.2004.12.064</t>
  </si>
  <si>
    <t>Fig 2</t>
  </si>
  <si>
    <t>Progress stage was stale 'BROKEN CODE' from before the 2026-09-16 script fix (documented in the .R header). Re-verified 2026-09-25: CSV matches the current snapshot, all script assertions pass, public TSV already exists, definitions/README/references all complete.</t>
  </si>
  <si>
    <t>Fu, Y., Rusznak, Z., Herculano-Houzel, S., Watson, C., &amp; Paxinos, G. (2013). Cellular composition characterizing postnatal development and maturation of the mouse brain and spinal cord. Brain Struct Funct, 218(5), 1337-1354. https://doi.org/10.1007/s00429-012-0462-x</t>
  </si>
  <si>
    <t>Table 1 Age-dependent changes affecting the mouse central nervous system and pituitary</t>
  </si>
  <si>
    <t>Gabi, M., Neves, K., Masseron, C., Ribeiro, P. F., Ventura-Antunes, L., Torres, L., Mota, B., Kaas, J. H., &amp; Herculano-Houzel, S. (2016). No relative expansion of the number of prefrontal neurons in primate and human evolution. Proc Natl Acad Sci U S A, 113(34), 9617-9622. https://doi.org/10.1073/pnas.1610178113</t>
  </si>
  <si>
    <t>Primates (incl. human)</t>
  </si>
  <si>
    <t>prefrontal share of cortical gray/white volume, WM non-neuronal cells and cortical neurons</t>
  </si>
  <si>
    <t>regional share of cortex (pct, not counts)</t>
  </si>
  <si>
    <t>8 primates incl. human, from the SI Appendix (pnas.201610178si.pdf p.2) added 2026-08-06. The ARTICLE has no main-text table - Item number was corrected from 'Table 1' to 'Table S1'. EVERY VALUE IS A PERCENTAGE, a share of a whole-cortex total, never a count: the absolute prefrontal values are not published (Fig. 6 plots them, no table gives them), so the share is the only published form and HOWTO sec 7 does not bite. Multiply pct.neurons/100 by a species' whole-cortex neuron count to get an absolute - a derivation for the merge to make explicitly. REGIONAL: never pool with CerebralCortex_N.n. Mean %neurons = 8.17 (paper: ~8%) and human 7.8 ranks 3rd of 8, reproducing the paper's finding of no relative prefrontal expansion. The HUMAN hemisphere is the SAME SPECIMEN as Ribeiro_etal_2013 - needs a specimen_crosswalk entry before both contribute a human value. Table S2 (regression slopes) is not registered and not built.</t>
  </si>
  <si>
    <t>Garwicz, M., Christensson, M., &amp; Psouni, E. (2009). A unifying model for timing of walking onset in humans and other mammals. Proc Natl Acad Sci U S A, 106(51), 21889-21893. https://doi.org/10.1073/pnas.0905777106</t>
  </si>
  <si>
    <t>Table S1. Taxonomy of species included in the sample</t>
  </si>
  <si>
    <t>https://www.pnas.org/doi/suppl/10.1073/pnas.0905777106/suppl_file/0905777106si.pdf</t>
  </si>
  <si>
    <t>behavioural/developmental (motor onset)</t>
  </si>
  <si>
    <t>Table S2. Database for multiple-regression model</t>
  </si>
  <si>
    <t>Genoud, M., Isler, K., &amp; Martin, R. D. (2018). Comparative analyses of basal rate of metabolism in mammals: data selection does matter. Biol Rev Camb Philos Soc, 93(1), 404-438. https://doi.org/10.1111/brv.12350</t>
  </si>
  <si>
    <t>Table S2. Basal metabolic rate (BMR) database.</t>
  </si>
  <si>
    <t>BMR</t>
  </si>
  <si>
    <t>Granatosky, M. C. (2018). A Review of locomotor diversity in mammals with analyses exploring the influence of substrate use, body mass and intermembral index in primates. Journal of Zoology, 306(4), 207-216. https://doi.org/10.1111/jzo.12608</t>
  </si>
  <si>
    <t>Table S1. Locomotor profiles for the species used in this study.</t>
  </si>
  <si>
    <t>https://karger.com/bbe/article-pdf/86/3-4/145/2264694/000437413.pdf</t>
  </si>
  <si>
    <t>behavioural (locomotion)</t>
  </si>
  <si>
    <t>Haarlem, C. S., Hynes, C., Jackson, A. L., Mitchell, K. J., O'Connell, R. G., &amp; Healy, K. (2026). Pace of ecology drives the tempo of visual perception across the animal kingdom. Nat Ecol Evol. https://doi.org/10.1038/s41559-026-02994-7</t>
  </si>
  <si>
    <t>CFF dataset</t>
  </si>
  <si>
    <t>Hakeem, A. Y., Hof, P. R., Sherwood, C. C., Switzer, R. C., III, Rasmussen, L. E. L., &amp; Allman, J. M. (2005). Brain of the African elephant (Loxodonta africana): Neuroanatomy from magnetic resonance images. The Anatomical Record Part A, 287A, 1117–1127. https://doi.org/10.1002/ar.a.20255</t>
  </si>
  <si>
    <t>https://doi.org/10.1002/ar.a.20255</t>
  </si>
  <si>
    <t>Proboscidea</t>
  </si>
  <si>
    <t>Whole brain; neocortical gray matter; neocortical white matter; cerebellar gray matter; cerebellar white matter</t>
  </si>
  <si>
    <t>Postmortem MRI; manual and semiautomated segmentation in Amira</t>
  </si>
  <si>
    <t>volume (cm³)</t>
  </si>
  <si>
    <t>Extract as a separate MRI source. Preserve gray/white matter components and create aggregated neocortex/cerebellum only with explicit formulas. Stephan-compatible brain structure volumes</t>
  </si>
  <si>
    <t>Hakeem, A. Y., Sherwood, C. C., Bonar, C. J., Butti, C., Hof, P. R., &amp; Allman, J. M. (2009). Von Economo neurons in the elephant brain. Anat Rec (Hoboken), 292(2), 242-248. https://doi.org/10.1002/ar.20829</t>
  </si>
  <si>
    <t>Halley, A. C., &amp; Krubitzer, L. (2019). Not all cortical expansions are the same: The coevolution of the neocortex and the dorsal thalamus in mammals. Curr Opin Neurobiol, 56, 78-86. https://doi.org/10.1016/j.conb.2018.12.003</t>
  </si>
  <si>
    <t>Figure 1</t>
  </si>
  <si>
    <t>Figure 1. Primate neocorticalization relative to the dorsal thalamus</t>
  </si>
  <si>
    <t>figure</t>
  </si>
  <si>
    <t>DOCUMENTED SKIP, not a missed build: the source_audit.R and README (already in the folder) establish that all 39 plotted thalamus/neocortex pairs in Figure 1 are secondary re-plots of values already held in Stephan_etal_1981 (37 species) and Campos_Welker_1976 (2 species). Digitizing the figure would create duplicate measurements, so by design no analysis CSV or public TSV is produced for this item. Progress stage corrected from blank to FINISHED 2026-09-25 since the audit itself is the completed deliverable; see the source_audit.R output and README's 'Disposition: DOCUMENTED SKIP' section for the full rationale and two labeling discrepancies it flags.</t>
  </si>
  <si>
    <t>https://doi.org/10.1016/j.conb.2018.12.003</t>
  </si>
  <si>
    <t>secondary synthesis; source overlap; plot digitization; one explicit estimated value</t>
  </si>
  <si>
    <t>neocortex / dorsal thalamus scaling</t>
  </si>
  <si>
    <t>neocortex and thalamus volumes; derived ratio</t>
  </si>
  <si>
    <t>dorsal thalamus volume; neocortex volume; thalamus:neocortex ratio; clade-specific scaling</t>
  </si>
  <si>
    <t>volume + derived ratio/regression</t>
  </si>
  <si>
    <t>Halley/Krubitzer</t>
  </si>
  <si>
    <t>Figure 1 plots 39 species; the marmoset thalamus is explicitly estimated from New World monkey data. Treat as secondary/derived and do not merge as an independent measurement team.</t>
  </si>
  <si>
    <t>Hanson, K. L., Lew, C. H., Hrvoj-Mihic, B., Groeniger, K. M., Halgren, E., Bellugi, U., &amp; Semendeferi, K. (2018). Increased glia density in the caudate nucleus in Williams syndrome. Developmental Neurobiology, 78(5), 531-545. https://doi.org/10.1002/dneu.22554</t>
  </si>
  <si>
    <t>Striatal neuron/glia density, glia:neuron ratio, soma area (dC/mC/aP/NA)</t>
  </si>
  <si>
    <t>table (from PDF)</t>
  </si>
  <si>
    <t>Hanson_etal_2018_Table2_snapshot.csv</t>
  </si>
  <si>
    <t>Humans</t>
  </si>
  <si>
    <t>striatal neuron/glia density</t>
  </si>
  <si>
    <t>stereology (optical disector)</t>
  </si>
  <si>
    <t>Semendeferi</t>
  </si>
  <si>
    <t>Oligodendrocyte density + % of glia (dorsal/medial caudate)</t>
  </si>
  <si>
    <t>Hanson_etal_2018_Table3_snapshot.csv</t>
  </si>
  <si>
    <t>oligodendrocyte density</t>
  </si>
  <si>
    <t>Heesy, C. P. (2004). On the relationship between orbit orientation and binocular visual field overlap in mammals. The Anatomical Record Part A, 281A, 1104-1110. https://doi.org/10.1002/ar.a.20116</t>
  </si>
  <si>
    <t>Table 1. Orbit convergence and binocular visual field overlap</t>
  </si>
  <si>
    <t>Orbit convergence primary (Heesy morphometrics); visual-field values secondary, compiled from cited sources — lookup in Heesy__2004_References.csv</t>
  </si>
  <si>
    <t>https://doi.org/10.1002/ar.a.20116</t>
  </si>
  <si>
    <t>orbit convergence; binocular visual field overlap</t>
  </si>
  <si>
    <t>3D cranial landmark morphometrics plus literature compilation</t>
  </si>
  <si>
    <t>angle (degrees)</t>
  </si>
  <si>
    <t>Heffner, H. E. (1998). Auditory awareness. Applied Animal Behaviour Science, 57(3–4), 259–268. https://doi.org/10.1016/S0168-1591(98)00101-4</t>
  </si>
  <si>
    <t>Table 1. The hearing range and sensitivity of domestic birds and mammals compared with that of humans</t>
  </si>
  <si>
    <t>PDF table</t>
  </si>
  <si>
    <t>19 spp (13 mammals incl. human, 6 birds). Limits = lowest/highest frequency audible at 60 dB SPL; best sensitivity = lowest threshold (dB); best frequency (Hz).</t>
  </si>
  <si>
    <t>https://doi.org/10.1016/S0168-1591(98)00101-4</t>
  </si>
  <si>
    <t>bird low-frequency limits approximate (~); compilation – check against original audiograms</t>
  </si>
  <si>
    <t>sensory hearing</t>
  </si>
  <si>
    <t>Mammals &amp; birds (domestic)</t>
  </si>
  <si>
    <t>low- and high-frequency hearing limit (60 dB SPL); best sensitivity; best frequency</t>
  </si>
  <si>
    <t>literature compilation of behavioural audiograms</t>
  </si>
  <si>
    <t>hearing limits (Hz); threshold (dB SPL)</t>
  </si>
  <si>
    <t>Heffner</t>
  </si>
  <si>
    <t>Fay (1988); Heffner &amp; Heffner (1992a)</t>
  </si>
  <si>
    <t>Extract; flag approximate bird values.</t>
  </si>
  <si>
    <t>Heffner, H. E., &amp; Heffner, R. S. (2018). The evolution of mammalian hearing. AIP Conference Proceedings, 1965(1), 130001. https://doi.org/10.1063/1.5038516</t>
  </si>
  <si>
    <t>FIGURE 3. Relationship between the width of the field of best vision (75% isodensity contour) and sound-localization thresholds for 22 species of mammals</t>
  </si>
  <si>
    <t>Values already digitised from this figure in the Bath sensory compilation (value_origin = digitised_from_figure). Figure is modified from Heffner &amp; Heffner (2016). Use figure values only where no published table/text value exists (Heffner &amp; Heffner 1992a Table 1; Heffner et al. 2015 Table I; Heffner et al. 1999/2008 text). Figs 1 and 4 not used.</t>
  </si>
  <si>
    <t>https://doi.org/10.1063/1.5038516</t>
  </si>
  <si>
    <t>digitised values; figure reproduced from Heffner &amp; Heffner (2016)</t>
  </si>
  <si>
    <t>sensory hearing; sensory vision</t>
  </si>
  <si>
    <t>Mammals (22 spp)</t>
  </si>
  <si>
    <t>width of field of best vision (deg); sound-localization threshold (deg)</t>
  </si>
  <si>
    <t>figure digitisation</t>
  </si>
  <si>
    <t>degrees</t>
  </si>
  <si>
    <t>Heffner &amp; Heffner (2016)</t>
  </si>
  <si>
    <t>Keep existing digitisation; published values take precedence.</t>
  </si>
  <si>
    <t>Heffner, R. S. (2004). Primate hearing from a mammalian perspective. The Anatomical Record Part A: Discoveries in Molecular, Cellular, and Evolutionary Biology, 281A(1), 1111–1122. https://doi.org/10.1002/ar.a.20117</t>
  </si>
  <si>
    <t>TABLE 1. Hearing limits for 19 species of primates</t>
  </si>
  <si>
    <t>19 primates: high- &amp; low-frequency limits (kHz), best frequency (kHz), best sensitivity (dB), hearing range (octaves). Footnotes: 1 personal communication (E. fulvus); 2 extrapolated (L. catta &amp; Galago LF, C. mitis HF &amp; LF, Papio LF); 3 tested with headphones (E. patas); 4 published as Hapale jacchus. Blank LF = limit not reached.</t>
  </si>
  <si>
    <t>https://doi.org/10.1002/ar.a.20117</t>
  </si>
  <si>
    <t>text layer merges footnote superscripts into values (e.g. 48² reads 482) – enter from page image; keep footnote flag column</t>
  </si>
  <si>
    <t>high- and low-frequency hearing limit (60 dB SPL); best frequency; best sensitivity; hearing range (octaves)</t>
  </si>
  <si>
    <t>behavioural audiograms (compilation)</t>
  </si>
  <si>
    <t>hearing limits (kHz); threshold (dB SPL)</t>
  </si>
  <si>
    <t>see Figs 2, 3, 6, 7 for references</t>
  </si>
  <si>
    <t>Extract; priority.</t>
  </si>
  <si>
    <t>Heffner, R. S., &amp; Heffner, H. E. (1992). Evolution of sound localization in mammals. In D. B. Webster, R. R. Fay, &amp; A. N. Popper (Eds.), The evolutionary biology of hearing (pp. 691–715). Springer. https://doi.org/10.1007/978-1-4612-2784-7_43</t>
  </si>
  <si>
    <t>c</t>
  </si>
  <si>
    <t>TABLE 34.1</t>
  </si>
  <si>
    <t>TABLE 34.1. Effect of head size and azimuth on interaural time difference and the frequency at which binaural phase becomes ambiguous</t>
  </si>
  <si>
    <t>4 spp (house mouse, dog, human, elephant): head radius (mm); ITD (µs) and phase-ambiguity frequency (kHz) at 90° and 30°(10°) azimuth.</t>
  </si>
  <si>
    <t>https://doi.org/10.1007/978-1-4612-2784-7_43</t>
  </si>
  <si>
    <t>calculated values (Kuhn 1977 formula), not measured; column headers garbled in text layer – check PDF</t>
  </si>
  <si>
    <t>Mammals (4 spp)</t>
  </si>
  <si>
    <t>head radius; interaural time difference; frequency of phase ambiguity</t>
  </si>
  <si>
    <t>physical calculation</t>
  </si>
  <si>
    <t>mm; µs; kHz</t>
  </si>
  <si>
    <t>Kuhn (1977)</t>
  </si>
  <si>
    <t>Optional (derived).</t>
  </si>
  <si>
    <t>TABLE 34.2</t>
  </si>
  <si>
    <t>TABLE 34.2. Species of mammals grouped by ability to use the main binaural locus cues</t>
  </si>
  <si>
    <t>~20 spp in 4 categorical groups: use both time (Δt/phase) and intensity (ΔI) cues; time cue reduced/absent (hedgehog, spiny mouse); intensity cue reduced/absent (elephant, horse, pig, cattle, goat); unable to use either (gopher). Source per species.</t>
  </si>
  <si>
    <t>Greek cue symbols garbled in text layer – confirm group labels against PDF</t>
  </si>
  <si>
    <t>Mammals (~20 spp)</t>
  </si>
  <si>
    <t>binaural cue use (categorical)</t>
  </si>
  <si>
    <t>tone-localization tests (compilation)</t>
  </si>
  <si>
    <t>categorical</t>
  </si>
  <si>
    <t>see Source column of table</t>
  </si>
  <si>
    <t>Extract as categorical variable.</t>
  </si>
  <si>
    <t>Heffner, R. S., &amp; Heffner, H. E. (1992). Hearing and sound localization in blind mole rats (Spalax ehrenbergi). Hearing Research, 62(2), 206–216. https://doi.org/10.1016/0378-5955(92)90188-S</t>
  </si>
  <si>
    <t>Results text. Audiogram and sound localization in Spalax ehrenbergi</t>
  </si>
  <si>
    <t>Blind mole rat (n = 2): LF limit 54 Hz, HF limit 5.9 kHz (60 dB SPL), lowest threshold 32 dB at 1 kHz; cannot localize brief sounds; ~29° threshold only with long-duration noise; eyes ~1 mm, vestigial.</t>
  </si>
  <si>
    <t>https://doi.org/10.1016/0378-5955(92)90188-S</t>
  </si>
  <si>
    <t>localization threshold not comparable to brief-sound MAAs</t>
  </si>
  <si>
    <t>Spalax ehrenbergi</t>
  </si>
  <si>
    <t>hearing limits; lowest threshold; sound localization</t>
  </si>
  <si>
    <t>eye size</t>
  </si>
  <si>
    <t>conditioned avoidance</t>
  </si>
  <si>
    <t>Hz; dB SPL; degrees</t>
  </si>
  <si>
    <t>Extract; flag localization as long-signal.</t>
  </si>
  <si>
    <t>TABLE I</t>
  </si>
  <si>
    <t>TABLE I. Auditory parameters for rodents</t>
  </si>
  <si>
    <t>PDF table (scanned)</t>
  </si>
  <si>
    <t>17 rodents grouped as low-frequency, subterranean, high-frequency: low- &amp; high-frequency limit (kHz, 60 dB SPL), best frequency (kHz), lowest threshold (dB). Blind mole rat = present report; others with numbered sources.</t>
  </si>
  <si>
    <t>scanned PDF – OCR errors; enter from page image</t>
  </si>
  <si>
    <t>Rodentia (17 spp)</t>
  </si>
  <si>
    <t>low- and high-frequency hearing limit (60 dB SPL); best frequency; lowest threshold</t>
  </si>
  <si>
    <t>habitat group (subterranean vs surface)</t>
  </si>
  <si>
    <t>kHz; dB SPL</t>
  </si>
  <si>
    <t>Heffner &amp; Contos (1989); Ryan (1976); Conesa et al. (1991); Heffner &amp; Masterton (1980); and others in footnotes</t>
  </si>
  <si>
    <t>Extract; priority rodent table.</t>
  </si>
  <si>
    <t>Heffner, R. S., &amp; Heffner, H. E. (1992). Visual factors in sound localization in mammals. J Comp Neurol, 317(3), 219-232. https://doi.org/10.1002/cne.903170302</t>
  </si>
  <si>
    <t>TABLE 1. Values of Parameters Examined as Predictors of Sound Localization Acuity in Mammals</t>
  </si>
  <si>
    <t>First Route-A sensory source folder. '1992a' in the Bath compilation's short codes. Audited vs SensoryData_compiled_check (81 agree, 0 mismatches) and the Bath student extraction (77 agree, 0 mismatches); 6 compilation rows found misassigned (Delphinus/Hemiechinus/Inia) - see README</t>
  </si>
  <si>
    <t>Mammalia (24 rows, 23 spp)</t>
  </si>
  <si>
    <t>sound localization threshold; functional interaural distance; width of field of best vision; visual acuity; binocular field; trophic level</t>
  </si>
  <si>
    <t>sensory performance / psychophysics</t>
  </si>
  <si>
    <t>Heffner, R. S., &amp; Masterton, R. B. (1983). The role of the corticospinal tract in the evolution of human digital dexterity. Brain Behav Evol, 23(3-4), 165-183. https://doi.org/10.1159/000121494</t>
  </si>
  <si>
    <t>Table I. Animals and descriptive data on which all correlations are based</t>
  </si>
  <si>
    <t>RESTORED: the fully built source folder and public TSV remained after this Sheet1 row was lost. 21-species secondary compilation of digital-dexterity ranks and corticospinal-tract measurements; see the folder ReadMe and definitions.</t>
  </si>
  <si>
    <t>Heffner_Masterton_1983_TableI_snapshot.xlsx</t>
  </si>
  <si>
    <t>Heffner, R. S., Koay, G., &amp; Heffner, H. E. (1999). Sound localization in an Old-World fruit bat (Rousettus aegyptiacus): Acuity, use of binaural cues, and relationship to vision. Journal of Comparative Psychology, 113(3), 297–306. https://doi.org/10.1037/0735-7036.113.3.297</t>
  </si>
  <si>
    <t>Results text. Sound-localization acuity, binaural cue use, and retinal ganglion-cell field of best vision in Rousettus aegyptiacus</t>
  </si>
  <si>
    <t>MAA 11.6° (bats A–C: 12°, 11°, 12°; n = 3); field of best vision 27° (75% isodensity); binaural phase cue used up to 5.6 kHz; head diameter ~3 cm; retina ~11.5 mm, ~180°. Hearing range 2.25–64 kHz at 60 dB cited from Koay et al. (1998) (already in ReadMe). Comparisons in Discussion: Norway rat 12.8°, least weasel 12.0°, ferret 11.8°, Eptesicus fuscus 14° (FOV 139°).</t>
  </si>
  <si>
    <t>https://doi.org/10.1037/0735-7036.113.3.297</t>
  </si>
  <si>
    <t>pallid bat ±1° is a different measure (flight accuracy) – exclude</t>
  </si>
  <si>
    <t>Rousettus aegyptiacus</t>
  </si>
  <si>
    <t>minimum audible angle (deg); width of field of best vision (deg); highest frequency using binaural phase cue (kHz)</t>
  </si>
  <si>
    <t>head diameter; retina size</t>
  </si>
  <si>
    <t>conditioned avoidance; retinal whole mount</t>
  </si>
  <si>
    <t>degrees; kHz</t>
  </si>
  <si>
    <t>Extract from text.</t>
  </si>
  <si>
    <t>Heffner, R. S., Koay, G., &amp; Heffner, H. E. (2008). Sound localization acuity and its relation to vision in large and small fruit-eating bats: II. Non-echolocating species, Eidolon helvum and Cynopterus brachyotis. Hearing Research, 241(1–2), 80–86. https://doi.org/10.1016/j.heares.2008.05.001</t>
  </si>
  <si>
    <t>Results text. Sound localization and retinal ganglion-cell topography in Eidolon helvum and Cynopterus brachyotis</t>
  </si>
  <si>
    <t>MAA 11.7° E. helvum, 10.5° C. brachyotis (n = 2 each); E. helvum field of best vision 45.5° (75% isodensity), binocular field ~60°, retina 14.25 mm, ~190°. No retina for C. brachyotis.</t>
  </si>
  <si>
    <t>https://doi.org/10.1016/j.heares.2008.05.001</t>
  </si>
  <si>
    <t>Eidolon helvum; Cynopterus brachyotis</t>
  </si>
  <si>
    <t>minimum audible angle (deg); width of field of best vision (deg)</t>
  </si>
  <si>
    <t>binocular field; retina size</t>
  </si>
  <si>
    <t>Heffner, R. S., Koay, G., &amp; Heffner, H. E. (2015). Sound localization in common vampire bats: Acuity and use of the binaural time cue by a small mammal. The Journal of the Acoustical Society of America, 137(1), 42–52. https://doi.org/10.1121/1.4904529</t>
  </si>
  <si>
    <t>TABLE I. Functional head size (the time it takes for sound to travel around the head from one ear to the other), sound localization acuity, and the highest frequency at which the binaural phase-difference cue is used in bats</t>
  </si>
  <si>
    <t>8 bats: functional head size (µs), MAA (deg), highest frequency using binaural phase cue (kHz or "cue not used"), echolocation class. Desmodus rotundus = current report.</t>
  </si>
  <si>
    <t>https://doi.org/10.1121/1.4904529</t>
  </si>
  <si>
    <t>"Cue not used" is categorical – keep separate from numeric column; phase-cue limit may be slightly higher (footnote i)</t>
  </si>
  <si>
    <t>Chiroptera (8 spp)</t>
  </si>
  <si>
    <t>functional head size (µs); minimum audible angle (deg); highest frequency using binaural phase cue (kHz)</t>
  </si>
  <si>
    <t>echolocation type</t>
  </si>
  <si>
    <t>conditioned suppression/avoidance (compilation)</t>
  </si>
  <si>
    <t>µs; degrees; kHz</t>
  </si>
  <si>
    <t>Heffner et al. (1999, 2001, 2007, 2008, 2010a, 2010b); Koay et al. (1998)</t>
  </si>
  <si>
    <t>Extract; priority bat table.</t>
  </si>
  <si>
    <t>Heffner, R. S., Koay, G., &amp; Heffner, H. E. (2020). Hearing and sound localization in Cottontail rabbits, Sylvilagus floridanus. J Comp Physiol A Neuroethol Sens Neural Behav Physiol, 206(4), 543-552. https://doi.org/10.1007/s00359-020-01424-8</t>
  </si>
  <si>
    <t>Fig. 3 High-frequency hearing limit at 60 dB SPL varies with functional interaural distance</t>
  </si>
  <si>
    <t>Figure item, vector-extracted from the born-digital PDF (axis-calibrated; residual &lt;0.6%). Fig 3 has NO per-point references (unlike Koay 1998 Fig 6) so its comparative points are unattributed - provenance only, do not merge. The paper's OWN Cottontail values are in reference_tables/..._cottontail_values_from_text.csv. PAPER CONTRADICTS ITSELF: Abstract says 32 kHz, Results say 56 kHz; 56 is correct (Heffner email + the paper's own 7.5-octave span)</t>
  </si>
  <si>
    <t>Mammalia (79 markers, 34 labelled; Cottontail primary)</t>
  </si>
  <si>
    <t>high-frequency hearing limit at 60 dB SPL; functional interaural distance; (Cottontail primary: audiogram limits, hearing range, sound localization threshold)</t>
  </si>
  <si>
    <t>Heffner, R., &amp; Masterton, B. (1975). Variation in form of the pyramidal tract and its relationship to digital dexterity. Brain Behav Evol, 12(3), 161-200. https://doi.org/10.1159/000124401</t>
  </si>
  <si>
    <t>digital dexterity</t>
  </si>
  <si>
    <t>area of pyramidal tract; deepest lamina</t>
  </si>
  <si>
    <t>behavioural (digital dexterity) + corticospinal tract</t>
  </si>
  <si>
    <t>Heiss, W. D., Habedank, B., Klein, J. C., Herholz, K., Wienhard, K., Lenox, M., &amp; Nutt, R. (2004). Metabolic rates in small brain nuclei determined by high-resolution PET. J Nucl Med, 45(11), 1811-1815. https://www.ncbi.nlm.nih.gov/pubmed/15534048</t>
  </si>
  <si>
    <t>PMID:15534048</t>
  </si>
  <si>
    <t>TABLE 1 rCMRGlc Values</t>
  </si>
  <si>
    <t>regional cerebral metabolic rates for glucose</t>
  </si>
  <si>
    <t>metabolic (regional cerebral glucose, PET)</t>
  </si>
  <si>
    <t>Heldstab, S. A., Kosonen, Z. K., Koski, S. E., Burkart, J. M., van Schaik, C. P., &amp; Isler, K. (2016). Manipulation complexity in primates coevolved with brain size and terrestriality. Sci Rep, 6, 24528. https://doi.org/10.1038/srep24528</t>
  </si>
  <si>
    <t>manipulation complexity</t>
  </si>
  <si>
    <t>behavioural (manipulation complexity)</t>
  </si>
  <si>
    <t>Herculano-Houzel, S. (2015). Decreasing sleep requirement with increasing numbers of neurons as a driver for bigger brains and bodies in mammalian evolution. Proc Biol Sci, 282(1816), 20151853. https://doi.org/10.1098/rspb.2015.1853</t>
  </si>
  <si>
    <t>sleep time &amp; neuron density</t>
  </si>
  <si>
    <t>sleep + neuron density</t>
  </si>
  <si>
    <t>Table 2. Dataset on the ontogeny of sleep and cellular composition of the rat brain used in this study.</t>
  </si>
  <si>
    <t>Per cent of hours asleep and brain size and composition</t>
  </si>
  <si>
    <t>sleep (per cent hours asleep)</t>
  </si>
  <si>
    <t>Herculano-Houzel, S., Catania, K., Manger, P. R., &amp; Kaas, J. H. (2015). Mammalian brains are made of these: A dataset of the numbers and densities of neuronal and nonneuronal cells in the brain of glires, primates, scandentia, eulipotyphlans, afrotherians and artiodactyls, and their relationship with body mass. Brain Behav Evol, 86(3-4), 145-163. https://doi.org/10.1159/000437413</t>
  </si>
  <si>
    <t>Table 1. Cerebral cortex</t>
  </si>
  <si>
    <t>formatting-fix: ' + ' shown for ' ± ' (Rattus norvegicus, col N,n) corrected in .R script.</t>
  </si>
  <si>
    <t>placental mammals</t>
  </si>
  <si>
    <t>Table 2. Cerebellum</t>
  </si>
  <si>
    <t>Table 3. RoB</t>
  </si>
  <si>
    <t>Table 4. Olfactory bulb</t>
  </si>
  <si>
    <t>Table 5. Whole brain</t>
  </si>
  <si>
    <t>Herculano-Houzel, S., da Cunha, F. B., Reed, J. L., Kaswera-Kyamakya, C., Gillissen, E., &amp; Manger, P. R. (2020). Microchiropterans have a diminutive cerebral cortex, not an enlarged cerebellum, compared to megachiropterans and other mammals. J Comp Neurol, 528(17), 2978-2993. https://doi.org/10.1002/cne.24985</t>
  </si>
  <si>
    <t>TABLE 1 Dataset</t>
  </si>
  <si>
    <t>https://doi.org/10.1002/cne.24985</t>
  </si>
  <si>
    <t>Bats</t>
  </si>
  <si>
    <t>region size</t>
  </si>
  <si>
    <t>volume (region size)</t>
  </si>
  <si>
    <t>TABLE 2 Numbers of neurons and neuronal density (neurons/mg)</t>
  </si>
  <si>
    <t>cell numbers</t>
  </si>
  <si>
    <t>Herculano-Houzel, S., Kaas, J. H., &amp; de Oliveira-Souza, R. (2016). Corticalization of motor control in humans is a consequence of brain scaling in primate evolution. Journal of Comparative Neurology, 524(3), 448-455. https://doi.org/10.1002/cne.23792</t>
  </si>
  <si>
    <t>Numbers of Neurons in Primate Cerebral Cortex, Motor Cortex, and Spinal Cord</t>
  </si>
  <si>
    <t>spinal cord neuron number</t>
  </si>
  <si>
    <t>cerebral cortex neurons; M1 neurons; M1/spinal-cord neuron ratio</t>
  </si>
  <si>
    <t>secondary isotropic-fractionator compilation and predictions</t>
  </si>
  <si>
    <t>compiled observed values and allometric predictions</t>
  </si>
  <si>
    <t>secondary and derived</t>
  </si>
  <si>
    <t>Burish et al. 2010; MacLarnon 1996; Young et al. 2013; other Table 2 sources</t>
  </si>
  <si>
    <t>Herculano-Houzel, S., Watson, C., &amp; Paxinos, G. (2013). Distribution of neurons in functional areas of the mouse cerebral cortex reveals quantitatively different cortical zones. Front Neuroanat, 7, 35. https://doi.org/10.3389/fnana.2013.00035</t>
  </si>
  <si>
    <t>Figure 2 Top Left</t>
  </si>
  <si>
    <t>Table 1-a</t>
  </si>
  <si>
    <t>Table 1-b</t>
  </si>
  <si>
    <t>Heuer, K., Gulban, O. F., Bazin, P. L., Osoianu, A., Valabregue, R., Santin, M., Herbin, M., &amp; Toro, R. (2019). Evolution of neocortical folding: A phylogenetic comparative analysis of MRI from 34 primate species. Cortex, 118, 275-291. https://doi.org/10.1016/j.cortex.2019.04.011</t>
  </si>
  <si>
    <t>S1</t>
  </si>
  <si>
    <t>none - digital-native (S1_QCtable_mmc1.tsv, unpacked from mmc1.zip)</t>
  </si>
  <si>
    <t>MRI scan quality and provenance (66 specimens) - no folding value</t>
  </si>
  <si>
    <t>metadata (MRI scan QC)</t>
  </si>
  <si>
    <t>Heuer/Toro</t>
  </si>
  <si>
    <t>Supplementary QC table. Carries 66 scanned specimens against the 65 analysed - the extra one is a red howler monkey absent from Table 1. The two 'Gorilla' rows are two species (BC = G. beringei, NCBR = G. gorilla) and stay unresolved. Folding metrics are on Zenodo doi:10.5281/zenodo.2538751, not in this repo.</t>
  </si>
  <si>
    <t>metadata</t>
  </si>
  <si>
    <t>Table 1 is the species list, NOT the folding data. The absolute gyrification index / folding length / wavelength / depth / surface areas are only in the Zenodo archive doi:10.5281/zenodo.2538751 and are not yet in this repo. 3-D MRI method - never pool with the Zilles 2-D GI merge.</t>
  </si>
  <si>
    <t>Heuer, K., Traut, N., de Sousa, A. A., Valk, S. L., Clavel, J., &amp; Toro, R. (2023). Diversity and evolution of cerebellar folding in mammals. eLife, 12, e85907. https://doi.org/10.7554/eLife.85907</t>
  </si>
  <si>
    <t>Data</t>
  </si>
  <si>
    <t>data.csv — final comparative phenotype table (56 mammal species)</t>
  </si>
  <si>
    <t>none - digital-native (source_data/data.csv; SHA-256 55f462a7374dec84eed3e745b42292df9ccc6435dc7c4ef29b554df768fa4ece)</t>
  </si>
  <si>
    <t>https://doi.org/10.7554/eLife.85907</t>
  </si>
  <si>
    <t>cerebellum</t>
  </si>
  <si>
    <t>cerebellar folding, folial geometry, molecular-layer thickness</t>
  </si>
  <si>
    <t>cerebellar section area/length; folial width/perimeter; molecular-layer thickness</t>
  </si>
  <si>
    <t>histological-section tracing and measurement (MicroDraw)</t>
  </si>
  <si>
    <t>area, length, width, perimeter, and thickness (mm2 / mm)</t>
  </si>
  <si>
    <t>56 species. Seven directly measured neuroanatomical fields are back-transformed to the millimetre units defined in article Table 1; released weight fields remain verbatim because the upstream naming and assembly code disagree about log base. Dedicated cerebellar-folding merge only—never pool with Ashwell PSA/ESA foliation or neocortical GI.</t>
  </si>
  <si>
    <t>Isler, K., Christopher Kirk, E., Miller, J. M. A., Albrecht, G. A., Gelvin, B. R., &amp; Martin, R. D. (2008). Endocranial volumes of primate species: scaling analyses using a comprehensive and reliable data set. J Hum Evol, 55(6), 967. https://doi.org/10.1016/j.jhevol.2008.08.004</t>
  </si>
  <si>
    <t>endocranial volume</t>
  </si>
  <si>
    <t>endocranial / brain volume</t>
  </si>
  <si>
    <t>Table 7</t>
  </si>
  <si>
    <t>Tree.nex</t>
  </si>
  <si>
    <t>tree</t>
  </si>
  <si>
    <t>Local build (.nex, .R, snapshot, README) was already complete; the public NEXUS file was missing from __Public/comparative-data and has now been uploaded (byte-identical to the local file, matching the R script's own build logic). Progress stage corrected to FINISHED 2026-09-25.</t>
  </si>
  <si>
    <t>phylogenetic tree</t>
  </si>
  <si>
    <t>phylogeny (tree)</t>
  </si>
  <si>
    <t>Iwaniuk, A. N., Nelson, J. E., &amp; Pellis, S. M. (2001). Do big-brained animals play more? Comparative analyses of play and relative brain size in mammals. J Comp Psychol, 115(1), 29-41. https://doi.org/10.1037/0735-7036.115.1.29</t>
  </si>
  <si>
    <t>Table 1 Encephalization Quotients (EQs) and Play Scores for 15 Mammalian Orders</t>
  </si>
  <si>
    <t>play</t>
  </si>
  <si>
    <t>behavioural (play)</t>
  </si>
  <si>
    <t>Table 2 The Five Play Scores and Relative Brain Sizes for the Species of Muroid Rodents Examined</t>
  </si>
  <si>
    <t>Table 3 The Play Scores and Relative Brain ( EQ) and Neocortex Sizes for the Marsupials Examined</t>
  </si>
  <si>
    <t>Table 4 Play Scores and Relative Brain and Neocortex Sizes for the Primates Examined</t>
  </si>
  <si>
    <t>Iwaniuk, A. N., Pellis, S. M., &amp; Whishaw, I. Q. (1999). Is digital dexterity really related to corticospinal projections?: a re-analysis of the Heffner and Masterton data set using modern comparative statistics. Behav Brain Res, 101(2), 173-187. https://doi.org/10.1016/s0166-4328(98)00151-x</t>
  </si>
  <si>
    <t>References</t>
  </si>
  <si>
    <t>reference list</t>
  </si>
  <si>
    <t>forelimb use / dexterity</t>
  </si>
  <si>
    <t>behavioural (forelimb use)</t>
  </si>
  <si>
    <t>Table 1 The anatomical and behavioural traits used the comparative analysis</t>
  </si>
  <si>
    <t>Jacob, J., Kent, M., Benson-Amram, S., Herculano-Houzel, S., Raghanti, M. A., Ploppert, E., Drake, J., Hindi, B., Natale, N. R., Daniels, S., Fanelli, R., Miller, A., Landis, T., Gilbert, A., Johnson, S., Lai, A., Hyer, M., Rzucidlo, A., Anchor, C.,…Lambert, K. (2021). Cytoarchitectural characteristics associated with cognitive flexibility in raccoons. J Comp Neurol, 529(14), 3375-3388. https://doi.org/10.1002/cne.25197</t>
  </si>
  <si>
    <t>FIGURE 4</t>
  </si>
  <si>
    <t>Table 1. Passive sound-localization thresholds (minimum audible angles) of bats</t>
  </si>
  <si>
    <t>Public TSV upload to __Public/comparative-data timed out repeatedly against that large git-tracked folder on 2026-09-25 (3 attempts); snapshot/CSV/R/README/definitions all landed and verified. Retry the TSV upload to complete this item's public mirror.</t>
  </si>
  <si>
    <t>Sensory</t>
  </si>
  <si>
    <t>Chiroptera (bats)</t>
  </si>
  <si>
    <t>passive sound-localization acuity (minimum audible angle)</t>
  </si>
  <si>
    <t>behavioral (conditioned suppression/avoidance)</t>
  </si>
  <si>
    <t>psychoacoustic testing</t>
  </si>
  <si>
    <t>angle (deg)</t>
  </si>
  <si>
    <t>Heffner, R. S., Koay, G., &amp; Heffner, H. E. (2015). Sound localization in common vampire bats: Acuity and use of the binaural time cue by a small mammal. Journal of the Acoustical Society of America, 137(1), 42–52. https://doi.org/10.1121/1.4904529</t>
  </si>
  <si>
    <t>Table I. Functional head size, sound-localization acuity, and highest frequency using the binaural phase-difference cue in bats</t>
  </si>
  <si>
    <t>Public TSV upload to __Public/comparative-data pending (same timeout as Heffner_etal_2008_Table1; retry together).</t>
  </si>
  <si>
    <t>passive sound-localization acuity; use of binaural time (phase) cue</t>
  </si>
  <si>
    <t>functional interaural distance</t>
  </si>
  <si>
    <t>angle (deg); frequency (kHz)</t>
  </si>
  <si>
    <t>Pettigrew, J. D., Manger, P. R., &amp; Fine, S. L. B. (1998). The sensory world of the platypus. Philosophical Transactions of the Royal Society of London B, 353(1372), 1199–1210. https://doi.org/10.1098/rstb.1998.0276</t>
  </si>
  <si>
    <t>Table 2. Visual cortical magnification and retinal acuity in some mammals</t>
  </si>
  <si>
    <t>Public TSV upload to __Public/comparative-data pending (same infra timeout affecting the other new Heffner-batch items uploaded 2026-09-25; retry together).</t>
  </si>
  <si>
    <t>https://doi.org/10.1098/rstb.1998.0276</t>
  </si>
  <si>
    <t>Monotremata (platypus) + 12 comparison mammals</t>
  </si>
  <si>
    <t>visual cortical magnification factor; retinal-ganglion-cell acuity</t>
  </si>
  <si>
    <t>retinal wholemount + electrophysiological cortical mapping</t>
  </si>
  <si>
    <t>ganglion-cell density mapping; receptive-field mapping</t>
  </si>
  <si>
    <t>magnification (mm/deg); acuity (cyc/deg)</t>
  </si>
  <si>
    <t>Pettigrew</t>
  </si>
  <si>
    <t>Heffner, H. E. (1998). Auditory awareness. Applied Animal Behaviour Science, 57(3-4), 259–268. https://doi.org/10.1016/S0168-1591(98)00101-4</t>
  </si>
  <si>
    <t>Public TSV upload to __Public/comparative-data pending (same infra timeout; retry together). Four bird rows have an unresolved OCR sign ambiguity on low-frequency limit -- left blank rather than guessed; see item README.</t>
  </si>
  <si>
    <t>Domestic mammals and birds (19 species, incl. humans)</t>
  </si>
  <si>
    <t>audiogram (low/high-frequency limits, best frequency, best sensitivity)</t>
  </si>
  <si>
    <t>behavioral audiometry (compiled review)</t>
  </si>
  <si>
    <t>frequency (Hz); threshold (dB)</t>
  </si>
  <si>
    <t>Fay 1988; Heffner and Heffner 1992a</t>
  </si>
  <si>
    <t>Mooney, T. A., Yamato, M., &amp; Branstetter, B. K. (2012). Hearing in Cetaceans: From Natural History to Experimental Biology. Advances in Marine Biology, 63, 197–246. https://doi.org/10.1016/B978-0-12-394282-1.00004-1</t>
  </si>
  <si>
    <t>Table 4.1. Odontocete audiograms chronologically from initial tests on the species</t>
  </si>
  <si>
    <t>Public TSV upload to __Public/comparative-data pending (same infra timeout; retry together). Two rows (S. coeruleoalba, G. melas) print a best-sensitivity frequency range wider than the row's own hearing range -- transcribed exactly as printed, not corrected; see item README.</t>
  </si>
  <si>
    <t>https://doi.org/10.1016/B978-0-12-394282-1.00004-1</t>
  </si>
  <si>
    <t>Odontoceti (18 species, 31 published tests)</t>
  </si>
  <si>
    <t>audiogram (hearing range; frequency range of best sensitivity)</t>
  </si>
  <si>
    <t>behavioral audiometry; auditory evoked potential (AEP)</t>
  </si>
  <si>
    <t>psychoacoustic / electrophysiological testing (compiled review)</t>
  </si>
  <si>
    <t>frequency (kHz)</t>
  </si>
  <si>
    <t>Mooney</t>
  </si>
  <si>
    <t>compiled from 20 primary studies (see item README/definitions)</t>
  </si>
  <si>
    <t>Heffner, R. S. (2004). Primate hearing from a mammalian perspective. The Anatomical Record Part A, 281A(1), 1111–1122. https://doi.org/10.1002/ar.a.20117</t>
  </si>
  <si>
    <t>Table 1. Hearing limits for 19 species of primates</t>
  </si>
  <si>
    <t>Image-verified 2026-09-25: the PDF text layer fuses footnote superscripts into numeric cells and silently drops the minus sign on several best-sensitivity values (Eulemur fulvus, Cercopithecus aethiops, Callithrix jacchus, Aotus trivirgatus, Homo sapiens). All 19 rows were re-transcribed from a 300-dpi render of PDF page 3 and cross-checked by recomputing hearing-range octaves from the printed HF/LF limits (12/12 rows with both limits matched to within rounding). Public TSV upload to __Public/comparative-data pending (same infra timeout affecting the rest of this batch; retry together).</t>
  </si>
  <si>
    <t>Primates (19 species, incl. humans)</t>
  </si>
  <si>
    <t>audiogram (low/high-frequency limits, best frequency, best sensitivity, hearing range)</t>
  </si>
  <si>
    <t>frequency (kHz); threshold (dB); range (octaves)</t>
  </si>
  <si>
    <t>compiled from cited audiogram studies (see item README/definitions)</t>
  </si>
  <si>
    <t>Jacobs, B., Harland, T., Kennedy, D., Schall, M., Wicinski, B., Butti, C., Hof, P. R., Sherwood, C. C., &amp; Manger, P. R. (2015). The neocortex of cetartiodactyls. II. Neuronal morphology of the visual and motor cortices in the giraffe (Giraffa camelopardalis). Brain Struct Funct, 220(5), 2851-2872. https://doi.org/10.1007/s00429-014-0830-9</t>
  </si>
  <si>
    <t>Table 1 Laminar and cortical thickness (in lm, mean ± SD) in giraffe cortex</t>
  </si>
  <si>
    <t>Table 2 Summary statistics (mean ± SEM) for each type of giraffe neuron quantified in primary motor and visual cortices</t>
  </si>
  <si>
    <t>Table 4 Demographics of species in pyramidal neuron comparisons arranged by brain mass (high to low)</t>
  </si>
  <si>
    <t>Jacobs, B., Lee, L., Schall, M., Raghanti, M. A., Lewandowski, A. H., Kottwitz, J. J., Roberts, J. F., Hof, P. R., &amp; Sherwood, C. C. (2016). Neocortical neuronal morphology in the newborn giraffe (Giraffa camelopardalis tippelskirchi) and African elephant (Loxodonta africana). Journal of Comparative Neurology, 524, 257–287. https://doi.org/10.1002/cne.23841</t>
  </si>
  <si>
    <t>https://www.coloradocollege.edu/dotAsset/f0f0cd15-dac1-4695-9a39-6f7eba5810f5.pdf</t>
  </si>
  <si>
    <t>cortical layers</t>
  </si>
  <si>
    <t>Giraffidae; Elephantidae</t>
  </si>
  <si>
    <t>cortical-layer thickness</t>
  </si>
  <si>
    <t>absolute cortical-layer thickness</t>
  </si>
  <si>
    <t>Jacobs, B., Schall, M., Prather, M., Kapler, E., Driscoll, L., Baca, S., Jacobs, J., Ford, K., Wainwright, M., &amp; Treml, M. (2001). Regional dendritic and spine variation in human cerebral cortex: a quantitative golgi study. Cereb Cortex, 11(6), 558-571. https://doi.org/10.1093/cercor/11.6.558</t>
  </si>
  <si>
    <t>https://doi.org/10.1093/cercor/11.6.558</t>
  </si>
  <si>
    <t>Subject age/sex code, body weight, autolysis time, cause of death, occupation/education</t>
  </si>
  <si>
    <t>primary sample metadata; notes BA10 reuse from Jacobs 1997</t>
  </si>
  <si>
    <t>Add for provenance; use note to identify overlapping BA10 samples.</t>
  </si>
  <si>
    <t>Low versus high integration regions: laminar depth and soma-size summary</t>
  </si>
  <si>
    <t>Add if laminar/soma measures are in scope. Core TDL/MSL/DSC/DSN/DSD are Figures 5–9.</t>
  </si>
  <si>
    <t>Jardim-Messeder, D., Lambert, K., Noctor, S., Pestana, F. M., de Castro Leal, M. E., Bertelsen, M. F., Alagaili, A. N., Mohammad, O. B., Manger, P. R., &amp; Herculano-Houzel, S. (2017). Dogs Have the Most Neurons, Though Not the Largest Brain: Trade-Off between Body Mass and Number of Neurons in the Cerebral Cortex of Large Carnivoran Species. Front Neuroanat, 11, 118. https://doi.org/10.3389/fnana.2017.00118</t>
  </si>
  <si>
    <t>TABLE 1 | Summary of the cellular composition of the major brain structures of eight carnivoran species.</t>
  </si>
  <si>
    <t>https://doi.org/10.3389/fnana.2017.00118</t>
  </si>
  <si>
    <t>Carnivores &amp; other companion mammals</t>
  </si>
  <si>
    <t>Johansen, A., Beliveau, V., Colliander, E., Raval, N. R., Dam, V. H., Gillings, N., Aznar, S., Svarer, C., Plaven-Sigray, P., &amp; Knudsen, G. M. (2024). An In Vivo High-Resolution Human Brain Atlas of Synaptic Density. J Neurosci, 44(33). https://doi.org/10.1523/JNEUROSCI.1750-23.2024</t>
  </si>
  <si>
    <t>Table 2. Summary of SV2A Bmax (pmol/mL) in individual regions in the left and right hemisphere and for a weighted average (total)</t>
  </si>
  <si>
    <t>Humans (+ primates)</t>
  </si>
  <si>
    <t>the synaptic marker Synaptic Vesicle glycoprotein 2A (SV2A)</t>
  </si>
  <si>
    <t>synaptic density (SV2A)</t>
  </si>
  <si>
    <t>Johnson, C. B., Schall, M., Tennison, M. E., Garcia, M. E., Shea-Shumsky, N. B., Raghanti, M. A., Lewandowski, A. H., Bertelsen, M. F., Waller, L. C., Walsh, T., Roberts, J. F., Hof, P. R., Sherwood, C. C., Manger, P. R., &amp; Jacobs, B. (2016). Neocortical neuronal morphology in the Siberian tiger (Panthera tigris altaica) and the clouded leopard (Neofelis nebulosa). Journal of Comparative Neurology, 524, 3641–3665. https://doi.org/10.1002/cne.24022</t>
  </si>
  <si>
    <t>https://www.coloradocollege.edu/dotAsset/17493d76-5085-4a01-a757-d992278a9eaf.pdf</t>
  </si>
  <si>
    <t>Felidae</t>
  </si>
  <si>
    <t>Johnson, V. E., Deaner, R. O., &amp; van Schaik, C. P. (2002). Bayesian analysis of rank data with application to primate intelligence experiments. Journal of the American Statistical Association, 97(457), 8–17. https://doi.org/10.1198/016214502753479185</t>
  </si>
  <si>
    <t>https://doi.org/10.1198/016214502753479185</t>
  </si>
  <si>
    <t>comparative cognition</t>
  </si>
  <si>
    <t>Comparative cognitive performance; task rank</t>
  </si>
  <si>
    <t>Rank matrix for 24 primate genera × 30 experimental procedures, organized into nine paradigms: detour, patterned string, invisible displacement, tool use, discrimination learning set, reversal learning, oddity learning, sorting, and delayed response. Lower rank is better.</t>
  </si>
  <si>
    <t>Jones, K. E., Bielby, J., Cardillo, M., Fritz, S. A., O'Dell, J., Orme, C. D. L., Safi, K., Sechrest, W., Boakes, E. H., Carbone, C., Connolly, C., Cutts, M. J., Foster, J. K., Grenyer, R., Habib, M., Plaster, C. A., Price, S. A., Rigby, E. A., Rist, J.,…Michener, W. K. (2009). PanTHERIA: a species-level database of life history, ecology, and geography of extant and recently extinct mammals. Ecology, 90(9), 2648-2648. https://doi.org/10.1890/08-1494.1</t>
  </si>
  <si>
    <t>PanTHERIA_1-0_WR05_Aug2008.txt</t>
  </si>
  <si>
    <t>PanTHERIA_1-0_WR93_Aug2008.txt</t>
  </si>
  <si>
    <t>Jorstad, N. L., Close, J., Johansen, N., Yanny, A. M., Barkan, E. R., Travaglini, K. J., Bertagnolli, D., Campos, J., Casper, T., Crichton, K., Dee, N., Ding, S.-L., Gelfand, E., Goldy, J., Hirschstein, D., Kiick, K., Kroll, M., Kunst, M., Lathia, K.,…Lein, E. S. (2023). Transcriptomic cytoarchitecture reveals principles of human neocortex organization. Science, 382(6667), eadf6812. https://doi.org/10.1126/science.adf6812</t>
  </si>
  <si>
    <t>Table S1: Cell subclass information</t>
  </si>
  <si>
    <t>digital-native unchanged source</t>
  </si>
  <si>
    <t>https://doi.org/10.1126/science.adf6812</t>
  </si>
  <si>
    <t>No estimation; precision preserved; snapshot frozen</t>
  </si>
  <si>
    <t>Review metric denominators and layer label semantics</t>
  </si>
  <si>
    <t>Not cross-species species-level trait data</t>
  </si>
  <si>
    <t>cellular composition</t>
  </si>
  <si>
    <t>cell subclass definitions; subclass counts/proportions; E:I ratio</t>
  </si>
  <si>
    <t>snRNA-seq or MERFISH</t>
  </si>
  <si>
    <t>metadata/count/proportion/ratio</t>
  </si>
  <si>
    <t>Allen Institute</t>
  </si>
  <si>
    <t>primary metadata / definitions</t>
  </si>
  <si>
    <t>Table S5 sheet 1: MERFISH proportions and E:I ratios</t>
  </si>
  <si>
    <t>Derived from primary MERFISH cell-level measurements</t>
  </si>
  <si>
    <t>Table S5 sheet 2: snRNA-seq subclass counts and proportions</t>
  </si>
  <si>
    <t>primary counts plus derived within-area subclass proportions</t>
  </si>
  <si>
    <t>Table S5 sheet 3: snRNA-seq excitatory-to-inhibitory ratios</t>
  </si>
  <si>
    <t>Derived from primary layer-dissected snRNA-seq counts</t>
  </si>
  <si>
    <t>Jung, Y. J., Almasi, A., Sun, S. H., Yunzab, M., Cloherty, S. L., Bauquier, S. H., Renfree, M., Meffin, H., &amp; Ibbotson, M. R. (2022). Orientation pinwheels in primary visual cortex of a highly visual marsupial. Sci Adv, 8(39), eabn0954. https://doi.org/10.1126/sciadv.abn0954</t>
  </si>
  <si>
    <t>Reported results</t>
  </si>
  <si>
    <t>Quantitative results reported in article text and figures</t>
  </si>
  <si>
    <t>https://www.science.org/doi/10.1126/sciadv.abn0954</t>
  </si>
  <si>
    <t>orientation pinwheel density; column spacing; V1 response properties; retinal CP ratio</t>
  </si>
  <si>
    <t>Table S1. Experimental Data on retinal and V1 cell density.</t>
  </si>
  <si>
    <t>Table S2: Pinwheel density (ρ) and column spacing (Λ) across various species</t>
  </si>
  <si>
    <t>Kamiya, T., &amp; Pirlot, P. (1980). Brain organization in Platanista gangetica. Scientific Reports of the Whales Research Institute, 32, 105–126.</t>
  </si>
  <si>
    <t>SRWRI:32:105-126</t>
  </si>
  <si>
    <t>Kamiya, T., &amp; Pirlot, P. (1988). The brain of the lesser panda Ailurus fulgens: A quantitative approach. Zeitschrift für Zoologische Systematik und Evolutionsforschung, 26(1), 65–72. https://doi.org/10.1111/j.1439-0469.1988.tb00644.x</t>
  </si>
  <si>
    <t>Table 1. Percentile composition of total brain for the lesser panda</t>
  </si>
  <si>
    <t>Karbowski, J. (2007). Global and regional brain metabolic scaling and its functional consequences. BMC Biol, 5, 18. https://doi.org/10.1186/1741-7007-5-18</t>
  </si>
  <si>
    <t>brain metabolic scaling</t>
  </si>
  <si>
    <t>metabolic scaling</t>
  </si>
  <si>
    <t>Table S1. Brain oxygen consumption data in adult awake unanesthetized animals.</t>
  </si>
  <si>
    <t>brain oxygen metabolism</t>
  </si>
  <si>
    <t>metabolic rate</t>
  </si>
  <si>
    <t>Table S10</t>
  </si>
  <si>
    <t>Table S10. Parietal cortex glucose utilization rate in mammals.</t>
  </si>
  <si>
    <t>brain glucose metabolism</t>
  </si>
  <si>
    <t>Table S11</t>
  </si>
  <si>
    <t>Table S11. Cerebral cortex average glucose utilization rate in mammals. Data for Fig. 2E in the main text.</t>
  </si>
  <si>
    <t>Table S12</t>
  </si>
  <si>
    <t>Table S12. Cerebral cortex average glucose utilization rate in mammals. Data for Fig. S1 in the Supplementary Information.</t>
  </si>
  <si>
    <t>Table S13</t>
  </si>
  <si>
    <t>Table S13. Thalamus glucose utilization rate in mammals.</t>
  </si>
  <si>
    <t>Table S14</t>
  </si>
  <si>
    <t>Table S14. Cerebellum glucose utilization rate in mammals.</t>
  </si>
  <si>
    <t>Table S15</t>
  </si>
  <si>
    <t>Table S15. Hypothalamus glucose utilization rate in mammals.</t>
  </si>
  <si>
    <t>Table S16</t>
  </si>
  <si>
    <t>Table S16. Hippocampus glucose utilization rate in mammals.</t>
  </si>
  <si>
    <t>Table S17</t>
  </si>
  <si>
    <t>Table S17. Amygdala glucose utilization rate in mammals.</t>
  </si>
  <si>
    <t>Table S18</t>
  </si>
  <si>
    <t>Table S18. Septum glucose utilization rate in mammals.</t>
  </si>
  <si>
    <t>Table S19</t>
  </si>
  <si>
    <t>Table S19. Caudate glucose utilization rate in mammals.</t>
  </si>
  <si>
    <t>Table S2. Brain glucose utilization data in adult awake unanesthetized animals.</t>
  </si>
  <si>
    <t>PLACEHOLDER</t>
  </si>
  <si>
    <t>Table S20</t>
  </si>
  <si>
    <t>Table S20. Substantia nigra glucose utilization rate in mammals.</t>
  </si>
  <si>
    <t>Table S21</t>
  </si>
  <si>
    <t>Table S21. Globus pallidus glucose utilization rate in mammals.</t>
  </si>
  <si>
    <t>Table S22</t>
  </si>
  <si>
    <t>Table S22. Brainstem glucose utilization rate in mammals.</t>
  </si>
  <si>
    <t>Table S23</t>
  </si>
  <si>
    <t>Table S23. White matter glucose utilization rate in mammals.</t>
  </si>
  <si>
    <t>Table S3. Visual cortex glucose utilization rate in mammals.</t>
  </si>
  <si>
    <t>Table S4. Prefrontal cortex glucose utilization rate in mammals.</t>
  </si>
  <si>
    <t>Table S5</t>
  </si>
  <si>
    <t>Table S5. Frontal cortex glucose utilization rate in mammals.</t>
  </si>
  <si>
    <t>Table S6</t>
  </si>
  <si>
    <t>Table S6. Cingulate cortex glucose utilization rate in mammals.</t>
  </si>
  <si>
    <t>Table S7</t>
  </si>
  <si>
    <t>Table S7. Temporal cortex glucose utilization rate in mammals.</t>
  </si>
  <si>
    <t>Table S8</t>
  </si>
  <si>
    <t>Table S8. Sensorimotor cortex glucose utilization rate in mammals.</t>
  </si>
  <si>
    <t>Table S9</t>
  </si>
  <si>
    <t>Table S9. Occipital cortex glucose utilization rate in mammals.</t>
  </si>
  <si>
    <t>Karl, M. T., Kim, Y. D., Rajendran, K., Manger, P. R., &amp; Sherwood, C. C. (2024). Invariance of Mitochondria and Synapses in the Primary Visual Cortex of Mammals Provides Insight Into Energetics and Function. J Comp Neurol, 532(9), e25669. https://doi.org/10.1002/cne.25669</t>
  </si>
  <si>
    <t>TABLE 1 Dataset used in this study.</t>
  </si>
  <si>
    <t>synapse density</t>
  </si>
  <si>
    <t>Karlsen, A. S., &amp; Pakkenberg, B. (2011). Total numbers of neurons and glial cells in cortex and basal ganglia of aged brains with Down syndrome. Cerebral Cortex, 21(11), 2519-2524. https://doi.org/10.1093/cercor/bhr033</t>
  </si>
  <si>
    <t>authordata (group means)</t>
  </si>
  <si>
    <t>Neocortical neuron &amp; glia-subtype counts/densities (group means)</t>
  </si>
  <si>
    <t>author-provided (personal communication)</t>
  </si>
  <si>
    <t>(restricted raw workbooks - ____Unpublished__Karlsen_Pakkenberg_2011)</t>
  </si>
  <si>
    <t>neocortical neuron &amp; glia-subtype counts/densities</t>
  </si>
  <si>
    <t>cell count &amp; density</t>
  </si>
  <si>
    <t>Pakkenberg</t>
  </si>
  <si>
    <t>reported values</t>
  </si>
  <si>
    <t>Published Results-text values incl. BASAL GANGLIA cell numbers/densities</t>
  </si>
  <si>
    <t>table (published text)</t>
  </si>
  <si>
    <t>Karlsen_Pakkenberg_2011_reported_values_snapshot.csv</t>
  </si>
  <si>
    <t>basal-ganglia &amp; cortical cell numbers/densities</t>
  </si>
  <si>
    <t>Neocortical volumes/surface/thickness (Control vs DS)</t>
  </si>
  <si>
    <t>table (published)</t>
  </si>
  <si>
    <t>Karlsen_Pakkenberg_2011_Table2_snapshot.csv</t>
  </si>
  <si>
    <t>neocortical volume/surface/thickness</t>
  </si>
  <si>
    <t>stereology (Cavalieri)</t>
  </si>
  <si>
    <t>Kaskan, P. M., Franco, E. C., Yamada, E. S., Silveira, L. C., Darlington, R. B., &amp; Finlay, B. L. (2005). Peripheral variability and central constancy in mammalian visual system evolution. Proc Biol Sci, 272(1558), 91-100. https://doi.org/10.1098/rspb.2004.2925</t>
  </si>
  <si>
    <t>Figure 3a</t>
  </si>
  <si>
    <t>Figure 2. Cortical area scaling.</t>
  </si>
  <si>
    <t>Figure 3b</t>
  </si>
  <si>
    <t>Figure 3. Visual cortical scaling in nocturnal and diurnal species.</t>
  </si>
  <si>
    <t>Electronic Appendix A: Table 1</t>
  </si>
  <si>
    <t>Electronic Appendix A: Table 1. Species and cortical areas included in this analysis, with references.</t>
  </si>
  <si>
    <t>Electronic Appendix B</t>
  </si>
  <si>
    <t>Electronic Appendix B Table 2. Retinal area and numbers of rods and cones in five species of New World primates: Callithrixjacchus, Saguinus m. niger, Aotus sp, Saimiri ustius and Cebus apella.</t>
  </si>
  <si>
    <t>Kaufman, J. A. (2004). Pattern and scaling of regional cerebral glucose metabolism in mammals (Publication No. 3147447) [Doctoral dissertation, Washington University in St. Louis]. ProQuest Dissertations &amp; Theses Global.</t>
  </si>
  <si>
    <t>UMI:3147447</t>
  </si>
  <si>
    <t>Table A1</t>
  </si>
  <si>
    <t>Table A1. Basal Ganglia rCMR and rCBF (units: Glucose &amp; Oxygen umol/lOOg/min, Blood flow ml/lOOg/min)</t>
  </si>
  <si>
    <t>brain/body scaling</t>
  </si>
  <si>
    <t>metabolic / brain-body scaling</t>
  </si>
  <si>
    <t>Table A10</t>
  </si>
  <si>
    <t>Table A10. Auditory Cortex rCMR and rCBF</t>
  </si>
  <si>
    <t>Table A11</t>
  </si>
  <si>
    <t>Table A11. Occipital Cortex rCMR and rCBF</t>
  </si>
  <si>
    <t>Table A12</t>
  </si>
  <si>
    <t>Table A12. Sensorimotor Cortex rCMR and rCBF</t>
  </si>
  <si>
    <t>Table A13</t>
  </si>
  <si>
    <t>Table A13. Cingulate Cortex rCMR and rCBF</t>
  </si>
  <si>
    <t>Table A14</t>
  </si>
  <si>
    <t>Table A14. Whole Brain CM R and CBF (direct measurement)</t>
  </si>
  <si>
    <t>Table A15</t>
  </si>
  <si>
    <t>Table A15. Species Means in Conscious Subjects</t>
  </si>
  <si>
    <t>Table A2</t>
  </si>
  <si>
    <t>Table A2. Hippocampus rCMR and rCBF</t>
  </si>
  <si>
    <t>Table A3</t>
  </si>
  <si>
    <t>Table A3. Thalamus rCMR and rCBF</t>
  </si>
  <si>
    <t>Table A4</t>
  </si>
  <si>
    <t>Table A4. Cerebellum rCMR and rCBF</t>
  </si>
  <si>
    <t>Table A5</t>
  </si>
  <si>
    <t>Table A5. White Matter rCMR and rCBF</t>
  </si>
  <si>
    <t>Table A6</t>
  </si>
  <si>
    <t>Table A6. Neocortex rCMR and rCBF</t>
  </si>
  <si>
    <t>Table A7</t>
  </si>
  <si>
    <t>Table A7. Frontal Cortex rCMR and rCBF</t>
  </si>
  <si>
    <t>Table A8</t>
  </si>
  <si>
    <t>Table A8. Parietal Cortex rCMR and rCBF</t>
  </si>
  <si>
    <t>Table A9</t>
  </si>
  <si>
    <t>Table A9. Temporal Cortex rCMR and rCBF</t>
  </si>
  <si>
    <t>Kazu, R. S., Maldonado, J., Mota, B., Manger, P. R., &amp; Herculano-Houzel, S. (2014). Cellular scaling rules for the brain of Artiodactyla include a highly folded cortex with few neurons. Front Neuroanat, 8, 128. https://doi.org/10.3389/fnana.2014.00128</t>
  </si>
  <si>
    <t>superseded by Kazu_etal_2015_TABLE1 - do not merge</t>
  </si>
  <si>
    <t>Artiodactyla</t>
  </si>
  <si>
    <t>cellular composition of artiodactyl brains, by sub-structure</t>
  </si>
  <si>
    <t>5 species x 46 columns. DO NOT MERGE AS BUILT. (1) All five species are already in cellcounts_wide.csv from HerculanoHouzel_etal_2015_Table1-5, at full precision. (2) This is the 2014 printing; the 2015 corrigendum changes 71 of 195 cells (36%), including N_BR for every species - N_BR = N_CXT+N_CB+N_RoB fails for 4/5 here and the corrigendum's values are what make it hold. What this table genuinely adds is the SUB-STRUCTURES (hippocampus, cortical grey, diencephalon+basal ganglia, mesencephalon, pons+medulla), and 9 of those cells also changed - so they should come from a Kazu_etal_2015_ build, not from here.</t>
  </si>
  <si>
    <t>Kazu, R. S., Maldonado, J., Mota, B., Manger, P. R., &amp; Herculano-Houzel, S. (2015). Corrigendum: Cellular scaling rules for the brain of Artiodactyla include a highly folded cortex with few neurons [General Commentary]. Frontiers in Neuroanatomy, Volume 9 - 2015. https://doi.org/10.3389/fnana.2015.00039</t>
  </si>
  <si>
    <t>TABLE1 | Cellular composition of Artiodactyla brains.</t>
  </si>
  <si>
    <t>cellular composition of artiodactyl brains, by sub-structure (corrected)</t>
  </si>
  <si>
    <t>SUPERSEDES Kazu_etal_2014_Table1 - use this one. The corrigendum moved the hippocampus out of rest-of-brain into cerebral cortex (4 species) and added it for Damaliscus; 71 of the 184 cells present in both printings changed (39%). Full diff in Kazu_etal_2015/comparison/Kazu_etal_2015_TABLE1_vs_Kazu_2014_report.csv. The 2014 check that N_BR = N_CXT+N_CB+N_RoB failed by -0.4% to -22% now closes to +/-0.27% (printed rounding). LIVE in cellcounts_compiled.R since 2026-08-06: HH-team work, so sec 8.2.H's team rule (priority by date then n species) de-duplicates it automatically - no manual column filtering. Kazu 2015 ties HH 2015 on date, so HH takes the 80 shared species x variable pairs and Kazu fills 87 sub-structure + 21 whole-structure gaps; 0 of the 80 overlaps differ by more than 2%.</t>
  </si>
  <si>
    <t>Ketten, D. R. (2012). Marine mammal auditory system noise impacts: Evidence and incidence. In A. N. Popper &amp; A. Hawkins (Eds.), The effects of noise on aquatic life (Advances in Experimental Medicine and Biology, Vol. 730, pp. 207–212). Springer. https://doi.org/10.1007/978-1-4419-7311-5_46</t>
  </si>
  <si>
    <t>Text (TTS values)</t>
  </si>
  <si>
    <t>Text. Temporary threshold shift (TTS) onset exposures in odontocetes and pinnipeds</t>
  </si>
  <si>
    <t>e.g. Tursiops/Delphinapterus pure tone TTS onset mean 195 dB SPL; Phoca vitulina 6–8 dB TTS at 152 dB SPL (SEL 183 dB), 30-min 2.5-kHz OBN; Zalophus and Mirounga ~170 dB (SEL 205 dB).</t>
  </si>
  <si>
    <t>https://doi.org/10.1007/978-1-4419-7311-5_46</t>
  </si>
  <si>
    <t>noise-impact variable, not a sensory-ability measure; secondary</t>
  </si>
  <si>
    <t>sensory hearing (noise impact)</t>
  </si>
  <si>
    <t>Odontoceti; Pinnipedia</t>
  </si>
  <si>
    <t>temporary threshold shift onset (dB SPL / SEL)</t>
  </si>
  <si>
    <t>literature summary</t>
  </si>
  <si>
    <t>dB re 1 µPa; dB re 1 µPa²·s</t>
  </si>
  <si>
    <t>Ketten</t>
  </si>
  <si>
    <t>Southall et al. (2007)</t>
  </si>
  <si>
    <t>Low priority – related variable only.</t>
  </si>
  <si>
    <t>Kirk, E., &amp; Kay, R. (2004). The evolution of high visual acuity in the Anthropoidea. In C. Ross &amp; R. Kay (Eds.), Anthropoid origins: new visions (pp. 539–602). Kluwer Academic/Plenum Publishers. https://doi.org/10.1007/978-1-4419-8873-7_20</t>
  </si>
  <si>
    <t>Table 1. Behavioral measurements of visual acuity in various mammalian taxa</t>
  </si>
  <si>
    <t>Table 2. Anatomical estimates of visual acuity in various mammalian taxa</t>
  </si>
  <si>
    <t>Koay, G., Heffner, R. S., &amp; Heffner, H. E. (1998). Hearing in a megachiropteran fruit bat (Rousettus aegyptiacus). J Comp Psychol, 112(4), 371-382. https://doi.org/10.1037/0735-7036.112.4.371</t>
  </si>
  <si>
    <t>Figure 6</t>
  </si>
  <si>
    <t>Figure 7</t>
  </si>
  <si>
    <t>Figure 7. Relation between the highest and lowest frequencies audible at 60 dB for 58 species of mammals</t>
  </si>
  <si>
    <t>For species in Koay et al 1998, values were taken from primary sources used by Koay and cited under "Koay et al 1998". If the original primary value was not found, extracted value from Koay et al 1998 fig. 6 &amp; 7 was used instead. Fig. 7 key to species = Fig. 6 caption. Digitised by the Bath team in the same extract sheet as Fig. 6 (separate block); beluga appears in Fig. 7 only. Subterranean and marine species excluded from the regression lines.</t>
  </si>
  <si>
    <t>https://doi.org/10.1037/0735-7036.112.4.371</t>
  </si>
  <si>
    <t>digitised values; per-point references via Fig. 6 caption</t>
  </si>
  <si>
    <t>Mammalia (58 spp)</t>
  </si>
  <si>
    <t>high-frequency hearing limit (60 dB SPL); low-frequency hearing limit (60 dB SPL)</t>
  </si>
  <si>
    <t>kHz</t>
  </si>
  <si>
    <t>Audiogram references in Fig. 6 caption</t>
  </si>
  <si>
    <t>Use primary-source values first; figure value only as fallback.</t>
  </si>
  <si>
    <t>Kochiyama, T., Ogihara, N., Tanabe, H. C., Kondo, O., Amano, H., Hasegawa, K., Suzuki, H., Ponce de Leon, M. S., Zollikofer, C. P. E., Bastir, M., Stringer, C., Sadato, N., &amp; Akazawa, T. (2018). Reconstructing the Neanderthal brain using computational anatomy. Sci Rep, 8(1), 6296. https://doi.org/10.1038/s41598-018-24331-0</t>
  </si>
  <si>
    <t>Extended Data Figure 4</t>
  </si>
  <si>
    <t xml:space="preserve">Extended Data Figure 4  Comparisons of the relative volumes of the parcellated brain regions among NT, EH and MH, assuming that the variation within NT and EH was equivalent to that of MH. </t>
  </si>
  <si>
    <t>Extended Data Table 1</t>
  </si>
  <si>
    <t xml:space="preserve">Extended Data Table 1 Correspondence between the AAL atlas and the parcellated brain regions </t>
  </si>
  <si>
    <t>Extended Data Table 3</t>
  </si>
  <si>
    <t xml:space="preserve">Extended Data Table 3 Statistical test results of differences in the relative volumes of the parcellated brain regions among NT, EH and MH. </t>
  </si>
  <si>
    <t>Figure 3 legend</t>
  </si>
  <si>
    <t>Figure 3. Comparisons of the relative volumes of the parcellated brain regions among NT, EH and MH.</t>
  </si>
  <si>
    <t>figure legend</t>
  </si>
  <si>
    <t>Figure 3A</t>
  </si>
  <si>
    <t>Figure 3B</t>
  </si>
  <si>
    <t>FossilSpecimensText</t>
  </si>
  <si>
    <t>Main text</t>
  </si>
  <si>
    <t>Krompecher, S., &amp; Lipak, J. (1966). A simple method for determining cerebralization. Brain weight and intelligence. J Comp Neurol, 127(1), 113-120. https://doi.org/10.1002/cne.901270108</t>
  </si>
  <si>
    <t>The brain-spinal cord-weight proportion of vertebrates</t>
  </si>
  <si>
    <t>Vertebrates</t>
  </si>
  <si>
    <t>spinal cord weight</t>
  </si>
  <si>
    <t>body weight; brain weight; brain/spinal-cord ratio</t>
  </si>
  <si>
    <t>fresh postmortem tissue</t>
  </si>
  <si>
    <t>fresh weight, dura removed, pia retained</t>
  </si>
  <si>
    <t>mass</t>
  </si>
  <si>
    <t>Latimer; Ziehen</t>
  </si>
  <si>
    <t>Krubitzer, L. A., &amp; Kaas, J. H. (1990). Cortical connections of MT in four species of primates: areal, modular, and retinotopic patterns. Vis Neurosci, 5(2), 165-204. https://doi.org/10.1017/s0952523800000213</t>
  </si>
  <si>
    <t>Table 1. Surface areas of cortical fields as a percentage of the total surface of neocortex (See Fig. 1 for visual areas).</t>
  </si>
  <si>
    <t>Kruska, D. C. T. (2014). Comparative quantitative investigations on brains of wild cavies (Cavia aperea) and guinea pigs (Cavia aperea f. porcellus): A contribution to size changes of CNS structures due to domestication. Mammalian Biology, 79, 230–239. https://doi.org/10.1016/j.mambio.2013.12.005</t>
  </si>
  <si>
    <t>Table 2 Brain weights (in g) and absolute volumes (in mm3) of diverse brain structures in wild cavies and their relative sizes expressed as percentages of pure brain volumes (in
parentheses).</t>
  </si>
  <si>
    <t>https://doi.org/10.1016/j.mambio.2013.12.005</t>
  </si>
  <si>
    <t>comparative neuroanatomy</t>
  </si>
  <si>
    <t>Rodentia</t>
  </si>
  <si>
    <t>brain volume; classical brain parts; neocortex gray/white; striatum; allocortex; olfactory/limbic structures; visual and auditory structures</t>
  </si>
  <si>
    <t>Brain volume; classical brain parts; neocortex gray/white; striatum; allocortex; olfactory/limbic structures; visual and auditory structures</t>
  </si>
  <si>
    <t>fresh-tissue volume (mm³); brain mass (g)</t>
  </si>
  <si>
    <t>Directly compatible with Stephan-style brain structure volumes and explicitly uses Stephan methods/boundaries.</t>
  </si>
  <si>
    <t>Table 3 Brain weights (in g) and absolute volumes (in mm3) of diverse brain structures in guinea pigs and their relative sizes expressed as percentages of pure brain volumes (in
parentheses).</t>
  </si>
  <si>
    <t>Kruska, D., &amp; Rohrs, M. (1974). Comparative--quantitative investigations on brains of feral pigs from the Galapagos Islands and of European domestic pigs. Z Anat Entwicklungsgesch, 144(1), 61-73. https://doi.org/10.1007/bf00518633</t>
  </si>
  <si>
    <t>brain volume; medulla oblongata; cerebellum; mesencephalon; diencephalon; telencephalon; neocortex; striatum; allocortex; olfactory and limbic structures</t>
  </si>
  <si>
    <t>Serial sections and enlarged photographs; values corrected to fresh volume using Stephan-method procedures</t>
  </si>
  <si>
    <t>Directly compatible with Stephan-style volumetric structure definitions and methods.</t>
  </si>
  <si>
    <t>Kverkova, K., Belikova, T., Olkowicz, S., Pavelkova, Z., O'Riain, M. J., Sumbera, R., Burda, H., Bennett, N. C., &amp; Nemec, P. (2018). Sociality does not drive the evolution of large brains in eusocial African mole-rats. Sci Rep, 8(1), 9203. https://doi.org/10.1038/s41598-018-26062-8</t>
  </si>
  <si>
    <t>Table 1. Origin and use of the experimental animals.</t>
  </si>
  <si>
    <t>African mole-rats (Bathyergidae)</t>
  </si>
  <si>
    <t>Kverkova</t>
  </si>
  <si>
    <t>Table S1. Brain mass and brain region volumes</t>
  </si>
  <si>
    <t>https://static-content.springer.com/esm/art%3A10.1038%2Fs41598-018-26062-8/MediaObjects/41598_2018_26062_MOESM1_ESM.docx</t>
  </si>
  <si>
    <t>Table S5. Numbers of neurons in the whole brain and the major brain divisions</t>
  </si>
  <si>
    <t>Cell numbers</t>
  </si>
  <si>
    <t>Latimer, H. B. (1942). The weights of the brain and of its parts, and the weight and length of the spinal cord in the dog. Growth, 39-57.</t>
  </si>
  <si>
    <t>10.0001/placeholder</t>
  </si>
  <si>
    <t>TABLE 1  MEASUREMENTS AND COEFFICIENTS OF VARIATION OF THE BRAIN AND OF ITS DIVISIONS, AND OF THE SPINAL CORD IN THE DOG</t>
  </si>
  <si>
    <t>Dog</t>
  </si>
  <si>
    <t>spinal cord weight; spinal cord length; brain weight; brain division weight (olfactory bulbs, hemispheres+diencephalon, prosencephalon, mesencephalon, cerebellum, medulla, rhombencephalon)</t>
  </si>
  <si>
    <t>body weight; body length</t>
  </si>
  <si>
    <t>fresh weight and direct length measurement</t>
  </si>
  <si>
    <t>mass; length</t>
  </si>
  <si>
    <t>Latimer, H. B. (1956). The Weights of the Parts of the Brain in Several Species of Animals. Transactions of the Kansas Academy of Science (1903-), 59(4), 432-441. https://doi.org/10.2307/3626308</t>
  </si>
  <si>
    <t>Table 2. Weights in grams of the brain stem, prosencephalon and cere- bellum and the ratios of the suprasegmental parts to the brain stem.</t>
  </si>
  <si>
    <t>Lewitus, E., Kelava, I., &amp; Huttner, W. B. (2013). Conical expansion of the outer subventricular zone and the role of neocortical folding in evolution and development. Front Hum Neurosci, 7, 424. https://doi.org/10.3389/fnhum.2013.00424</t>
  </si>
  <si>
    <t>Table A1 | Neuroanatomical parameters in 40 mammal species*</t>
  </si>
  <si>
    <t>cortical development (outer SVZ)</t>
  </si>
  <si>
    <t>Lewitus, E., Kelava, I., Kalinka, A. T., Tomancak, P., &amp; Huttner, W. B. (2014). An adaptive threshold in mammalian neocortical evolution. PLoS Biol, 12(11), e1002000. https://doi.org/10.1371/journal.pbio.1002000</t>
  </si>
  <si>
    <t>Table S1 Physiological and life-history variables</t>
  </si>
  <si>
    <t>gyrification</t>
  </si>
  <si>
    <t>cortical folding (gyrification)</t>
  </si>
  <si>
    <t>Table S8: Neocortical neuron number for Figure 3d</t>
  </si>
  <si>
    <t>Liu, M. J., Xiong, C. H., &amp; Hu, D. (2016). Assessing the manipulative potentials of monkeys, apes and humans from hand proportions: implications for hand evolution. Proc Biol Sci, 283(1843). https://doi.org/10.1098/rspb.2016.1923</t>
  </si>
  <si>
    <t>hand manipulability (workspace, global manipulation index)</t>
  </si>
  <si>
    <t>hand morphology / manipulability index</t>
  </si>
  <si>
    <t>Liu</t>
  </si>
  <si>
    <t>137 specimens / 13 anthropoid species. NOT an independent measurement - a functional model applied to Feix et al. 2015 morphometrics, which also underlie Baker_etal_2025 peak_workspace: citation-dependent, resolve never average. Feix et al. 2015 is the upstream primary and is not yet in the repo.</t>
  </si>
  <si>
    <t>Lyamin, O. I., Manger, P. R., Ridgway, S. H., Mukhametov, L. M., &amp; Siegel, J. M. (2008). Cetacean sleep: an unusual form of mammalian sleep. Neurosci Biobehav Rev, 32(8), 1451-1484. https://doi.org/10.1016/j.neubiorev.2008.05.023</t>
  </si>
  <si>
    <t>Script's species-as-columns/rows transpose bug (documented in the R script's own header) was rewritten and fixed 2026-09-17; output re-verified 2026-09-26 as correctly transposed (4 species: Tursiops truncatus, Phocoena phocoena, Inia geoffrensis, Delphinapterus leucas) with all internal percentage-sum checks passing. Status corrected from BROKEN CODE to FINISHED. Public TSV mirror upload to __Public/comparative-data still pending (same as sibling Table1 item).</t>
  </si>
  <si>
    <t>Mackes, N. K., Golm, D., Sarkar, S., Kumsta, R., Rutter, M., Fairchild, G., Mehta, M. A., Sonuga-Barke, E. J. S., &amp; the ERA Young Adult Follow-up team (2020). Early childhood deprivation is associated with alterations in adult brain structure despite subsequent environmental enrichment. PNAS, 117(1), 641-649. https://doi.org/10.1073/pnas.1911264116</t>
  </si>
  <si>
    <t>ERABIS (cortical)</t>
  </si>
  <si>
    <t>ERA adoptee cortical volumes (Desikan-Killiany; UK n=21, Romanian n=67); group summaries</t>
  </si>
  <si>
    <t>(restricted raw ERABIS xlsx - ____Unpublished__Mackes_etal_2020)</t>
  </si>
  <si>
    <t>cortical regional volumes</t>
  </si>
  <si>
    <t>MRI volumetry (FreeSurfer 6.0)</t>
  </si>
  <si>
    <t>ERA/Sonuga-Barke</t>
  </si>
  <si>
    <t>subcortical</t>
  </si>
  <si>
    <t>ERA adoptee subcortical volumes (7 nuclei; UK n=21, Romanian n=67); group summaries</t>
  </si>
  <si>
    <t>Mackes_etal_2020_subcortical_snapshot.csv (restricted)</t>
  </si>
  <si>
    <t>subcortical regional volumes</t>
  </si>
  <si>
    <t>MRI volumetry (FreeSurfer)</t>
  </si>
  <si>
    <t>MacLarnon, A. (1996). The scaling of gross dimensions of the spinal cord in primates and other species. J Hum Evol, 30(1), 71-87. https://doi.org/10.1006/jhev.1996.0005</t>
  </si>
  <si>
    <t>Table 1 Data</t>
  </si>
  <si>
    <t>spinal cord dimensions</t>
  </si>
  <si>
    <t>spinal cord morphometry (volume)</t>
  </si>
  <si>
    <t>MacLeod, C. E. (2000). The cerebellum and its part in the evolution of the hominoid brain (Publication No. NQ61662) [Doctoral dissertation, Simon Fraser University]. Library and Archives Canada.</t>
  </si>
  <si>
    <t>NQ:61662</t>
  </si>
  <si>
    <t>APPENDIX I</t>
  </si>
  <si>
    <t>APPENDIX I: DUESSELDORF RECORDS OF PRIMATES USED IN HIRNFORSCHUNG VOLUMETRIC STUDY</t>
  </si>
  <si>
    <t>MacLeod, C. E., Zilles, K., Schleicher, A., Rilling, J. K., &amp; Gibson, K. R. (2003). Expansion of the neocerebellum in Hominoidea. J Hum Evol, 44(4), 401-429. https://doi.org/10.1016/s0047-2484(03)00028-9</t>
  </si>
  <si>
    <t>Table 1 Volumetric data from the Yerkes sample</t>
  </si>
  <si>
    <t>cerebellum / neocerebellum volume</t>
  </si>
  <si>
    <t>MRI</t>
  </si>
  <si>
    <t>Rilling</t>
  </si>
  <si>
    <t>Rilling-Semendeferi MRIs</t>
  </si>
  <si>
    <t>Table 2 Volumetric data from the Hirnforschung sample</t>
  </si>
  <si>
    <t>Manger, P. R. (2006). An examination of cetacean brain structure with a novel hypothesis correlating thermogenesis to the evolution of a big brain. Biol Rev Camb Philos Soc, 81(2), 293-338. https://doi.org/10.1017/S1464793106007019</t>
  </si>
  <si>
    <t>ManyPrimates, Aguenounon, G., Allritz, M., Altschul, D., Ballesta, S., Beaud, A., Bohn, M., Bornbusch, S., Brandão, A., Brooks, J., Bugnyar, T., Burkart, J., Bustamante, L., Call, J., Canteloup, C., Cao, C., Caspar, K., da Silva, D., de Sousa, A., . . . Zablocki-Thomas, P. (2022). The Evolution of Primate Short-Term Memory. Animal Behavior and Cognition, 9(4), 428-516. https://doi.org/10.26451/abc.09.04.06.2022</t>
  </si>
  <si>
    <t>speciespredictors</t>
  </si>
  <si>
    <t>https://github.com/ManyPrimates/mp1_short_term_memory/raw/master/data/species_predictors.xlsx</t>
  </si>
  <si>
    <t>number of vocalizations</t>
  </si>
  <si>
    <t>various secondary and primary data, e.g., ecology</t>
  </si>
  <si>
    <t>behavioural (cognition / vocalization)</t>
  </si>
  <si>
    <t>Matano, S. (1986). A volumetric comparison of the vestibular nuclei in primates. Folia Primatol (Basel), 47(4), 189-203. https://doi.org/10.1159/000156277</t>
  </si>
  <si>
    <t>Matano, S. (1992). A Comparative Neuroprimatological Study on the Inferior Olivary Nuclei (from the Stephan Collection). J Anthropol Soc Nip, 100(1), 69-82. https://doi.org/10.1537/ase1911.100.69</t>
  </si>
  <si>
    <t>Table 1. Body weight, volumes¹) of the inferior olivary nuclei and eco-ethological characteristics²) in Scandentia and prosimians</t>
  </si>
  <si>
    <t>Table 2. Body weight, volumes¹) of the inferior olivary nuclei and eco-ethological characteristics²) in New World monkeys</t>
  </si>
  <si>
    <t>Table 4. Body weight, volumes¹) of the inferior olivary nuclei and eco-ethological characteristics²) in apes and Man</t>
  </si>
  <si>
    <t>Matano, S. (2001). Brief communication: Proportions of the ventral half of the cerebellar dentate nucleus in humans and great apes. Am J Phys Anthropol, 114(2), 163-165. https://doi.org/10.1002/1096-8644(200102)114:2&lt;163::AID-AJPA1016&gt;3.0.CO;2-F</t>
  </si>
  <si>
    <t>TABLE 2. Volume of the dentate nucleus investigated (mm3)</t>
  </si>
  <si>
    <t>Matano, S., Baron, G., Stephan, H., &amp; Frahm, H. D. (1985). Volume comparisons in the cerebellar complex of primates. II. Cerebellar nuclei. Folia Primatol (Basel), 44(3-4), 182-203. https://doi.org/10.1159/000156212</t>
  </si>
  <si>
    <t>cerebellar nuclei volume</t>
  </si>
  <si>
    <t>Matano, S., Stephan, H., &amp; Baron, G. (1985). Volume comparisons in the cerebellar complex of primates. I. Ventral pons. Folia Primatol (Basel), 44(3-4), 171-181. https://doi.org/10.1159/000156211</t>
  </si>
  <si>
    <t>McDowell, R. J., Didikoglu, A., Woelders, T., Gatt, M. J., Moffatt, F., Notash, S., Hut, R. A., Brown, T. M., &amp; Lucas, R. J. (2024). Beyond Lux: methods for species and photoreceptor-specific quantification of ambient light for mammals. BMC Biol, 22(1), 257. https://doi.org/10.1186/s12915-024-02038-1</t>
  </si>
  <si>
    <t>McGuire, L. P., &amp; Ratcliffe, J. M. (2011). Light enough to travel: Migratory bats have smaller brains, but not larger hippocampi, than sedentary species. Biology Letters, 7, 233–236. https://doi.org/10.1098/rsbl.2010.0744</t>
  </si>
  <si>
    <t>Electronic Supplementary Material 1, Table 1</t>
  </si>
  <si>
    <t>https://doi.org/10.1098/rsbl.2010.0744</t>
  </si>
  <si>
    <t>Chiroptera</t>
  </si>
  <si>
    <t>Body mass; whole brain; neocortex; hippocampus; medulla oblongata; cerebellum; migration category</t>
  </si>
  <si>
    <t>body mass; whole brain; neocortex; hippocampus; medulla oblongata; cerebellum; migration category</t>
  </si>
  <si>
    <t>volume (mm³); body mass (g)</t>
  </si>
  <si>
    <t>Extract with provenance codes. Deduplicate against original bat sources and flag converted whole-brain volumes.</t>
  </si>
  <si>
    <t>Medina-González, P. (2026). Joint Angular Excursions and Angular Range Utilization During Stance-Phase Locomotion in Terrestrial Mammals: A Comparative Morphofunctional Data Set. J Exp Zool A Ecol Integr Physiol, 345(4), 361-376. https://doi.org/10.1002/jez.70069</t>
  </si>
  <si>
    <t>Supplementary File 1</t>
  </si>
  <si>
    <t>Supplementary File 2</t>
  </si>
  <si>
    <t>Supplementary File 3</t>
  </si>
  <si>
    <t>Mooney, T. A., Yamato, M., &amp; Branstetter, B. K. (2012). Hearing in cetaceans: From natural history to experimental biology. Advances in Marine Biology, 63, 197–246. https://doi.org/10.1016/B978-0-12-394282-1.00004-1</t>
  </si>
  <si>
    <t>Table 4.1 Odontocete audiograms chronologically from initial tests on the species</t>
  </si>
  <si>
    <t>~20 odontocete taxa: n, hearing range (kHz), best sensitivity range (kHz), method (behaviour vs physiology/AEP), reference. Footnotes: a varied by sex/age; b same animal as preceding study; c upper limit not established.</t>
  </si>
  <si>
    <t>S. coeruleoalba and G. melas rows appear to have range/best columns swapped as printed – verify against original refs; repeat tests on same animal</t>
  </si>
  <si>
    <t>Odontoceti</t>
  </si>
  <si>
    <t>hearing range (kHz); best sensitivity range (kHz)</t>
  </si>
  <si>
    <t>sample size; method</t>
  </si>
  <si>
    <t>behavioural and AEP audiograms (compilation)</t>
  </si>
  <si>
    <t>see References column of table</t>
  </si>
  <si>
    <t>Extract; record method.</t>
  </si>
  <si>
    <t>Text</t>
  </si>
  <si>
    <t>Text. Localization, beam patterns, and mysticete hearing estimates</t>
  </si>
  <si>
    <t>Tursiops MAA 0.9° horizontal, 0.7° vertical (Renaud &amp; Popper 1975); receiving 3-dB beam widths 59.1°/32.0°/13.7° (horizontal) at 30/60/120 kHz; Risso's dolphin lowest threshold 49.5 dB at 90 kHz; killer whale HF limit 120 kHz; Eubalaena glacialis predicted range ~10 Hz–22 kHz (Parks et al. 2007); blue whale calls to 12 Hz.</t>
  </si>
  <si>
    <t>ITD printed as "7 ms" – likely 7 µs, verify; mysticete values are predictions</t>
  </si>
  <si>
    <t>Cetacea</t>
  </si>
  <si>
    <t>minimum audible angle; hearing limits; receiving beam width</t>
  </si>
  <si>
    <t>degrees; kHz; dB re 1 µPa</t>
  </si>
  <si>
    <t>Renaud &amp; Popper (1975); Au &amp; Moore (1984); Nachtigall et al. (2005); Szymanski et al. (1999); Parks et al. (2007)</t>
  </si>
  <si>
    <t>Extract selected values.</t>
  </si>
  <si>
    <t>Morgan, J. T., Barger, N., Amaral, D. G., &amp; Schumann, C. M. (2014). Stereological study of amygdala glial populations in adolescents and adults with autism spectrum disorder. PLoS ONE, 9(10), e110356. https://doi.org/10.1371/journal.pone.0110356</t>
  </si>
  <si>
    <t>Data S1</t>
  </si>
  <si>
    <t>Amygdala per-individual stereological cell counts (ASD + Control)</t>
  </si>
  <si>
    <t>supplementary dataset (xlsx)</t>
  </si>
  <si>
    <t>Morgan_etal_2014_DataS1_snapshot.xlsx</t>
  </si>
  <si>
    <t>amygdala neuron &amp; glia number/density</t>
  </si>
  <si>
    <t>stereology (optical fractionator)</t>
  </si>
  <si>
    <t>Schumann</t>
  </si>
  <si>
    <t>Mota, B., &amp; Herculano-Houzel, S. (2015). Cortical folding scales universally with surface area and thickness, not number of neurons. Science, 349(6243), 74-77. https://doi.org/10.1126/science.aaa9101</t>
  </si>
  <si>
    <t>cortical folding</t>
  </si>
  <si>
    <t>Mota, B., Dos Santos, S. E., Ventura-Antunes, L., Jardim-Messeder, D., Neves, K., Kazu, R. S., Noctor, S., Lambert, K., Bertelsen, M. F., Manger, P. R., Sherwood, C. C., Kaas, J. H., &amp; Herculano-Houzel, S. (2019). White matter volume and white/gray matter ratio in mammalian species as a consequence of the universal scaling of cortical folding. Proc Natl Acad Sci U S A, 116(30), 15253-15261. https://doi.org/10.1073/pnas.1716956116</t>
  </si>
  <si>
    <t>Supplementary Table S1</t>
  </si>
  <si>
    <t>Supplementary Table S1. Morphometrical and cell number data used in this study (“our dataset”).</t>
  </si>
  <si>
    <t>white matter &amp; folding</t>
  </si>
  <si>
    <t>total and exposed cortical surface area</t>
  </si>
  <si>
    <t>white matter volume / folding</t>
  </si>
  <si>
    <t>Myhrvold, N. P., Baldridge, E., Chan, B., Sivam, D., Freeman, D. L., &amp; Ernest, S. K. M. (2015). An amniote life‐history database to perform comparative analyses with birds, mammals, and reptiles. Ecology, 96(11), 3109-3109. https://doi.org/10.1890/15-0846r.1</t>
  </si>
  <si>
    <t xml:space="preserve">Amniote_Database_Aug_2015.csv </t>
  </si>
  <si>
    <t>Amniote_Database_References_Aug_2015.csv</t>
  </si>
  <si>
    <t xml:space="preserve">Amniote_Range_Count_Aug_2015.csv </t>
  </si>
  <si>
    <t>Amniote_Sparse_Table_Aug_2015.csv</t>
  </si>
  <si>
    <t>Navarrete, A. F., Reader, S. M., Street, S. E., Whalen, A., &amp; Laland, K. N. (2016). The coevolution of innovation and technical intelligence in primates. Philos Trans R Soc Lond B Biol Sci, 371(1690). https://doi.org/10.1098/rstb.2015.0186</t>
  </si>
  <si>
    <t>none - digital-native (ESMNavarreteReaderStreetWhalenLaland_dataset.csv; MD5 74eefe75e9e0bb2abcb84010e6317b87)</t>
  </si>
  <si>
    <t>Nguyen, V. T., Uchida, R., Warling, A., Sloan, L. J., Saviano, M. S., Wicinski, B., Hard, T., Bertelsen, M. F., Stimpson, C. D., Bitterman, K., Schall, M., Hof, P. R., Sherwood, C. C., Manger, P. R., Spocter, M. A., &amp; Jacobs, B. (2019). Comparative neocortical neuromorphology in felids: African lion (Panthera leo leo), African leopard (Panthera pardus pardus), and cheetah (Acinonyx jubatus jubatus). J Comp Neurol. https://doi.org/10.1002/cne.24823</t>
  </si>
  <si>
    <t>Table 2. Species by cortical region by neuron-type neuromorphology summary statistics</t>
  </si>
  <si>
    <t>Nimchinsky, E. A., Gilissen, E., Allman, J. M., Perl, D. P., Erwin, J. M., &amp; Hof, P. R. (1999). A neuronal morphologic type unique to humans and great apes. Proc Natl Acad Sci U S A, 96(9), 5268-5273. https://doi.org/10.1073/pnas.96.9.5268</t>
  </si>
  <si>
    <t>Extraction script bug (PMC served a non-article page during an unattended fetch, so section#T1/#T2 selectors failed and produced an empty first/species column) was fixed 2026-09-18 per script_repairs_20260918.md: fetch now goes through curl::curl_fetch_memory with a status check and retry, and freezes the page as Nimchinsky_etal_1999_PMC21853.html (now in the folder). Also trimmed a trailing space baked into this row's DOI in column A, which had been propagating into Item encoded/TSV columns. Output re-verified 2026-09-26: Table1.csv has 28 species rows, Table2.csv has 5 species rows, first column fully populated in both, matching the frozen snapshot's bolded taxa. Status corrected from BROKEN CODE - FIRST COLUMN EMPTY to FINISHED. Public TSV mirror upload to __Public/comparative-data still pending.</t>
  </si>
  <si>
    <t>Nudo, R. J., Sutherland, D. P., &amp; Masterton, R. B. (1995). Variation and evolution of mammalian corticospinal somata with special reference to primates. J Comp Neurol, 358(2), 181-205. https://doi.org/10.1002/cne.903580203</t>
  </si>
  <si>
    <t>none - digital-native (pnas.1517131113.sd01.source.zip; contained XLSX MD5 0b0454f3d3da43e405fb5d444f9a0e4f)</t>
  </si>
  <si>
    <t>body weight, brain weight, neocortical surface area</t>
  </si>
  <si>
    <t>body / brain mass + cortical surface area</t>
  </si>
  <si>
    <t>Nudo/Masterton</t>
  </si>
  <si>
    <t>24 species. The paper states outright (p.184) that these values are 'retabulated here' from Nudo &amp; Masterton 1989 / 1990b, neither of which is in the repo - run crosspub_value_match.R if either is ever built.</t>
  </si>
  <si>
    <t>number and percentage of corticospinal somata per cortical region</t>
  </si>
  <si>
    <t>corticospinal neuron counts (regional)</t>
  </si>
  <si>
    <t>24 species x regions A/B/C/C'. Verified internally: correction term = 100/(100+soma diameter) in 24/24; corrected count = profiles x correction term in 24/24; regions sum to the total in 23/24 (green monkey off by 1, rounding). Printed 0 in C/C' is a TRUE zero (region absent).</t>
  </si>
  <si>
    <t>corticospinal somata by taxonomic order</t>
  </si>
  <si>
    <t>corticospinal neuron counts (order means)</t>
  </si>
  <si>
    <t>9 orders. PROVED derived: all 72 cells reproduce exactly as the unweighted order-wise mean of TABLE 2. DO NOT MERGE - it would double-count TABLE 2.</t>
  </si>
  <si>
    <t>TABLE 4</t>
  </si>
  <si>
    <t>maximum surface density of corticospinal somata</t>
  </si>
  <si>
    <t>corticospinal soma density (cells/mm2)</t>
  </si>
  <si>
    <t>24 species. The caption's 'cells/mm' is a text-layer artefact - the page prints a true superscript 2. Region A &gt;= B, C, C' in 24/24.</t>
  </si>
  <si>
    <t>TABLE 5</t>
  </si>
  <si>
    <t>nine morphological characteristics of corticospinal somata</t>
  </si>
  <si>
    <t>corticospinal soma morphology</t>
  </si>
  <si>
    <t>24 species. The printed 'Thickness (um)' header IS wrong - the values are mm, as the paper's own text confirms ('slow loris (0.71 mm)'); values unchanged, unit corrected in the definitions. The text's average-density paragraph (mean 260) conflicts with the table (mean 326); the table is carried and the .R prints the discrepancy on every run.</t>
  </si>
  <si>
    <t>Olkowicz, S., Kocourek, M., Lucan, R. K., Portes, M., Fitch, W. T., Herculano-Houzel, S., &amp; Nemec, P. (2016). Birds have primate-like numbers of neurons in the forebrain. Proc Natl Acad Sci U S A, 113(26), 7255-7260. https://doi.org/10.1073/pnas.1517131113</t>
  </si>
  <si>
    <t>Dataset S1. Complete region-level neuron and non-neuron counts and densities</t>
  </si>
  <si>
    <t>Palomero-Gallagher, N., &amp; Zilles, K. (2018). Differences in cytoarchitecture of Broca’s region between human, ape and macaque brains. Cortex. https://doi.org/10.1016/j.cortex.2018.09.008</t>
  </si>
  <si>
    <t>Supplementary table 3: Mean GLI (volume proportion of cell bodies per volume tissue) over all cortical layers, as well as in the supragranular, granular and infragranular strata of areas 44 and 45. Data pertaining figure 12.</t>
  </si>
  <si>
    <t>digital-native xlsx (journal supplementary file mmc1.xlsx, sheet 'Table S3')</t>
  </si>
  <si>
    <t>Per-specimen GLI summary; human 4 specimens, macaque 2-3, others single-specimen. Companion Tables S1/S2 (depth profiles, Figs. 10/11) not built in this item.</t>
  </si>
  <si>
    <t>PalomeroGallagher_Zilles_2018_TableS3_snapshot.xlsx (byte-identical copy-rename of 1-s2.0-S0010945218302958-mmc1.xlsx)</t>
  </si>
  <si>
    <t>cytoarchitecture; grey level index</t>
  </si>
  <si>
    <t>Homo sapiens; Pan paniscus; Pan troglodytes; Gorilla gorilla; Pongo pygmaeus; Hylobates lar; Macaca fascicularis</t>
  </si>
  <si>
    <t>grey level index (GLI, %), areas 44 and 45 (Broca-region homologs), by cortical stratum, per specimen</t>
  </si>
  <si>
    <t>histological (cell-body stained sections)</t>
  </si>
  <si>
    <t>layer-specific GLI image analysis</t>
  </si>
  <si>
    <t>pct.GLI</t>
  </si>
  <si>
    <t>This paper already has a stub row in Sheet1 (Citation starts 'Palomero-Gallagher, N., &amp; Zilles, K. (2018)...', Item name 'PalomeroGallagher_Zilles_2018_' trailing underscore, Item number blank) - fill that row's Item number to 'TableS3' rather than appending a duplicate row.</t>
  </si>
  <si>
    <t>Peruffo, A., Corain, L., Bombardi, C., Centelleghe, C., Grisan, E., Graic, J.-M., Bontempi, P., Grandis, A., &amp; Cozzi, B. (2019). The motor cortex of the sheep: Laminar organization, projections and diffusion tensor imaging of the intracranial pyramidal and extrapyramidal tracts. Brain Structure and Function, 224, 1933–1946. https://doi.org/10.1007/s00429-019-01885-x</t>
  </si>
  <si>
    <t>https://link.springer.com/content/pdf/10.1007/s00429-019-01885-x.pdf</t>
  </si>
  <si>
    <t>Ovis aries</t>
  </si>
  <si>
    <t>M1 cortical-layer thickness</t>
  </si>
  <si>
    <t>individuals plus printed species mean</t>
  </si>
  <si>
    <t>absolute and proportional cortical-layer thickness</t>
  </si>
  <si>
    <t>Pettigrew, J. D., Manger, P. R., &amp; Fine, S. L. B. (1998). The sensory world of the platypus. Philosophical Transactions of the Royal Society of London. Series B: Biological Sciences, 353(1372), 1199–1210. https://doi.org/10.1098/rstb.1998.0276</t>
  </si>
  <si>
    <t>Table 1. Cortical magnification factors at different recording sites on cortex</t>
  </si>
  <si>
    <t>Platypus only: recording-site separation (mm), receptive field separation (deg, approx.), magnification (mm/deg) for Vr and Vc.</t>
  </si>
  <si>
    <t>single species; approximate values</t>
  </si>
  <si>
    <t>Ornithorhynchus anatinus</t>
  </si>
  <si>
    <t>cortical magnification factor (mm/deg)</t>
  </si>
  <si>
    <t>electrophysiological mapping</t>
  </si>
  <si>
    <t>mm; deg</t>
  </si>
  <si>
    <t>Optional.</t>
  </si>
  <si>
    <t>13 spp: linear cortical magnification factor (mm cortex/deg), acuity from ganglion cell density (cycles/deg), ratio (cycles/mm); grouped by dominant retinogeniculate vs retinotectal pathway.</t>
  </si>
  <si>
    <t>platypus acuity 1.8 in table vs ~2 cycles/deg in text</t>
  </si>
  <si>
    <t>Mammals (13 spp)</t>
  </si>
  <si>
    <t>retinal ganglion-cell acuity (cycles/deg); visual cortical magnification (mm/deg)</t>
  </si>
  <si>
    <t>visual pathway type</t>
  </si>
  <si>
    <t>literature compilation + platypus retina/cortex mapping</t>
  </si>
  <si>
    <t>cycles/deg; mm/deg</t>
  </si>
  <si>
    <t>Extract; priority vision table.</t>
  </si>
  <si>
    <t>Text. Platypus retina, hearing, and electroreception values</t>
  </si>
  <si>
    <t>Peak RGC density 4,000 cells/mm²; centroperipheral gradient 3.5:1; total RGC ~40,000; acuity ~2 cycles/deg; hearing best frequency ~4 kHz, upper limit ~15 kHz (electrophysiological); ~40,000 bill electroreceptors; whole-animal electroreception threshold ~50 µV/cm vs afferent ~1–2 mV/cm.</t>
  </si>
  <si>
    <t>units garbled in text layer – verify µV/mV against PDF; hearing values cited from earlier studies</t>
  </si>
  <si>
    <t>sensory vision; sensory hearing; electroreception</t>
  </si>
  <si>
    <t>RGC density; visual acuity; hearing range; electroreceptor number and threshold</t>
  </si>
  <si>
    <t>review of retinal, auditory and electrosensory data</t>
  </si>
  <si>
    <t>cells/mm²; cycles/deg; kHz; µV/cm</t>
  </si>
  <si>
    <t>Gates et al. (1974); Gregory et al. (1987)</t>
  </si>
  <si>
    <t>Pirlot, P. (1981). A quantitative approach to the marsupial brain in an eco-ethological perspective. Revue Canadienne de Biologie, 40(2), 229–250.</t>
  </si>
  <si>
    <t>PMID:7280305</t>
  </si>
  <si>
    <t>TABLE II</t>
  </si>
  <si>
    <t>Pirlot, P., &amp; Jiao, S. S. (1985). Quantitative morphology of the panda brain in comparison with the brains of the raccoon and the bear. Journal für Hirnforschung, 26(1), 17–22.</t>
  </si>
  <si>
    <t>PMID:3989277</t>
  </si>
  <si>
    <t>Pirlot, P., &amp; Kamiya, T. (1982). Relative Size of Brain and Brain Components in 3 Gliding Placentals (Dermoptera, Rodentia). Can J Zool, 60(4), 565-572. https://doi.org/10.1139/Z82-084</t>
  </si>
  <si>
    <t>Dermoptera and Rodentia</t>
  </si>
  <si>
    <t>Whole brain; olfactory bulb; neocortex; rhinencephalon; septum; diencephalon; striatum; hippocampus; mesencephalon; cerebellum; medulla; schizocortex</t>
  </si>
  <si>
    <t>Paraffin serial sections, photographs, and volumetric estimation following Stephan procedures</t>
  </si>
  <si>
    <t>volume (mm³); percentage of total brain</t>
  </si>
  <si>
    <t>Directly compatible for the three focal specimens; pteropodid averages are secondary from Stephan et al. (1974).</t>
  </si>
  <si>
    <t>Pirlot, P., &amp; Kamiya, T. (1985). Qualitative and quantitative brain morphology in the Sirenian Dugong dugong Erxl. Z Zool Syst Evol, 23(2), 147-155. https://doi.org/10.1111/j.1439-0469.1985.tb00577.x</t>
  </si>
  <si>
    <t>https://doi.org/10.1111/j.1439-0469.1985.tb00577.x</t>
  </si>
  <si>
    <t>Sirenia</t>
  </si>
  <si>
    <t>Whole brain; neocortex; rhinencephalon; septum; diencephalon; striatum; hippocampus; mesencephalon; cerebellum; medulla; schizocortex</t>
  </si>
  <si>
    <t>Paraffin serial sections and volumetric estimation following Stephan-style procedures</t>
  </si>
  <si>
    <t>Directly compatible at broad component level; single specimen.</t>
  </si>
  <si>
    <t>Pirlot, P., &amp; Nelson, J. (1978). Volumetric analyses of monotreme brains. In A. M. L. (Ed.), Monotreme biology (pp. 171–180). The Royal Zoological Society of New South Wales.</t>
  </si>
  <si>
    <t>OCLC:1340515946</t>
  </si>
  <si>
    <t>Powell, L. E., Isler, K., &amp; Barton, R. A. (2017). Re-evaluating the link between brain size and behavioural ecology in primates. Proc Biol Sci, 284(1865). https://doi.org/10.1098/rspb.2017.1765</t>
  </si>
  <si>
    <t>Dataset 1</t>
  </si>
  <si>
    <t>https://figshare.com/ndownloader/files/9479092</t>
  </si>
  <si>
    <t>ecology</t>
  </si>
  <si>
    <t>Brain and body size</t>
  </si>
  <si>
    <t>Raghanti, M. A., Spurlock, L. B., Treichler, F. R., Weigel, S. E., Stimmelmayr, R., Butti, C., Thewissen, J. G., &amp; Hof, P. R. (2015). An analysis of von Economo neurons in the cerebral cortex of cetaceans, artiodactyls, and perissodactyls. Brain Struct Funct, 220(4), 2303-2314. https://doi.org/10.1007/s00429-014-0792-y</t>
  </si>
  <si>
    <t>Reader, S. M., Hager, Y., &amp; Laland, K. N. (2011). The evolution of primate general and cultural intelligence. Phil Trans R Soc B, 366(1567), 1017-1027. https://doi.org/10.1098/rstb.2010.0342</t>
  </si>
  <si>
    <t>behavioural innovation / technical intelligence</t>
  </si>
  <si>
    <t>behavioural (report counts: innovation, tool use, extractive foraging, social learning)</t>
  </si>
  <si>
    <t>Reader</t>
  </si>
  <si>
    <t>238 species. Raw and 'reduced' counts both shipped - never mix the two. The *_2002 block is Reader &amp; Laland 2002, superseded by the 2011 columns (same lineage: resolve, never average). No tactical-deception column exists in the archived file. Navarrete et al. 2016 descends from this lineage.</t>
  </si>
  <si>
    <t>Reep, R. L., Finlay, B. L., &amp; Darlington, R. B. (2007). The limbic system in mammalian brain evolution. Brain Behav Evol, 70(1), 57-70. https://doi.org/10.1159/000101491</t>
  </si>
  <si>
    <t>Table 1. Estimated volumes (mm3) of brain components in 29 selected species, with University of Wisconsin specimen numbers indicated</t>
  </si>
  <si>
    <t>https://doi.org/10.1159/000101491</t>
  </si>
  <si>
    <t>formatting-fix: misplaced thousands separators documented and normalized</t>
  </si>
  <si>
    <t>definition-mismatch: Reep diencephalon excludes globus pallidus and striatum includes it; overlap: amygdala is included in paleocortex; published bilateral estimate</t>
  </si>
  <si>
    <t>major brain components / limbic system</t>
  </si>
  <si>
    <t>Mammals: Carnivora, Artiodactyla, Perissodactyla, Xenarthra, Sirenia</t>
  </si>
  <si>
    <t>regional brain-structure volumes</t>
  </si>
  <si>
    <t>medulla; cerebellum; mesencephalon; diencephalon; striatum; septum; amygdala; paleocortex; hippocampus; schizocortex; isocortex</t>
  </si>
  <si>
    <t>histological section-area integration; shrinkage correction; one side x2</t>
  </si>
  <si>
    <t>volume (mm3)</t>
  </si>
  <si>
    <t>Reep/Finlay</t>
  </si>
  <si>
    <t>29 species and 29 specimen IDs; 319/319 volume cells independently matched to both printed table pages. Olingo and manatee misplaced thousands separators normalized without changing numeric value.</t>
  </si>
  <si>
    <t>Ribeiro, P. F., Ventura-Antunes, L., Gabi, M., Mota, B., Grinberg, L. T., Farfel, J. M., Ferretti-Rebustini, R. E., Leite, R. E., Filho, W. J., &amp; Herculano-Houzel, S. (2013). The human cerebral cortex is neither one nor many: neuronal distribution reveals two quantitatively different zones in the gray matter, three in the white matter, and explains local variations in cortical folding. Front Neuroanat, 7, 28. https://doi.org/10.3389/fnana.2013.00028</t>
  </si>
  <si>
    <t>regional neuronal and other-cell density in human cerebral cortex</t>
  </si>
  <si>
    <t>cell density (regional cortex)</t>
  </si>
  <si>
    <t>7 cortical regions, n = 1 (right hemisphere, 65-y-o female). REGIONAL - never pool with the whole-cortex Homo sapiens values from HH 2015, and the unweighted region means cannot be recombined into a cortex-wide mean; V1 is already inside 'Posterior'. Printed O/N ratios are means of per-section ratios, so they exceed density_O/density_N by 0.9-2.8% (Jensen) - NOT an identity. Header says +/- SE, the legend says SD for two of the three columns. Units are not printed; taken from the Results text. SAME HUMAN HEMISPHERE as Gabi et al. 2016.</t>
  </si>
  <si>
    <t>Ridgway, S. (1990). The Central Nervous System of the Bottlenose Dolphin. https://doi.org/10.1016/B978-0-12-440280-5.50008-1</t>
  </si>
  <si>
    <t>10.1016%2FB978-0-12-440280-5.50008-1_Table1.tsv</t>
  </si>
  <si>
    <t>Brain and body size of adult bottlenose dolphins</t>
  </si>
  <si>
    <t>Built 2026-09-26: transcribed from a 150 dpi render of PDF p.72 (source has no text layer, scanned photocopy). 29 individuals across 3 geographic groups + printed Mean/S.D. rows; group means re-verified against the 29 individual rows within rounding. Snapshot/CSV/R/README/definitions all landed; public TSV uploaded to __Public/comparative-data.</t>
  </si>
  <si>
    <t>Body length; body mass; whole brain mass</t>
  </si>
  <si>
    <t>Compilation of published and unpublished adult dolphin measurements</t>
  </si>
  <si>
    <t>brain mass (kg); body mass (kg); body length (cm)</t>
  </si>
  <si>
    <t>Useful for whole-brain data only, not a direct source of Stephan-style regional volumes. Stephan-compatible brain structure volumes</t>
  </si>
  <si>
    <t>Rilling, J. K., &amp; Insel, T. R. (1998). Evolution of the cerebellum in primates: differences in relative volume among monkeys, apes and humans. Brain Behav Evol, 52(6), 308-314. https://doi.org/10.1159/000006575</t>
  </si>
  <si>
    <t>Table 1. Mean (±ÛSEM) body weight, brain volume and cerebellum volume in 11 haplorhine primate species</t>
  </si>
  <si>
    <t>haplorhines</t>
  </si>
  <si>
    <t>Rilling, J. K., &amp; Insel, T. R. (1999). The primate neocortex in comparative perspective using magnetic resonance imaging. J Hum Evol, 37(2), 191-223. https://doi.org/10.1006/jhev.1999.0313</t>
  </si>
  <si>
    <t>Table 1 Data on 11 species of anthropoid primates</t>
  </si>
  <si>
    <t>anthropoid primates</t>
  </si>
  <si>
    <t>Ruf, T., &amp; Geiser, F. (2015). Daily torpor and hibernation in birds and mammals. Biol Rev Camb Philos Soc, 90(3), 891-926. https://doi.org/10.1111/brv.12137</t>
  </si>
  <si>
    <t>Schenker, N. M., Desgouttes, A. M., &amp; Semendeferi, K. (2005). Neural connectivity and cortical substrates of cognition in hominoids. J Hum Evol, 49(5), 547-569. https://doi.org/10.1016/j.jhevol.2005.06.004</t>
  </si>
  <si>
    <t>Appendix 1</t>
  </si>
  <si>
    <t>Appendix 1 Individual total volumes for each region</t>
  </si>
  <si>
    <t>Table 1 Mean volumes for each region of interest1</t>
  </si>
  <si>
    <t>Schleifenbaum, C. (1973). Untersuchungen zur postnatalen Ontogenese des Gehirns von Großpudeln und Wölfen. Z Anat Entwicklungsgesch, 141(2), 179-205. https://doi.org/10.1007/BF00519885</t>
  </si>
  <si>
    <t>Tables 1-2</t>
  </si>
  <si>
    <t>Tables 1-2. Individual metadata, brain weight, and absolute regional volumes</t>
  </si>
  <si>
    <t>Schniter, E., &amp; Penaherrera-Aguirre, M. (2026). Evolution of primate vocal repertoires: vocal systems as embodied capital for mediating within-group conflict. Primates. https://doi.org/10.1007/s10329-026-01271-2</t>
  </si>
  <si>
    <t>data</t>
  </si>
  <si>
    <t>vocal repertoire size</t>
  </si>
  <si>
    <t>behavioural (vocal repertoire)</t>
  </si>
  <si>
    <t>Semendeferi, K., &amp; Damasio, H. (2000). The brain and its main anatomical subdivisions in living hominoids using magnetic resonance imaging. J Hum Evol, 38(2), 317-332. https://doi.org/10.1006/jhev.1999.0381</t>
  </si>
  <si>
    <t>Semendeferi, K., Armstrong, E., Schleicher, A., Zilles, K., &amp; Van Hoesen, G. W. (1998). Limbic frontal cortex in hominoids: a comparative study of area 13. Am J Phys Anthropol, 106(2), 129-155. https://doi.org/10.1002/(SICI)1096-8644(199806)106:2&lt;129::AID-AJPA3&gt;3.0.CO;2-L</t>
  </si>
  <si>
    <t>TABLE 2. Volumes of the brain and area 13 in all hominoids</t>
  </si>
  <si>
    <t>frontal lobe / limbic volume</t>
  </si>
  <si>
    <t>TABLE 4. Grey-Level Index in area 13</t>
  </si>
  <si>
    <t>TABLE 5. Total numbers of neurons and neuronal_x000D_density (per mm3) in area 13</t>
  </si>
  <si>
    <t>Semendeferi, K., Armstrong, E., Schleicher, A., Zilles, K., &amp; Van Hoesen, G. W. (2001). Prefrontal cortex in humans and apes: a comparative study of area 10. Am J Phys Anthropol, 114(3), 224-241. https://doi.org/10.1002/1096-8644(200103)114:3&lt;224::AID-AJPA1022&gt;3.0.CO;2-I</t>
  </si>
  <si>
    <t>TABLE 2. Volumes of the brain and area 10 in all hominoids</t>
  </si>
  <si>
    <t>frontal cortex (area 10) volume</t>
  </si>
  <si>
    <t>TABLE 3. Grey-level index in area 101</t>
  </si>
  <si>
    <t>TABLE 4. Relative width of cortical layers in area 10</t>
  </si>
  <si>
    <t>Semendeferi, K., Lu, A., Schenker, N., &amp; Damasio, H. (2002). Humans and great apes share a large frontal cortex. Nat Neurosci, 5(3), 272-276. https://doi.org/10.1038/nn814</t>
  </si>
  <si>
    <t>Table 1. The relative size of the frontal cortex</t>
  </si>
  <si>
    <t>frontal lobe volume</t>
  </si>
  <si>
    <t>Seymour, R. S., Angove, S. E., Snelling, E. P., &amp; Cassey, P. (2015). Scaling of cerebral blood perfusion in primates and marsupials. J Exp Biol, 218(Pt 16), 2631-2640. https://doi.org/10.1242/jeb.124826</t>
  </si>
  <si>
    <t>Seymour, R. S., Bosiocic, V., &amp; Snelling, E. P. (2017). Correction to 'Fossil skulls reveal that blood flow rate to the brain increased faster than brain volume during human evolution'. R Soc Open Sci, 4(8), 170846. https://doi.org/10.1098/rsos.170846</t>
  </si>
  <si>
    <t>Seymour, R. S., Bosiocic, V., Snelling, E. P., Chikezie, P. C., Hu, Q., Nelson, T. J., Zipfel, B., &amp; Miller, C. V. (2019). Cerebral blood flow rates in recent great apes are greater than in Australopithecus species that had equal or larger brains. Proc Biol Sci, 286(1915), 20192208. https://doi.org/10.1098/rspb.2019.2208</t>
  </si>
  <si>
    <t>rspb20192208_si_002</t>
  </si>
  <si>
    <t>Sherwood, C. C., Cranfield, M. R., Mehlman, P. T., Lilly, A. A., Garbe, J. A., Whittier, C. A., Nutter, F. B., Rein, T. R., Bruner, H. J., Holloway, R. L., Tang, C. Y., Naidich, T. P., Delman, B. N., Steklis, H. D., Erwin, J. M., &amp; Hof, P. R. (2004). Brain structure variation in great apes, with attention to the mountain gorilla (Gorilla beringei beringei). Am J Primatol, 63(3), 149-164. https://doi.org/10.1002/ajp.20048</t>
  </si>
  <si>
    <t>TABLE I. Structure Volumes From Formalin-Fixed Brains (Volumes in cm3)</t>
  </si>
  <si>
    <t>Sherwood</t>
  </si>
  <si>
    <t>Hof</t>
  </si>
  <si>
    <t>Sherwood, C. C., Hof, P. R., Holloway, R. L., Semendeferi, K., Gannon, P. J., Frahm, H. D., &amp; Zilles, K. (2005). Evolution of the brainstem orofacial motor system in primates: a comparative study of trigeminal, facial, and hypoglossal nuclei. J Hum Evol, 48(1), 45-84. https://doi.org/10.1016/j.jhevol.2004.10.003</t>
  </si>
  <si>
    <t>Brainstem orofacial motor nuclei in primates (Table 1)</t>
  </si>
  <si>
    <t>Primates (+ other mammals)</t>
  </si>
  <si>
    <t>brainstem motor nuclei volumes</t>
  </si>
  <si>
    <t>Sherwood, C. C., Holloway, R. L., Erwin, J. M., Schleicher, A., Zilles, K., &amp; Hof, P. R. (2004). Cortical orofacial motor representation in Old World Monkeys, great apes, and humans. I. Quantitative Analysis of Cytoarchitecture. Brain Behav Evol, 63(2), 61-81. https://doi.org/10.1159/000075672</t>
  </si>
  <si>
    <t>I</t>
  </si>
  <si>
    <t>Table 4. GLI values for each cortical layer</t>
  </si>
  <si>
    <t>GLI: laminar and profiles</t>
  </si>
  <si>
    <t>cytoarchitecture (GLI laminar profiles)</t>
  </si>
  <si>
    <t>Table 5. Species mean values for 10 GLI profile feature vectors</t>
  </si>
  <si>
    <t>Sherwood, C. C., Lee, P. W., Rivara, C. B., Holloway, R. L., Gilissen, E. P., Simmons, R. M., Hakeem, A., Allman, J. M., Erwin, J. M., &amp; Hof, P. R. (2003). Evolution of specialized pyramidal neurons in primate visual and motor cortex. Brain Behav Evol, 61(1), 28-44. https://doi.org/10.1159/000068879</t>
  </si>
  <si>
    <t>Table 1. Sample data used in analyses</t>
  </si>
  <si>
    <t>Shultz, S., &amp; Dunbar, R. I. M. (2010). Species differences in executive function correlate with hippocampus volume and neocortex ratio across nonhuman primates. J Comp Psych, 124(3), 252-260. https://doi.org/10.1037/a0018894</t>
  </si>
  <si>
    <t>Table S1 (Supplementary Online Material) — full information on the individual studies</t>
  </si>
  <si>
    <t>The per-species behavioural data are NOT printed in the article. Main text: 122 task-by-species combinations, a minimum of 444 individual animals, 46 species, across 8 tasks (reverse reward, delay, reversal learning, patterned string, learning sets, oddity, invisible displacement, detour), performance recorded as percentage of correct trials; 'full information on individual studies is available in the supplementary information (Table S1)'. Not held. Content must be confirmed on acquisition: the text guarantees sample sizes and original sources, and Table S1 is the only candidate location for the per-species percentages.</t>
  </si>
  <si>
    <t>https://doi.org/10.1037/a0018894.supp</t>
  </si>
  <si>
    <t>All five main-paper tables read against the EndNote PDF on 2026-08-31; none carries species-level trait values. Supplement DOI confirmed via CrossRef (10.1037/a0018894.supp).</t>
  </si>
  <si>
    <t>Behavioural values are aggregated over 43 studies and averaged to one value per GENUS per task in the analysed dataset, so the analysed data are genus-level. Confirm whether Table S1 preserves species and study granularity before treating it as raw.</t>
  </si>
  <si>
    <t>executive function; task performance</t>
  </si>
  <si>
    <t>task performance (% correct) by species and task; sample sizes; original study sources</t>
  </si>
  <si>
    <t>behavioural task performance (% correct)</t>
  </si>
  <si>
    <t>Acquire the supplement (doi 10.1037/a0018894.supp) before deciding. If Table S1 carries per-study, per-species percentages it is the only extractable item in this paper and should be built; if it is a bare reference list, move the whole source to SOURCE_DISPOSITION as a DOCUMENTED SKIP. Main-paper Tables 1-5 go to SOURCE_DISPOSITION either way.</t>
  </si>
  <si>
    <t>Siegel, J. M. (2022). Sleep function: an evolutionary perspective. Lancet Neurol, 21(10), 937-946. https://doi.org/10.1016/S1474-4422(22)00210-1</t>
  </si>
  <si>
    <t>Appendix</t>
  </si>
  <si>
    <t>Appendix: REM, non-REM, and total sleep amounts in homeotherms</t>
  </si>
  <si>
    <t>Smaers, J. B., &amp; Soligo, C. (2013). Brain reorganization, not relative brain size, primarily characterizes anthropoid brain evolution. Proc Biol Sci, 280(1759), 20130269. https://doi.org/10.1098/rspb.2013.0269</t>
  </si>
  <si>
    <t>Supplement</t>
  </si>
  <si>
    <t>Brain region volumes and phylogenetic reorganization analysis.</t>
  </si>
  <si>
    <t>brain region volumes / reorganization</t>
  </si>
  <si>
    <t>Smaers, J. B., Gómez-Robles, A., Parks, A. N., &amp; Sherwood, C. C. (2017). Exceptional Evolutionary Expansion of Prefrontal Cortex in Great Apes and Humans. Curr Biol, 27(5), 714-720. https://doi.org/10.1016/j.cub.2017.01.020</t>
  </si>
  <si>
    <t>Table S1 part 1</t>
  </si>
  <si>
    <t>Exceptional expansion of prefrontal cortex (Table 1)</t>
  </si>
  <si>
    <t>part 1 volumes</t>
  </si>
  <si>
    <t>COMPILATION / MIX of primary and secondary data (confirmed by value-match). primary_visual = de Sousa 2010 [S6] = Frahm 1984 area striata (SECONDARY). prefrontal + frontal_motor = Smaers 2010/2011 [S1,S2] (Smaers own primary; frontal_motor not publicly verifiable). other_association = derived (neocortex minus frontal minus primary-visual). other brain = Stephan 1981 [S7]. All from the same C and O Vogt specimens. Do NOT re-merge primary_visual (it is Frahm 1984). See __merging_volumes/crosspub_Smaers2017_FINDINGS.md and primary_source_checks/.</t>
  </si>
  <si>
    <t>prefrontal cortex size</t>
  </si>
  <si>
    <t>Smaers (compilation)</t>
  </si>
  <si>
    <t>Table S1 part 2</t>
  </si>
  <si>
    <t>part 2 surface areas</t>
  </si>
  <si>
    <t>Smaers, J. B., Schleicher, A., Zilles, K., &amp; Vinicius, L. (2010). Frontal white matter volume is associated with brain enlargement and higher structural connectivity in anthropoid primates. PLoS ONE, 5(2), e9123. https://doi.org/10.1371/journal.pone.0009123</t>
  </si>
  <si>
    <t>Table 1. Volumetric measurements of neopallium and frontal lobe white and grey matter.</t>
  </si>
  <si>
    <t>Smaers, J. B., Steele, J., Case, C. R., Cowper, A., Amunts, K., &amp; Zilles, K. (2011). Primate prefrontal cortex evolution: human brains are the extreme of a lateralized ape trend. Brain Behav Evol, 77(2), 67-78. https://doi.org/10.1159/000323671</t>
  </si>
  <si>
    <t>prefrontal cortex / cortical reorganization</t>
  </si>
  <si>
    <t>SupplementaryTable2</t>
  </si>
  <si>
    <t>Smaers, J. B., Turner, A. H., Gómez-Robles, A., &amp; Sherwood, C. C. (2018). A cerebellar substrate for cognition evolved multiple times independently in mammals. eLife, 7, e35696. https://doi.org/10.7554/eLife.35696</t>
  </si>
  <si>
    <t>Figure 2 - data 1</t>
  </si>
  <si>
    <t>Cerebellum and cerebrotype volumes across mammals.</t>
  </si>
  <si>
    <t>cerebellum / cerebrotype volumes</t>
  </si>
  <si>
    <t>Stephan, H., &amp; Pirlot, P. (1970). Volumetric Comparisons of Brain Structures in Bats. Z Zool Syst Evol, 8(1), 200-236. https://doi.org/10.1111/j.1439-0469.1970.tb00876.x</t>
  </si>
  <si>
    <t>Absolute volume of the various structures or complexes (in mm3)</t>
  </si>
  <si>
    <t>https://doi.org/10.1111/j.1439-0469.1970.tb00876.x</t>
  </si>
  <si>
    <t>Table caption, column definitions, species list and correction convention read directly from the PDF (pp. 202-205) on 2026-08-31; species list cross-checked against the Material and Methods listing of 18 species in 8 families.</t>
  </si>
  <si>
    <t>Historical bat taxon concepts need curator decisions before merge (Chaerophon leucostigma, Vampyrops helleri, Cynopterus brachyotis / horsfieldii, Myotis nattereri) — the same class of decision already on HOLD for Baron et al. 1996. Check overlap with Baron et al. 1996 Tables 10/32 and with Pirlot &amp; Stephan (1970) encephalization before wiring.</t>
  </si>
  <si>
    <t>Brain structure volumes; total brain; body weight</t>
  </si>
  <si>
    <t>Brain structure volumes (mm3); total brain volume; body weight (g)</t>
  </si>
  <si>
    <t>Serial 10 um paraffin sections; volumes by planimetry of enlarged photographs of sections at equal intervals; comparison by allometry against basal Insectivores</t>
  </si>
  <si>
    <t>Add. The only raw comparative table in the paper: absolute mm3 volumes for 18 bat species, Stephan-compatible and not otherwise held. Tables 2-5 are all derived from it and go to SOURCE_DISPOSITION. Resolve the bat taxon concepts and the Baron 1996 overlap before wiring into __merging_volumes.</t>
  </si>
  <si>
    <t>Stephan, H., Baron, G., &amp; Frahm, H. D. (1982). Comparison of brain structure volumes in Insectivora and Primates. II. Accessory olfactory bulb (AOB). J Hirnforsch, 23(5), 575-591. https://www.ncbi.nlm.nih.gov/pubmed/7161483</t>
  </si>
  <si>
    <t>PMID:7161483</t>
  </si>
  <si>
    <t>Table 1. Data on AOB and its three measured components in the 61 species. All volumes (columns 2 and 7-9) are in mm3.</t>
  </si>
  <si>
    <t>Stephan, H., Baron, G., &amp; Frahm, H. D. (1988). Comparative size of brains and brain components. In H. D. Stelis &amp; J. Erwin (Eds.), Neurosciences (Vol. 4, pp. 1-38). Liss.</t>
  </si>
  <si>
    <t>ISBN:0845140000</t>
  </si>
  <si>
    <t>TABLE I. Body Weights (BoWs in g), Brain Weights (BrWs in mg), and Encephalization Indexes (Els) of Tenrecinae, Scandentia, and the 45 Primate Species Whose Brain Structures Were Measured. Some Ecoethological Characteristics Are Given for the Primate Species</t>
  </si>
  <si>
    <t>Stephan, H., Baron, G., &amp; Frahm, H. D. (1991). Insectivora (Vol. 1). Springer. https://doi.org/10.1007/978-1-4613-9124-1</t>
  </si>
  <si>
    <t>Table 10. Volumes of the five fundamental brain parts</t>
  </si>
  <si>
    <t>Table 13. Volumes of the sensory trigeminal complex and of the tractus solitarii and funicular nuclei of the medulla oblongata</t>
  </si>
  <si>
    <t>Table 16. Volumes of some relay nuclei of the medulla oblongata</t>
  </si>
  <si>
    <t>Table 19. Volumes of motor nuclei of the medulla oblongata</t>
  </si>
  <si>
    <t>Table 2. Linear measures of brains in mm</t>
  </si>
  <si>
    <t>Table 22. Volumes of the vestibular nuclei of the medulla oblongata</t>
  </si>
  <si>
    <t>Table 25. Volumes of the auditory nuclei of the medulla oblongata</t>
  </si>
  <si>
    <t>Table 28. Volumes of mesencephalic components</t>
  </si>
  <si>
    <t>Table 31</t>
  </si>
  <si>
    <t>Table 31. Volumes of cerebellar nuclei and ventral pons</t>
  </si>
  <si>
    <t>Table 34</t>
  </si>
  <si>
    <t>Table 34. Volumes of diencephalic components</t>
  </si>
  <si>
    <t>Table 37</t>
  </si>
  <si>
    <t>Table 37. Volumes of subthalamic components and geniculate bodies</t>
  </si>
  <si>
    <t>Table 40</t>
  </si>
  <si>
    <t>Table 40. Volumes of some periventricular and septal structures</t>
  </si>
  <si>
    <t>Table 43</t>
  </si>
  <si>
    <t>Table 43. Volumes of telencephalic components</t>
  </si>
  <si>
    <t>Table 46</t>
  </si>
  <si>
    <t>Table 46. Volumes of main olfactory bulbs and some of its layers</t>
  </si>
  <si>
    <t>Table 49</t>
  </si>
  <si>
    <t>Table 49. Volumes of accessory olfactory bulbs and some of its layers</t>
  </si>
  <si>
    <t>Table 5. Average body weights (BoW) and brain weights (BrW) of 53 species of Insectivora. n = number of individuals; CV = coefficient of variation</t>
  </si>
  <si>
    <t>Table 52</t>
  </si>
  <si>
    <t>Table 52. Volumes of paleocortical components</t>
  </si>
  <si>
    <t>Table 55</t>
  </si>
  <si>
    <t>Table 55. Volumes of amygdala and some amygdaloid components</t>
  </si>
  <si>
    <t>Table 58</t>
  </si>
  <si>
    <t>Table 58. Volumes of hippocampal components</t>
  </si>
  <si>
    <t>Table 61</t>
  </si>
  <si>
    <t>Table 61. Volumes of neocortical components</t>
  </si>
  <si>
    <t>Table 64</t>
  </si>
  <si>
    <t>Table 64. Volumes of neocortical grey (NG), area striata grey (ASG), percentage of ASG relative to NG, and size indices of ASG related to the average of the four Tenrecinae (A vTn = 100)</t>
  </si>
  <si>
    <t>Table 65</t>
  </si>
  <si>
    <t>Table 65. Volumes of diencephalon components based on data given by Bauchot (1979b)</t>
  </si>
  <si>
    <t>Table 68</t>
  </si>
  <si>
    <t>Table 68. Volumes of thalamus components based on data given by Bauchot (1979b)</t>
  </si>
  <si>
    <t>Table 71</t>
  </si>
  <si>
    <t>Table 71. Area measurements of commissures and chiasma opticum in mm2</t>
  </si>
  <si>
    <t>Table 8. Volumes of net brain (NET), ventricles (VENT) and rests (REST) and their percentages relative to standard brain volumes (= 100%)</t>
  </si>
  <si>
    <t>Stephan, H., Bauchot, R., &amp; Andy, O. J. (1970). Data on the size of the brain and of the various brain parts in insectivores and primates. In C. R. Noback &amp; W. Montagna (Eds.), The Primate Brain (pp. 289-296). Appleton-Century-Crofts</t>
  </si>
  <si>
    <t>ISBN:0390672505</t>
  </si>
  <si>
    <t>TABLE 1 Data on body and brain weight (in g and mg) and volume of the fundemental brain sections (in mm3) in Insectivores</t>
  </si>
  <si>
    <t>Insectivora, Scandentia</t>
  </si>
  <si>
    <t>TABLE 2 Data on body and brain weight (in g and mg) and volume of the fundemental brain sections (in mm3) in Prosimians</t>
  </si>
  <si>
    <t>TABLE 3 Data on body and brain weight (in g and mg) and volume of the fundemental brain sections (in mm3) in Simians</t>
  </si>
  <si>
    <t>TABLE 4 Volume of the various components of the telencephalon in Insectivores (in mm3)</t>
  </si>
  <si>
    <t>TABLE 5 Volume of the various components of the telencephalon in Prosimians (in mm3)</t>
  </si>
  <si>
    <t>TABLE 6</t>
  </si>
  <si>
    <t>TABLE 6 Volume of the various components of the telencephalon in Simians (in mm3)</t>
  </si>
  <si>
    <t>Tables 1-6</t>
  </si>
  <si>
    <t>tables combined</t>
  </si>
  <si>
    <t>Tables 1-6 combined</t>
  </si>
  <si>
    <t>Stephan, H., Frahm, H. D., &amp; Baron, G. (1984). Comparison of brain structure volumes in insectivora and primates. IV. Non-cortical visual structures. J Hirnforsch, 25(4), 385-403. https://www.ncbi.nlm.nih.gov/pubmed/6481154</t>
  </si>
  <si>
    <t>PMID:6481154</t>
  </si>
  <si>
    <t>Table 1. Data on half surface of eyes (HSE), cross-sectional areas of nervus opticus (NOA), and the dorsal lateral geniculate body (CGL).</t>
  </si>
  <si>
    <t>non-cortical visual structure volumes</t>
  </si>
  <si>
    <t>Stephan, H., Frahm, H. D., &amp; Baron, G. (1987). Comparison of brain structure volumes in Insectivora and primates. VII. Amygdaloid components. J Hirnforsch, 28(5), 571-584. https://www.ncbi.nlm.nih.gov/pubmed/3693895</t>
  </si>
  <si>
    <t>PMID:3693895</t>
  </si>
  <si>
    <t>Table 1. Volumes and indices of the amygdala (AMY) and amygdaloid components (LAM, MAM, MCB, NTO) in Macroscelidea, Insectivora and Scandentia</t>
  </si>
  <si>
    <t>amygdaloid component volumes</t>
  </si>
  <si>
    <t>Stephan, H., Frahm, H., &amp; Baron, G. (1981). New and revised data on volumes of brain structures in insectivores and primates. Folia Primatol (Basel), 35(1), 1-29. https://doi.org/10.1159/000155963</t>
  </si>
  <si>
    <t>Table I. Data on body weights (g). brain weights (mg). and volumes or total brain and fundamental brain parts (mm3) in insectivores</t>
  </si>
  <si>
    <t>brain structure volumes</t>
  </si>
  <si>
    <t>Table II</t>
  </si>
  <si>
    <t>Table II. Data on body weights (g), brain weights (mg), and volumes of total brain and fundamental brain parts (mm1) in prosimians; for comments on structures see table I</t>
  </si>
  <si>
    <t>Table III</t>
  </si>
  <si>
    <t>Table III. Data on body weights (g). brain weights (mg), and volumes or total brain and fundamental brain pans (mm&gt;) in simians; for comments on structures see table I</t>
  </si>
  <si>
    <t>Table IV</t>
  </si>
  <si>
    <t>Table IV: Volumes of the telencephalon and of its components (mm3) in insectivores</t>
  </si>
  <si>
    <t>Table IX</t>
  </si>
  <si>
    <t>Table IX. Volumes of visual cortex (area striata) and lateral geniculate body (mm3) in primates</t>
  </si>
  <si>
    <t>Table V</t>
  </si>
  <si>
    <t>Table V. Volumes of the telencephalon and of its components (mm3) in prosimians; for comments on structures see table IV</t>
  </si>
  <si>
    <t>Table VI</t>
  </si>
  <si>
    <t>Table VI. Volumes of the telencephalon and of its components (mm3) in simians: for comments on structures see table IV</t>
  </si>
  <si>
    <t>Table VII</t>
  </si>
  <si>
    <t>Table VIl. Volumes of components of the diencephalon (mm3) in insectivores</t>
  </si>
  <si>
    <t>Table VIII</t>
  </si>
  <si>
    <t>Table VIII. Volumes of components of the diencephalon (mm3) in primates</t>
  </si>
  <si>
    <t>Table X</t>
  </si>
  <si>
    <t>Table X. Volume of paleocortex, of amygdala and ils various components (mm3) in insectivores</t>
  </si>
  <si>
    <t>Table XI</t>
  </si>
  <si>
    <t>Table XI. Volumes of paleocortex, of amygdala and its various components (mm3) in primates: for comments on structures see table X</t>
  </si>
  <si>
    <t>Table XII</t>
  </si>
  <si>
    <t>Table XII. Volumes of vestibular complex and its various components (mm3) in insectivores</t>
  </si>
  <si>
    <t>Table XIII</t>
  </si>
  <si>
    <t>Table XIII. Volumes of vestibular complex and its various components (mm3) in primates</t>
  </si>
  <si>
    <t>Table XIV</t>
  </si>
  <si>
    <t>Table XIV. Volumes of various periventricular structures (mm 3) in insectivores</t>
  </si>
  <si>
    <t>Table XV</t>
  </si>
  <si>
    <t>Table XV. Volumes of various periventricular structures (mm3) in prosimians</t>
  </si>
  <si>
    <t>Table XVI</t>
  </si>
  <si>
    <t>Table XVI. Volumes of various periventricular structures (mm3) in simians</t>
  </si>
  <si>
    <t>Stimpson, C. D., Barger, N., Taglialatella, J. P., Gendron-Fitzpatrick, A., Hof, P. R., Hopkins, W. D., &amp; Sherwood, C. C. (2015). Differential serotonergic innervation of the amygdala in bonobos and chimpanzees. Soc Cogn Affect Neurosci. https://doi.org/10.1093/scan/nsv128</t>
  </si>
  <si>
    <t>Table_S1</t>
  </si>
  <si>
    <t>Table_S2</t>
  </si>
  <si>
    <t>Taniguchi, M., Iwahashi, M., Oka, Y., Tiong, S. Y. X., &amp; Sato, M. (2022). Fezf2-positive fork cell-like neurons in the mouse insular cortex. PLoS ONE, 17(9), e0274170. https://doi.org/10.1371/journal.pone.0274170</t>
  </si>
  <si>
    <t>Findings</t>
  </si>
  <si>
    <t>Todorov, O. S., Weisbecker, V., Gilissen, E., Zilles, K., &amp; de Sousa, A. A. (2019). Primate hippocampus size and organization are predicted by sociality but not diet. Proc Biol Sci, 286(1914), 20191712. https://doi.org/10.1098/rspb.2019.1712</t>
  </si>
  <si>
    <t>rspb20191712_si_001</t>
  </si>
  <si>
    <t>Datasets of hippocampal subsection and brain area dimorphism plus the phylogenetic tree used from Primate hippocampus size and organization are predicted by sociality but not diet.</t>
  </si>
  <si>
    <t>Tschudin, A. J.-P. C. (1998). Relative neocortex size and its correlates in dolphins: Comparisons with humans and implications for mental evolution (Doctoral dissertation, University of Natal).</t>
  </si>
  <si>
    <t>CorpusID:142614626</t>
  </si>
  <si>
    <t>Table 2.5</t>
  </si>
  <si>
    <t>CorpusID%3A142614626_Table2.5.tsv</t>
  </si>
  <si>
    <t>Odontocete neuroanatomical volumes and ratios from MRI</t>
  </si>
  <si>
    <t>Built 2026-09-26: source is an OCR scan (Adobe Paper Capture); all 44 rows cross-checked against a 200 dpi render of PDF pp.68-69 (printed pp.58-59). Species resolved from the dissertation's own abbreviation appendix (p.84). BOT 9 carries a genuine printed arithmetic inconsistency (posterior fossa 10.00 cm3 above brainstem+cerebellum), verified against the page image and kept as printed, not corrected -- see README. Snapshot/CSV/R/README/definitions all landed; public TSV uploaded to __Public/comparative-data.</t>
  </si>
  <si>
    <t>Total brain; neocortex; posterior fossa; brainstem; cerebellum; neocortex ratio</t>
  </si>
  <si>
    <t>Postmortem MRI with digitized coronal segmentation; fresh and frozen-defrosted specimens</t>
  </si>
  <si>
    <t>volume (cm³); ratio</t>
  </si>
  <si>
    <t>Compatible for broad regions, but MRI boundaries differ from classic Stephan histological definitions. Stephan-compatible brain structure volumes</t>
  </si>
  <si>
    <t>Turner, E. C., Young, N. A., Reed, J. L., Collins, C. E., Flaherty, D. K., Gabi, M., &amp; Kaas, J. H. (2016). Distributions of cells and neurons across the cortical sheet in old world macaques. Brain Behav Evol, 88(1), 1-13. https://doi.org/10.1159/000446762</t>
  </si>
  <si>
    <t>Table 1. Summary of experimental cases</t>
  </si>
  <si>
    <t>Brain surface total area</t>
  </si>
  <si>
    <t>Upham, N. S., Esselstyn, J. A., &amp; Jetz, W. (2019). Inferring the mammal tree: Species-level sets of phylogenies for questions in ecology, evolution, and conservation. PLoS Biology, 17(12), e3000494. https://doi.org/10.1371/journal.pbio.3000494</t>
  </si>
  <si>
    <t>Completed 100</t>
  </si>
  <si>
    <t>MamPhy v1 completed-species trees (5,911 sp, topoCons, NDexp): random sample of 100 from the 10k pseudoposterior, via VertLife phylosubsets tree-pruner</t>
  </si>
  <si>
    <t>Second tree Item from the same publication. 100 complete trees (all mammals) of set MamPhy_BDvr_Completed_5911sp_topoCons_NDexp, downloaded 2026-08-24 from vertlife.org/phylosubsets (job tree-pruner-c6bf9145; config.yaml in folder records tree IDs + full request). Completed set = no-DNA species included via Upham's taxonomic imputation; topology-constrained, unlike the topoFree DNA-only MCC. Consumed by __merging_trees/ as a multiPhylo sample for PGLS sensitivity analyses, not as a species x trait table. Item name/encoded pending _tools/file_list.R run.</t>
  </si>
  <si>
    <t>DNA only MCC</t>
  </si>
  <si>
    <t>MamPhy v1 DNA-only maximum clade credibility tree</t>
  </si>
  <si>
    <t>Van Essen, D. C., &amp; Drury, H. A. (1997). Structural and functional analyses of human cerebral cortex using a surface-based atlas. J Neurosci, 17(18), 7079-7102. https://doi.org/10.1523/JNEUROSCI.17-18-07079.1997</t>
  </si>
  <si>
    <t>Table 1. Surface area measurements of cortical lobes</t>
  </si>
  <si>
    <t>Veilleux, C. C., &amp; Kirk, E. C. (2014). Visual acuity in mammals: Effects of eye size and ecology. Brain Behav Evol, 83(1), 43-53. https://doi.org/10.1159/000357830</t>
  </si>
  <si>
    <t>Supplemental Table 1</t>
  </si>
  <si>
    <t>Supplemental Table 1. Visual and Ecological Comparative Mammalian Dataset.</t>
  </si>
  <si>
    <t>91 mammal species from 14 orders. Columns: eye length / axial diameter AD (mm), maximum visual acuity VA (cycles per degree), body mass BM (kg), measurement type MT (A = anatomical, B = behavioral), maximum running speed MRS (kph), activity pattern AP (D diurnal / C cathemeral / N nocturnal), and diet. Every value carries its own numbered source; a 122-item reference list is printed with the table. Acuity for 14 species is calculated by the authors ('this study') from published eye lengths and peak ganglion-cell or cone densities, so the item is part primary, part compilation.</t>
  </si>
  <si>
    <t>https://doi.org/10.1159/000357830</t>
  </si>
  <si>
    <t>Column abbreviations, units and category codes read from the supplement's own legend; species and order blocks read from the supplement PDF (2026-08-31). Main-paper Tables 1-2 checked and confirmed to be regression output only.</t>
  </si>
  <si>
    <t>Mixed measurement provenance: behavioral and anatomical acuity must be carried through as a field (MT), never averaged. Body mass and maximum running speed are third-hand (Silva &amp; Downing 1995, Garland 1983, Heard-Booth &amp; Kirk 2012) and should not be registered as primary. Anatomical acuity is computed from eye length, so acuity and AD are not independent for those rows.</t>
  </si>
  <si>
    <t>maximum visual acuity; eye axial diameter; body mass; maximum running speed; activity pattern; diet</t>
  </si>
  <si>
    <t>Behavioral acuity where available; otherwise anatomical acuity computed from eye length and peak retinal ganglion-cell or cone density following Pettigrew et al. (1988), with activity-pattern k values revised by the authors</t>
  </si>
  <si>
    <t>visual acuity (cycles/degree); eye length (mm)</t>
  </si>
  <si>
    <t>Directly relevant to the ____Sensory_audiovisual intake: the identical supplement PDF is already inside the copied Bath archive (Part 1 Visual Acuity/References visual acuity/), and the Bath Sensory Data.xlsx acuity column carries a documented off-by-one defect for 24 species. This published table is the independent check for that column. No Team / Collection assigned — the sensory programme has no registry vocabulary yet (cf. deSousa_etal_2022_acuityblind.csv).</t>
  </si>
  <si>
    <t>Walhovd, K. B., Westlye, L. T., Amlien, I., Espeseth, T., Reinvang, I., Raz, N., Agartz, I., Salat, D. H., Greve, D. N., Fischl, B., Dale, A. M., &amp; Fjell, A. M. (2011). Consistent neuroanatomical age-related volume differences across multiple samples. Neurobiology of Aging, 32(5), 916-932. https://doi.org/10.1016/j.neurobiolaging.2009.05.013</t>
  </si>
  <si>
    <t>normative volumes</t>
  </si>
  <si>
    <t>Normative regional brain volumes (n=262, 18-29 yr)</t>
  </si>
  <si>
    <t>published table</t>
  </si>
  <si>
    <t>Walhovd_etal_2011_normative_snapshot.csv</t>
  </si>
  <si>
    <t>regional brain volumes</t>
  </si>
  <si>
    <t>Fjell/Walhovd</t>
  </si>
  <si>
    <t>Weaver, A. G. H. (2001). The cerebellum and cognitive evolution in Pliocene and Pleistocene hominids (Publication No. 3017523) [Doctoral dissertation, The University of New Mexico]. ProQuest Dissertations &amp; Theses Global.</t>
  </si>
  <si>
    <t>UMI:3017523</t>
  </si>
  <si>
    <t>Notes for Table A-15</t>
  </si>
  <si>
    <t>Table A-11</t>
  </si>
  <si>
    <t>Table A-11: PCF and CBLM Volume from MRI Scans (34 specimens).</t>
  </si>
  <si>
    <t>Table A-15</t>
  </si>
  <si>
    <t>Table A-15: Data for Raw and Derived Variables</t>
  </si>
  <si>
    <t>Weibel, E. R., Bacigalupe, L. D., Schmitt, B., &amp; Hoppeler, H. (2004). Allometric scaling of maximal metabolic rate in mammals: muscle aerobic capacity as determinant factor. Respir Physiol Neurobiol, 140(2), 115-132. https://doi.org/10.1016/j.resp.2004.01.006</t>
  </si>
  <si>
    <t>Table 1 VO2 max and body mass for 34 mammalian species (see reference list in Appendix A for sources)</t>
  </si>
  <si>
    <t>Table A.1</t>
  </si>
  <si>
    <t>Table A.1 Estimates of VO2 max and body mass in mammalian species</t>
  </si>
  <si>
    <t>Wilman, H., Belmaker, J., Simpson, J., de la Rosa, C., Rivadeneira, M. M., &amp; Jetz, W. (2014). EltonTraits 1.0: Species‐level foraging attributes of the world's birds and mammals. Ecology, 95(7), 2027-2027. https://doi.org/10.1890/13-1917.1</t>
  </si>
  <si>
    <t>MamFuncDat</t>
  </si>
  <si>
    <t>diet &amp; body mass (functional traits)</t>
  </si>
  <si>
    <t>ecological traits (diet, body mass)</t>
  </si>
  <si>
    <t>Wimberly, A. N., Slater, G. J., &amp; Granatosky, M. C. (2021). Evolutionary history of quadrupedal walking gaits shows mammalian release from locomotor constraint. Proc Biol Sci, 288(1957), 20210937. https://doi.org/10.1098/rspb.2021.0937</t>
  </si>
  <si>
    <t>MammalGait</t>
  </si>
  <si>
    <t>Winkler, S. L., &amp; Bryant, G. A. (2021). Play vocalisations and human laughter: a comparative review. Bioacoustics, 1-28. https://doi.org/10.1080/09524622.2021.1905065</t>
  </si>
  <si>
    <t>Figure 1. Cladogram of species reported to produce play vocalisations</t>
  </si>
  <si>
    <t>Young, N. A., Collins, C. E., &amp; Kaas, J. H. (2013). Cell and neuron densities in the primary motor cortex of primates [Original Research]. Front Neural Circuits, 7(30), 30. https://doi.org/10.3389/fncir.2013.00030</t>
  </si>
  <si>
    <t>Table 1. Cell and neuron densities in the primary motor cortex (M1) of primates</t>
  </si>
  <si>
    <t>Young, N. A., Szabo, C. A., Phelix, C. F., Flaherty, D. K., Balaram, P., Foust-Yeoman, K. B., Collins, C. E., &amp; Kaas, J. H. (2013). Epileptic baboons have lower numbers of neurons in specific areas of cortex. Proc Natl Acad Sci U S A, 110(47), 19107-19112. https://doi.org/10.1073/pnas.1318894110</t>
  </si>
  <si>
    <t>Table 1. Epileptic baboons have lower numbers of neurons in specific areas of cortex</t>
  </si>
  <si>
    <t>Zilles, K., &amp; Rehkämper, G. (1988). The brain, with special reference to the telencephalon. In J. H. Schwartz (Ed.), Orang-Utan Biology (pp. 157-176). Oxford University Press.</t>
  </si>
  <si>
    <t>ISBN:9780195043716</t>
  </si>
  <si>
    <t>Table 12-1</t>
  </si>
  <si>
    <t>TABLE 12-1. Brain and Body Weights from Literature</t>
  </si>
  <si>
    <t>Table 12-2</t>
  </si>
  <si>
    <t>TABLE 12-2. Volumes of Brain Components and Their Percentages of Total Brain Volume</t>
  </si>
  <si>
    <t>Table 12-3</t>
  </si>
  <si>
    <t>TABLE 12-3. Indices of Brain Structure Size in Pongo and Other Hominoidea</t>
  </si>
  <si>
    <t>Zilles, K., Amunts, K., &amp; Smaers, J. B. (2011). Three brain collections for comparative neuroanatomy and neuroimaging. Ann N Y Acad Sci, 1225(S1), E94-E104. https://doi.org/10.1111/j.1749-6632.2011.05978.x</t>
  </si>
  <si>
    <t>Table S1. Stephan collection</t>
  </si>
  <si>
    <t>Table S2. Zilles collection vertebrates</t>
  </si>
  <si>
    <t>Table S3. Zilles-Amunts collection Homo sapiens</t>
  </si>
  <si>
    <t>Zilles, K., Armstrong, E., Schlaug, G., &amp; Schleicher, A. (1986). Quantitative cytoarchitectonics of the posterior cingulate cortex in primates. J Comp Neurol, 253(4), 514-524. https://doi.org/10.1002/cne.902530408</t>
  </si>
  <si>
    <t>Zilles, K., Palomero-Gallagher, N., &amp; Amunts, K. (2013). Development of cortical folding during evolution and ontogeny. Trends Neurosci, 36(5), 275-284. https://doi.org/10.1016/j.tins.2013.01.006</t>
  </si>
  <si>
    <t>Table 1. Brain size and gyrification index (GI) in various mammalian orders, families, and species</t>
  </si>
  <si>
    <t>Jacobs, B., Driscoll, L., &amp; Schall, M. (1997). Life-span dendritic and spine changes in areas 10 and 18 of human cortex: a quantitative Golgi study. The Journal of Comparative Neurology, 386(4), 661-680. https://doi.org/10.1002/(SICI)1096-9861(19971006)386:4&lt;661::AID-CNE11&gt;3.0.CO;2-N</t>
  </si>
  <si>
    <t>10.1002/(sici)1096-9861(19971006)386:4&lt;661::Aid-cne11&gt;3.0.Co;2-n</t>
  </si>
  <si>
    <t>Registry row added 2026-09-26; snapshot/CSV/R/README/definitions and public TSV were already built and uploaded prior to this row's addition.</t>
  </si>
  <si>
    <t>Jacobs, B., Garcia, M. E., Shea-Shumsky, N. B., Tennison, M. E., Schall, M., Saviano, M. S., Tummino, T. A., Bull, A. J., Driscoll, L. L., Raghanti, M. A., Lewandowski, A. H., Wicinski, B., Ki Chui, H., Bertelsen, M. F., Walsh, T., Bhagwandin, A., Spocter, M. A., Hof, P. R., Sherwood, C. C., &amp; Manger, P. R. (2018). Comparative morphology of gigantopyramidal neurons in primary motor cortex across mammals. Journal of Comparative Neurology, 526(3), 496-536. https://doi.org/10.1002/cne.24349</t>
  </si>
  <si>
    <t>Registry row added 2026-09-26; snapshot/CSV/R/README/definitions and public TSV were already built and uploaded prior to this row's addition. See item README for printed-number-error caveats (carried verbatim, never silently corrected).</t>
  </si>
  <si>
    <t>Branstetter, B. K., St Leger, J., Acton, D., Stewart, J., Houser, D., Finneran, J. J., &amp; Jenkins, K. (2017). Killer whale (Orcinus orca) behavioral audiograms. J Acoust Soc Am, 141, 2387. https://doi.org/10.1121/1.4979116</t>
  </si>
  <si>
    <t>Average threshold levels for each killer whale (individual behavioral audiograms)</t>
  </si>
  <si>
    <t>Not built -- see TableIV item for this folder's built data (both were priority 1; TableIV alone cleanly supplied the 4 traits used).</t>
  </si>
  <si>
    <t>candidate</t>
  </si>
  <si>
    <t>https://doi.org/10.1121/1.4979116</t>
  </si>
  <si>
    <t>Orcinus orca (8 individuals)</t>
  </si>
  <si>
    <t>audiogram thresholds by frequency</t>
  </si>
  <si>
    <t>psychoacoustic testing (behavioral, underwater)</t>
  </si>
  <si>
    <t>threshold (dB re 1 µPa) by frequency (kHz)</t>
  </si>
  <si>
    <t>Branstetter/Finneran</t>
  </si>
  <si>
    <t>extract first — direct source of values already used in SensoryData</t>
  </si>
  <si>
    <t>Species average mass and metrics derived from species composite audiograms (four odontocetes)</t>
  </si>
  <si>
    <t>Built 2026-09-27: transcribed O. orca row (low 0.6 kHz / high 114 kHz / best sensitivity 49 dB / best frequency 34 kHz).</t>
  </si>
  <si>
    <t>Odontoceti (4 spp: O. orca, T. truncatus, D. leucas, P. phocoena)</t>
  </si>
  <si>
    <t>hearing range limits; best frequency; best sensitivity; body mass</t>
  </si>
  <si>
    <t>composite behavioral audiograms (compiled)</t>
  </si>
  <si>
    <t>frequency (kHz); threshold (dB re 1 µPa); mass (kg)</t>
  </si>
  <si>
    <t>Table III lists the source audiograms</t>
  </si>
  <si>
    <t>Frost, S. B., &amp; Masterton, R. B. (1994). Hearing in primitive mammals: Monodelphis domestica and Marmosa elegans. Hear Res, 76, 67-72. https://doi.org/10.1016/0378-5955(94)90088-4</t>
  </si>
  <si>
    <t>Averaged audiograms of three species of Didelphid opossums</t>
  </si>
  <si>
    <t>Not built -- see Resultstext item (priority 1, preferred over this figure) for this folder's built data.</t>
  </si>
  <si>
    <t>https://doi.org/10.1016/0378-5955(94)90088-4</t>
  </si>
  <si>
    <t>Didelphidae (Monodelphis domestica, Marmosa elegans; third species from literature)</t>
  </si>
  <si>
    <t>audiogram thresholds</t>
  </si>
  <si>
    <t>threshold (dB SPL) by frequency (kHz)</t>
  </si>
  <si>
    <t>Masterton</t>
  </si>
  <si>
    <t>third-species audiogram from earlier Masterton-lab work (check legend)</t>
  </si>
  <si>
    <t>Results text</t>
  </si>
  <si>
    <t>Results text: hearing range at 60 dB SPL, best sensitivity and best frequency for M. domestica and M. elegans</t>
  </si>
  <si>
    <t>Built 2026-09-27: transcribed both species' values from Results text.</t>
  </si>
  <si>
    <t>Monodelphis domestica; Marmosa elegans</t>
  </si>
  <si>
    <t>hearing limits; best sensitivity; best frequency</t>
  </si>
  <si>
    <t>Heffner, R. S., &amp; Heffner, H. E. (1985). Hearing in Mammals: The Least Weasel. J Mammal, 66, 745-755. https://doi.org/10.2307/1380801</t>
  </si>
  <si>
    <t>Audiogram of the least weasel</t>
  </si>
  <si>
    <t>Not built -- see Resultstext item (priority 1) for this folder's built data.</t>
  </si>
  <si>
    <t>https://doi.org/10.2307/1380801</t>
  </si>
  <si>
    <t>Mustela nivalis (2 individuals)</t>
  </si>
  <si>
    <t>conditioned suppression/avoidance</t>
  </si>
  <si>
    <t>extract if full curve/individuals wanted</t>
  </si>
  <si>
    <t>Results text: 60-dB hearing range, best sensitivity, region of best hearing</t>
  </si>
  <si>
    <t>Built 2026-09-27: scanned PDF, digits verified against page image. 60-dB range 51 Hz-60.5 kHz; best sensitivity -8 dB at 2 kHz.</t>
  </si>
  <si>
    <t>Mustela nivalis</t>
  </si>
  <si>
    <t>Hz/kHz; dB SPL</t>
  </si>
  <si>
    <t>Relation between high-frequency and low-frequency hearing in 30 species of land mammals</t>
  </si>
  <si>
    <t>Mammals (30 spp)</t>
  </si>
  <si>
    <t>low- and high-frequency hearing limits (60 dB SPL)</t>
  </si>
  <si>
    <t>literature compilation (behavioral audiograms)</t>
  </si>
  <si>
    <t>Heffner-lab compilation; species key in legend</t>
  </si>
  <si>
    <t>optional comparative compilation; check overlap with registered Heffner items</t>
  </si>
  <si>
    <t>Heffner, R., &amp; Heffner, H. (2010). Explaining high-frequency hearing. Anat Rec (Hoboken), 293, 2080-2. https://doi.org/10.1002/ar.21292</t>
  </si>
  <si>
    <t>High-frequency hearing limit, functional interaural distance, and basilar membrane length for selected mammals</t>
  </si>
  <si>
    <t>H corrected to match actual folder Heffner_Heffner_2010_b (was Heffner_Heffner_2010, a different, unrelated paper). Built 2026-09-27: transcribed full table (Tursiops truncatus 136 kHz / 75 us row confirmed).</t>
  </si>
  <si>
    <t>https://doi.org/10.1002/ar.21292</t>
  </si>
  <si>
    <t>Mammals (incl. Tursiops truncatus; ~10 spp — count on extraction)</t>
  </si>
  <si>
    <t>high-frequency hearing limit; functional interaural distance; basilar membrane length</t>
  </si>
  <si>
    <t>literature compilation</t>
  </si>
  <si>
    <t>kHz; µs; mm</t>
  </si>
  <si>
    <t>sources cited in table footnotes</t>
  </si>
  <si>
    <t>Heffner, R. S., Heffner, H. E., Contos, C., &amp; Kearns, D. (1994). Hearing in prairie dogs: transition between surface and subterranean rodents. Hear Res, 73, 185-9. https://doi.org/10.1016/0378-5955(94)90233-x</t>
  </si>
  <si>
    <t>Audiogram of a white-tailed prairie dog (Cynomys leucurus)</t>
  </si>
  <si>
    <t>H corrected to match actual folder Heffner_etal_1994_a (was Heffner_etal_1994). Built 2026-09-27: transcribed prairie-dog audiogram (best sensitivity 24 dB / best frequency 8 kHz) from the source PDF.</t>
  </si>
  <si>
    <t>https://doi.org/10.1016/0378-5955(94)90233-x</t>
  </si>
  <si>
    <t>Cynomys leucurus</t>
  </si>
  <si>
    <t>Audiograms for four black-tailed prairie dogs (C. ludovicianus)</t>
  </si>
  <si>
    <t>H corrected to match actual folder Heffner_etal_1994_a (was Heffner_etal_1994). Built 2026-09-27 as companion item alongside Figure2.</t>
  </si>
  <si>
    <t>Cynomys ludovicianus (4 individuals)</t>
  </si>
  <si>
    <t>Heffner, H. E., Heffner, R. S., Contos, C., &amp; Ott, T. (1994). Audiogram of the hooded Norway rat. Hear Res, 73, 244-7. https://doi.org/10.1016/0378-5955(94)90240-2</t>
  </si>
  <si>
    <t>Average audiograms of the hooded rat (this study), albino rat and wild Norway rat</t>
  </si>
  <si>
    <t>H corrected to match actual folder Heffner_etal_1994_b (was Heffner_etal_1994). Built 2026-09-27. FLAG unresolved: SensoryData_compiled labels this paper 1994c (a/b/c letters possibly swapped vs reference sheet) -- documented, not resolved.</t>
  </si>
  <si>
    <t>https://doi.org/10.1016/0378-5955(94)90240-2</t>
  </si>
  <si>
    <t>a/b/c label swap between SensoryData_compiled.csv and reference sheet</t>
  </si>
  <si>
    <t>Rattus norvegicus (hooded, albino, wild strains)</t>
  </si>
  <si>
    <t>albino and wild-rat curves from Kelly &amp; Masterton 1977 / Heffner &amp; Masterton 1980</t>
  </si>
  <si>
    <t>Heffner, R. S., Heffner, H. E., Kearns, D., Vogel, J., &amp; Koay, G. (1994). Sound localization in chinchillas. I: Left/right discriminations. Hear Res, 80, 247-57. https://doi.org/10.1016/0378-5955(94)90116-3</t>
  </si>
  <si>
    <t>Sound-localization thresholds (MAA) of mammals compiled for comparison with chinchilla</t>
  </si>
  <si>
    <t>H corrected to match actual folder Heffner_etal_1994_c (was Heffner_etal_1994). Built 2026-09-27. FLAG unresolved: SensoryData_compiled labels this paper 1994b (a/b/c letters possibly swapped vs reference sheet) -- documented, not resolved.</t>
  </si>
  <si>
    <t>https://doi.org/10.1016/0378-5955(94)90116-3</t>
  </si>
  <si>
    <t>Mammalia (~29 spp; rodents &amp; non-rodents)</t>
  </si>
  <si>
    <t>sound localization threshold (MAA)</t>
  </si>
  <si>
    <t>literature compilation of conditioned-avoidance MAA tests</t>
  </si>
  <si>
    <t>Heffner-lab compilation; sources in table</t>
  </si>
  <si>
    <t>Relationship between interaural distance and sound-localization acuity among 29 mammals</t>
  </si>
  <si>
    <t>H corrected to match actual folder Heffner_etal_1994_c (was Heffner_etal_1994). Not built -- see Table1 item (priority 1) for this folder's built data.</t>
  </si>
  <si>
    <t>Mammalia (29 spp)</t>
  </si>
  <si>
    <t>functional interaural distance; sound localization threshold</t>
  </si>
  <si>
    <t>µs; degrees</t>
  </si>
  <si>
    <t>Heffner-lab compilation</t>
  </si>
  <si>
    <t>Heffner, R. S., Koay, G., &amp; Heffner, H. E. (2003). Hearing in American leaf-nosed bats. III: Artibeus jamaicensis. Hear Res, 184, 113-22. https://doi.org/10.1016/s0378-5955(03)00233-8</t>
  </si>
  <si>
    <t>Figure 4</t>
  </si>
  <si>
    <t>Audiograms for three phyllostomid bats</t>
  </si>
  <si>
    <t>https://doi.org/10.1016/s0378-5955(03)00233-8</t>
  </si>
  <si>
    <t>Phyllostomidae (Artibeus jamaicensis, Phyllostomus hastatus, Carollia perspicillata)</t>
  </si>
  <si>
    <t>audiogram thresholds; 60-dB hearing limits</t>
  </si>
  <si>
    <t>P. hastatus from Koay 2002; C. perspicillata from Koay 2003</t>
  </si>
  <si>
    <t>Results text: A. jamaicensis 60-dB hearing range, best sensitivity, functional interaural distance</t>
  </si>
  <si>
    <t>Built 2026-09-27: transcribed low 2.8 kHz / high 131 kHz / interaural distance 89 us.</t>
  </si>
  <si>
    <t>Artibeus jamaicensis</t>
  </si>
  <si>
    <t>hearing limits; best sensitivity; functional interaural distance</t>
  </si>
  <si>
    <t>kHz; dB SPL; µs</t>
  </si>
  <si>
    <t>Figure 5</t>
  </si>
  <si>
    <t>Relationship between functional interaural distance and high-frequency hearing</t>
  </si>
  <si>
    <t>Mammalia (species key in legend)</t>
  </si>
  <si>
    <t>functional interaural distance; high-frequency hearing limit</t>
  </si>
  <si>
    <t>µs; kHz</t>
  </si>
  <si>
    <t>Heffner, R. S., Koay, G., &amp; Heffner, H. E. (2007). Sound-localization acuity and its relation to vision in large and small fruit-eating bats: I. Echolocating species, Phyllostomus hastatus and Carollia perspicillata. Hear Res, 234, 1-9. https://doi.org/10.1016/j.heares.2007.06.001</t>
  </si>
  <si>
    <t>Relation between the width of the field of best vision and sound-localization threshold</t>
  </si>
  <si>
    <t>Built 2026-09-27: 6 field_of_best_vision_width values transcribed (Artibeus 34, Carollia 110, Chinchilla 144, Marmota 90.2, Phyllostomus 51, Rousettus 27 deg).</t>
  </si>
  <si>
    <t>https://doi.org/10.1016/j.heares.2007.06.001</t>
  </si>
  <si>
    <t>Mammalia (species key in legend; ≥6 spp used)</t>
  </si>
  <si>
    <t>width of field of best vision; sound localization threshold</t>
  </si>
  <si>
    <t>retinal ganglion-cell isodensity + conditioned-avoidance MAA (compiled)</t>
  </si>
  <si>
    <t>Heffner-lab compilation; P. hastatus and C. perspicillata primary here</t>
  </si>
  <si>
    <t>Retinal ganglion-cell isodensity contours for P. hastatus and C. perspicillata</t>
  </si>
  <si>
    <t>Not built -- see Figure6 item (priority 1) for this folder's built data.</t>
  </si>
  <si>
    <t>Phyllostomus hastatus; Carollia perspicillata</t>
  </si>
  <si>
    <t>field of best vision (retinal specialisation)</t>
  </si>
  <si>
    <t>retinal ganglion-cell topography</t>
  </si>
  <si>
    <t>retinal ganglion-cell counts</t>
  </si>
  <si>
    <t>degrees (from contours)</t>
  </si>
  <si>
    <t>Heffner, R. S., Koay, G., &amp; Heffner, H. E. (2013). Hearing in American leaf-nosed bats. IV: the Common vampire bat, Desmodus rotundus. Hear Res, 296, 42-50. https://doi.org/10.1016/j.heares.2012.09.011</t>
  </si>
  <si>
    <t>Mean pure-tone audiogram for three D. rotundus</t>
  </si>
  <si>
    <t>https://doi.org/10.1016/j.heares.2012.09.011</t>
  </si>
  <si>
    <t>Desmodus rotundus (3 individuals)</t>
  </si>
  <si>
    <t>Results text: D. rotundus 60-dB hearing range, best sensitivity, hearing range octaves, functional interaural distance</t>
  </si>
  <si>
    <t>Built 2026-09-27: transcribed low 0.716 kHz / high 113 kHz / 7.3 octaves / interaural distance 61 us.</t>
  </si>
  <si>
    <t>Desmodus rotundus</t>
  </si>
  <si>
    <t>hearing limits; hearing range (octaves); best sensitivity; functional interaural distance</t>
  </si>
  <si>
    <t>kHz; dB SPL; octaves; µs</t>
  </si>
  <si>
    <t>High-frequency hearing of echolocating bats relative to that predicted from functional interaural distance</t>
  </si>
  <si>
    <t>Chiroptera (echolocating spp; count on extraction)</t>
  </si>
  <si>
    <t>high-frequency hearing limit; predicted limit; functional interaural distance</t>
  </si>
  <si>
    <t>kHz; µs</t>
  </si>
  <si>
    <t>Heffner, R. S., Koay, G., &amp; Heffner, H. E. (2014). Hearing in alpacas (Vicugna pacos): audiogram, localization acuity, and use of binaural locus cues. J Acoust Soc Am, 135, 778-88. https://doi.org/10.1121/1.4861344</t>
  </si>
  <si>
    <t>Auditory detection thresholds for three alpacas</t>
  </si>
  <si>
    <t>https://doi.org/10.1121/1.4861344</t>
  </si>
  <si>
    <t>Vicugna pacos (3 individuals)</t>
  </si>
  <si>
    <t>audiogram thresholds; 60-dB hearing limits; best sensitivity</t>
  </si>
  <si>
    <t>Results text: alpaca 60-dB hearing range, best sensitivity/frequency, MAA, binaural/pinna cue use</t>
  </si>
  <si>
    <t>Built 2026-09-27: transcribed 9 text-stated traits; functional interaural distance (544 us per SensoryData_compiled) deliberately omitted as it is not printed as a number in the retrieved text, only shown graphically -- see README. TSV upload pending (connector timeout on __Public/comparative-data folder, retry later).</t>
  </si>
  <si>
    <t>BUILT (TSV upload pending)</t>
  </si>
  <si>
    <t>Vicugna pacos</t>
  </si>
  <si>
    <t>hearing limits; best sensitivity; MAA; interaural distance; binaural and monaural cue use</t>
  </si>
  <si>
    <t>conditioned suppression/avoidance; MAA tests</t>
  </si>
  <si>
    <t>kHz; dB SPL; degrees; µs; categorical</t>
  </si>
  <si>
    <t>Figure 9</t>
  </si>
  <si>
    <t>Behaviorally determined sound-localization thresholds for mammals</t>
  </si>
  <si>
    <t>Figures 10-11</t>
  </si>
  <si>
    <t>Sound-localization acuity and functional interaural distance among species using one vs both binaural locus cues</t>
  </si>
  <si>
    <t>binaural cue use (phase / intensity); MAA; functional interaural distance</t>
  </si>
  <si>
    <t>categorical; degrees; µs</t>
  </si>
  <si>
    <t>Koay, G., Kearns, D., Heffner, H. E., &amp; Heffner, R. S. (1998). Passive sound-localization ability of the big brown bat (Eptesicus fuscus). Hear Res, 119, 37-48. https://doi.org/10.1016/s0378-5955(98)00037-9</t>
  </si>
  <si>
    <t>Results text: big brown bat sound-localization threshold, binaural cue use, and width of field of best vision (139 deg)</t>
  </si>
  <si>
    <t>H corrected to match actual folder Koay_etal_1998_b (was Koay_etal_1998, a different already-built paper, DOI 10.1037%2F0735-7036.112.4.371). Built 2026-09-27.</t>
  </si>
  <si>
    <t>https://doi.org/10.1016/s0378-5955(98)00037-9</t>
  </si>
  <si>
    <t>folder identity: Eptesicus paper, not Rousettus (see paper_citations.csv)</t>
  </si>
  <si>
    <t>Eptesicus fuscus</t>
  </si>
  <si>
    <t>MAA; binaural cue use; field of best vision width</t>
  </si>
  <si>
    <t>conditioned suppression/avoidance; retinal ganglion-cell isodensity</t>
  </si>
  <si>
    <t>degrees; categorical</t>
  </si>
  <si>
    <t>Figure 8</t>
  </si>
  <si>
    <t>Azimuthal sound-localization acuity for 29 species of mammals</t>
  </si>
  <si>
    <t>H corrected to match actual folder Koay_etal_1998_b (was Koay_etal_1998). Not built -- see Resultstext item (priority 1).</t>
  </si>
  <si>
    <t>Relationship between width of the field of best vision and sound-localization acuity</t>
  </si>
  <si>
    <t>field of best vision width; MAA</t>
  </si>
  <si>
    <t>Koay, G., Bitter, K. S., Heffner, H. E., &amp; Heffner, R. S. (2002). Hearing in American leaf-nosed bats. I: Phyllostomus hastatus. Hear Res, 171, 96-102. https://doi.org/10.1016/s0378-5955(02)00458-6</t>
  </si>
  <si>
    <t>Behavioral audiogram of P. hastatus compared to thresholds</t>
  </si>
  <si>
    <t>https://doi.org/10.1016/s0378-5955(02)00458-6</t>
  </si>
  <si>
    <t>Phyllostomus hastatus</t>
  </si>
  <si>
    <t>Results text: P. hastatus 60-dB hearing range, best sensitivity and best frequency</t>
  </si>
  <si>
    <t>Built 2026-09-27: transcribed low 1.8 kHz / high 105 kHz / 5.9 octaves / best sensitivity 1 dB at 20 kHz. TSV upload pending (connector timeout on __Public/comparative-data folder, retry later).</t>
  </si>
  <si>
    <t>Wenstrup, J. J. (1984). Auditory-Sensitivity in the Fish-Catching Bat, Noctilio-Leporinus. J Comp Physiol, 155, 91-101. https://doi.org/10.1007/Bf00610934</t>
  </si>
  <si>
    <t>Figures 3-5</t>
  </si>
  <si>
    <t>Behavioral audiograms for fish-catching bats NL7, NL9 and NL21</t>
  </si>
  <si>
    <t>Built 2026-09-27: despite item name, built from Results text (p.96) not by digitizing the figures -- text states low-freq limit avg 7 kHz, high-freq limit 101/115 kHz (NL9/NL21), CF-region sensitivity range -1 to +4 dB SPL. TSV upload pending (connector timeout, retry later).</t>
  </si>
  <si>
    <t>https://doi.org/10.1007/Bf00610934</t>
  </si>
  <si>
    <t>Noctilio leporinus (3 individuals)</t>
  </si>
  <si>
    <t>behavioral audiometry (operant)</t>
  </si>
  <si>
    <t>Wenstrup</t>
  </si>
  <si>
    <t>Behavioral audiograms of three microchiropteran bats (comparison)</t>
  </si>
  <si>
    <t>Not built -- see Figures3-5 item (priority 1) for this folder's built data.</t>
  </si>
  <si>
    <t>Chiroptera (3 spp; Noctilio, Rhinolophus + 1)</t>
  </si>
  <si>
    <t>dB SPL; kHz</t>
  </si>
  <si>
    <t>legend cites sources</t>
  </si>
  <si>
    <t>Awbrey, F. T., Thomas, J. A., &amp; Kastelein, R. A. (1988). Low-frequency underwater hearing sensitivity in belugas, Delphinapterus leucas. J Acoust Soc Am, 84(6), 2273-2275. https://doi.org/10.1121/1.397022</t>
  </si>
  <si>
    <t>Beluga hearing threshold data in decibels (3 captive belugas, 125 Hz-8 kHz)</t>
  </si>
  <si>
    <t>Registry row added 2026-09-27. Built same day: snapshot/CSV/R/README/definitions uploaded; public TSV upload pending (connector timeout on __Public/comparative-data folder, retry later).</t>
  </si>
  <si>
    <t>Dalland, J. I. (1965). Hearing sensitivity in bats. Science, 150(3700), 1185-1186. https://doi.org/10.1126/science.150.3700.1185</t>
  </si>
  <si>
    <t>Absolute pure-tone hearing thresholds for Eptesicus fuscus and Myotis lucifugus</t>
  </si>
  <si>
    <t>Registry row added 2026-09-27. Built same day: snapshot/CSV/R/README/definitions uploaded; public TSV upload pending (connector timeout, retry later).</t>
  </si>
  <si>
    <t>Flydal, K., Hermansen, A., Enger, P. S., &amp; Reimers, E. (2001). Hearing in reindeer (Rangifer tarandus). J Comp Physiol A, 187, 265-269. https://doi.org/10.1007/s003590100198</t>
  </si>
  <si>
    <t>Individual hearing thresholds with sound from front and behind the animal (2 reindeer, 11 frequencies)</t>
  </si>
  <si>
    <t>Gillette, R. G., Brown, R., Herman, P., Vernon, S., &amp; Vernon, J. (1973). The auditory sensitivity of the Lemur. American Journal of Physical Anthropology, 38(2), 365-370. doi:10.1002/ajpa.1330380234 (PMID 4689764)</t>
  </si>
  <si>
    <t>PMID:4689764</t>
  </si>
  <si>
    <t>Ring-tailed lemur (Lemur catta) 60-dB hearing range (1-32 kHz)</t>
  </si>
  <si>
    <t>Registry row added 2026-09-27. MAJOR FLAG: the source PDF's own filename says 'Gillette-2005' but the PDF's title page/running head/citations confirm this is the 1973 paper (confirmed via Sci-Hub/Europe PMC/Wikidata); folder name Gillette_etal_1973 and this row both use the correct 1973 date. User has since renamed the PDF file itself to reflect 1973. TSV upload pending (connector timeout on __Public/comparative-data folder, retry later).</t>
  </si>
  <si>
    <t>Heffner, H. E., Ravizza, R. J., &amp; Masterton, B. (1969). Hearing in primitive mammals, III: Tree shrew (Tupaia glis). Journal of Auditory Research, 9(1), 12-18.</t>
  </si>
  <si>
    <t>AN:1970-12222-001</t>
  </si>
  <si>
    <t>Tree shrew (Tupaia glis) best frequency, lowest threshold, audible frequency range</t>
  </si>
  <si>
    <t>Registry row added 2026-09-27. No DOI exists (pre-1970s Journal of Auditory Research, no PMID) -- Alt identifier JAudRes:9:12-18 used per house convention for DOI-less sources. Built same day; TSV upload pending (connector timeout on __Public/comparative-data folder, retry later).</t>
  </si>
  <si>
    <t>Heffner, R. S., Koay, G., &amp; Heffner, H. E. (2001). Audiograms of five species of rodents: implications for the evolution of hearing and the perception of pitch. Hear Res, 157(1-2), 138-152. https://doi.org/10.1016/S0378-5955(01)00298-2</t>
  </si>
  <si>
    <t>Audiograms of 5 rodent species: groundhog, chipmunk, Darwin's leaf-eared mouse, golden hamster, Egyptian spiny mouse</t>
  </si>
  <si>
    <t>Heffner, R. S., Koay, G., &amp; Heffner, H. E. (2006). Hearing in large (Eidolon helvum) and small (Cynopterus brachyotis) non-echolocating fruit bats. Hearing Research, 221, 17-25. https://doi.org/10.1016/j.heares.2006.06.008</t>
  </si>
  <si>
    <t>60-dB-SPL audiogram summary (best freq/threshold, hearing-range limits) for Eidolon helvum and Cynopterus brachyotis</t>
  </si>
  <si>
    <t>Transcribed from Results text (no printed summary table; Figs. 2-4 are curves only), cross-checked against extracted text layer. E. helvum's printed 4.82-octave span does not exactly recompute from its printed rounded 1.38-41 kHz boundary values (recomputes to ~4.89); kept as printed, not corrected -- see README.</t>
  </si>
  <si>
    <t>Heffner, R. S., Koay, G., &amp; Heffner, H. E. (2010). Use of binaural cues for sound localization in large and small non-echolocating bats: Eidolon helvum and Cynopterus brachyotis. Journal of the Acoustical Society of America, 127(6), 3837-3845. https://doi.org/10.1121/1.3372717</t>
  </si>
  <si>
    <t>Table I: physical availability of the binaural interaural-phase-difference cue vs. behavioral use, across 10 mammal species incl. this paper's own 2 new bats</t>
  </si>
  <si>
    <t>Folder-identity check: this folder's actual PDF is 'Use of binaural cues...' (3-author, JASA), correctly distinct from Heffner_Heffner_2010 (2-author, whitetail deer, JASA-EL) and Heffner_Heffner_2010_b (separate candidate row, untouched) -- verified via fresh GetDriveChildren before opening either PDF; no cross-contamination. Table I footnote citations matched per-row exactly as printed.</t>
  </si>
  <si>
    <t>Heffner, H. E., Koay, G., &amp; Heffner, R. S. (2016). Budgerigars (Melopsittacus undulatus) do not hear infrasound: the audiogram from 8 Hz to 10 kHz. Journal of Comparative Physiology A, 202(12), 853-857. https://doi.org/10.1007/s00359-016-1125-9</t>
  </si>
  <si>
    <t>Table 1: individual (P1,P2,P3) and mean pure-tone thresholds of three budgerigars, 8 Hz-10 kHz</t>
  </si>
  <si>
    <t>TAXON FLAG: Melopsittacus undulatus is a bird, not a mammal -- deliberately included in this hearing-cluster registry as a comparative low-frequency-hearing reference point (contrasts with pigeon/chicken infrasound hearing). Each printed mean independently recomputed from P1/P2/P3 in Python; all 14 frequencies reproduce exactly.</t>
  </si>
  <si>
    <t>Heffner, R. S., &amp; Heffner, H. E. (1982). Hearing in the elephant (Elephas maximus): Absolute sensitivity, frequency discrimination, and sound localization. Journal of Comparative and Physiological Psychology, 96(6), 926-944. https://doi.org/10.1037/0735-7036.96.6.926</t>
  </si>
  <si>
    <t>60-dB-SPL audiogram summary (best freq 1 kHz/8 dB; low limit 17 Hz; high limit 10.5 kHz) for Asian elephant, Experiment 1 of 3 in this paper</t>
  </si>
  <si>
    <t>Absolute-sensitivity (audiogram) result only; paper's own Table 1 is a sound-field calibration table (not the audiogram) and its Table 2 covers a separate localization experiment -- out of scope for this item, which is the priority-1 hearing-sensitivity result for this cluster. Single animal, n=1.</t>
  </si>
  <si>
    <t>Heffner, H. E., &amp; Heffner, R. S. (2008). High-frequency hearing. In P. Dallos, D. Oertel, &amp; R. Hoy (Eds.), Handbook of the Senses: Audition (pp. 55-60). Elsevier. https://doi.org/10.1016/B978-012370880-9.00004-9</t>
  </si>
  <si>
    <t>Sole quantitative synthesis statistic in this review chapter: r=-0.79, p&lt;0.0001, functional head size vs. 60-dB high-frequency hearing limit across &gt;60 mammal species (Fig. 1, not digitized)</t>
  </si>
  <si>
    <t>text (review/synthesis, not primary data)</t>
  </si>
  <si>
    <t>MAJOR FLAG: folder name/filename imply the 2003 'Audition' chapter (Handbook of Research Methods in Experimental Psychology), but the PDF's own title page identifies it as a DIFFERENT, later chapter: Heffner &amp; Heffner (2008) 'High-Frequency Hearing' in Handbook of the Senses: AUDITION -- likely mis-filed due to the shared word 'Audition' in the book title. Citation/DOI/year here (G=2008) reflect the ACTUAL PDF content, not the folder-implied 2003 work; H is kept as the folder name per house rule. This is a review chapter with NO printed data table; only correlation statistic captured, figure not digitized (no reliable data labels). See README for full detail.</t>
  </si>
  <si>
    <t>Heffner, Jr., H., &amp; Heffner, H. E. (2010). The behavioral audiogram of whitetail deer (Odocoileus virginianus). Journal of the Acoustical Society of America, 127(3), EL111-EL114. https://doi.org/10.1121/1.3284546</t>
  </si>
  <si>
    <t>60-dB-SPL audiogram summary (best freq 8 kHz/-3 dB; range 115 Hz-54 kHz) for white-tailed deer, plus wider absolute-limit range at higher intensity</t>
  </si>
  <si>
    <t>Folder-identity check: this folder's actual PDF ('The behavioral audiogram of white[tail deer]...') is the whitetail-deer paper, correctly distinct from Heffner_etal_2010 (3-author, binaural cues in bats) and Heffner_Heffner_2010_b (separate untouched candidate row) -- verified via fresh GetDriveChildren before opening either PDF; initial guess of 'white rhinoceros' from truncated filename was incorrect, corrected after reading full PDF text. No cross-contamination.</t>
  </si>
  <si>
    <t>Jackson, L. L., Heffner, H. E., &amp; Heffner, R. S. (1997). Audiogram of the fox squirrel (Sciurus niger). Journal of Comparative Psychology, 111(1), 100-104. https://doi.org/10.1037/0735-7036.111.1.100</t>
  </si>
  <si>
    <t>Fox squirrel (Sciurus niger) audiogram: low-freq detection point, best sensitivity/frequency, per-animal high-freq limits, 60-dB range</t>
  </si>
  <si>
    <t>Registry row added 2026-09-27. Built same day; TSV upload pending (connector timeout, retry later).</t>
  </si>
  <si>
    <t>Kastak, D., &amp; Schusterman, R. J. (1998). Low-frequency amphibious hearing in pinnipeds: Methods, measurements, noise, and ecology. J Acoust Soc Am, 103(4), 2216-2228. https://doi.org/10.1121/1.421367</t>
  </si>
  <si>
    <t>Tables I-II</t>
  </si>
  <si>
    <t>Aerial and underwater sound-detection thresholds for California sea lion, harbor seal, northern elephant seal</t>
  </si>
  <si>
    <t>Kastak, D., &amp; Schusterman, R. J. (1999). In-air and underwater hearing sensitivity of a northern elephant seal (Mirounga angustirostris). Canadian Journal of Zoology, 77(11), 1751-1758. https://doi.org/10.1139/z99-151</t>
  </si>
  <si>
    <t>Northern elephant seal in-air vs underwater hearing summary (best frequency/threshold, upper frequency cutoff)</t>
  </si>
  <si>
    <t>Kastelein, R. A., Hoek, L., de Jong, C. A. F., &amp; Wensveen, P. J. (2010). The effect of signal duration on the underwater detection thresholds of a harbor porpoise (Phocoena phocoena) for single frequency-modulated tonal signals between 0.25 and 160 kHz. J Acoust Soc Am, 128(5), 3211-3222. https://doi.org/10.1121/1.3493435</t>
  </si>
  <si>
    <t>Harbor porpoise underwater 50% detection thresholds, 15 frequencies x up to 16 signal durations</t>
  </si>
  <si>
    <t>Kelly, J. B., Kavanagh, G. L., &amp; Dalton, J. C. H. (1986). Hearing in the ferret (Mustela putorius): Thresholds for pure tone detection. Hear Res, 24(3), 269-275. https://doi.org/10.1016/0378-5955(86)90025-0</t>
  </si>
  <si>
    <t>Ferret (Mustela putorius) 60-dB hearing range and best-sensitivity region (2 subjects)</t>
  </si>
  <si>
    <t>Koay, G., Heffner, R. S., Bitter, K. S., &amp; Heffner, H. E. (2003). Hearing in American leaf-nosed bats. II: Carollia perspicillata. Hear Res, 178(1-2), 27-34. https://doi.org/10.1016/S0378-5955(03)00025-X</t>
  </si>
  <si>
    <t>Short-tailed fruit bat (Carollia perspicillata) audiogram, second paper in Heffner-lab Phyllostomidae series</t>
  </si>
  <si>
    <t>Møhl, B. (1968). Auditory sensitivity of the common seal in air and water. The Journal of Auditory Research, 8, 27-38.</t>
  </si>
  <si>
    <t>AN:1969-15508-001</t>
  </si>
  <si>
    <t>Common seal (Phoca vitulina) audiogram in air and water, 20 rows across both media</t>
  </si>
  <si>
    <t>Registry row added 2026-09-27. No DOI exists (pre-1970s journal) -- Alt identifier JAudRes:8:27-38 used per house convention. Built same day; public TSV uploaded (renamed from a temporary placeholder DOI used before this row existed).</t>
  </si>
  <si>
    <t>Owren, M. J., Hopp, S. L., Sinnott, J. M., &amp; Petersen, M. R. (1988). Absolute auditory thresholds in three Old World monkey species (Cercopithecus aethiops, C. neglectus, Macaca fuscata) and humans (Homo sapiens). Journal of Comparative Psychology, 102(2), 99-107. https://doi.org/10.1037/0735-7036.102.2.99</t>
  </si>
  <si>
    <t>Table 1 + Table 3</t>
  </si>
  <si>
    <t>Absolute auditory thresholds for vervet, De Brazza's, Japanese macaque and human, 19-24 frequencies</t>
  </si>
  <si>
    <t>Registry row added 2026-09-27. Built same day; public TSV uploaded.</t>
  </si>
  <si>
    <t>Ravizza, R. J., Heffner, H. E., &amp; Masterton, B. (1969). Hearing in primitive mammals, I: Opossum (Didelphis virginianus). The Journal of Auditory Research, 9, 1-7.</t>
  </si>
  <si>
    <t>AN:1970-12227-001</t>
  </si>
  <si>
    <t>Opossum (Didelphis virginianus) hearing range and sensitivity, first paper in Ravizza/Heffner/Masterton primitive-mammals series</t>
  </si>
  <si>
    <t>Registry row added 2026-09-27. No DOI exists (pre-1970s journal) -- Alt identifier JAudRes:9:1-7 used per house convention. Built same day; public TSV uploaded (renamed from a temporary placeholder DOI used before this row existed).</t>
  </si>
  <si>
    <t>Ravizza, R. J., &amp; Masterton, B. (1972). Contribution of neocortex to sound localization in opossum (Didelphis virginiana). J Neurophysiol, 35(3), 344-356. https://doi.org/10.1152/jn.1972.35.3.344</t>
  </si>
  <si>
    <t>Minimum audible angle for normal vs decorticate opossums (lesion/ablation study, not a simple audiogram paper)</t>
  </si>
  <si>
    <t>Registry row added 2026-09-27. N.B.: this is a bilateral-neocortical-ablation study; only the MAA datum (normal-opossum baseline + decorticate comparison) was extracted as comparative-hearing data. Built same day; public TSV uploaded.</t>
  </si>
  <si>
    <t>Schusterman, R. J. (1974). Auditory sensitivity of a California sea lion to airborne sound. J Acoust Soc Am, 56(4), 1248-1251. https://doi.org/10.1121/1.1903415</t>
  </si>
  <si>
    <t>Air-vs-water hearing loss (dB) for California sea lion, harp seal and harbor seal at each tested frequency</t>
  </si>
  <si>
    <t>Schusterman, R. J. (1981). Behavioral capabilities of seals and sea lions: A review of their hearing, visual, learning and diving skills. The Psychological Record, 31, 125-143. https://doi.org/10.1007/BF03394729</t>
  </si>
  <si>
    <t>Compiled underwater-audiogram summary for 6 pinniped species, each row citing a primary source (review/compilation, not new data)</t>
  </si>
  <si>
    <t>Registry row added 2026-09-27. N.B.: this source is a REVIEW/COMPILATION -- every row cites a previously published primary study (see README for full citation table), not new Schusterman data. Built same day; public TSV uploaded.</t>
  </si>
  <si>
    <t>Schusterman, R. J., &amp; Moore, P. W. B. (1980). Auditory sensitivity of northern fur seals (Callorhinus ursinus) and a California sea lion (Zalophus californianus) to airborne sound. J Acoust Soc Am, 68(S1), S6. https://doi.org/10.1121/1.2004876</t>
  </si>
  <si>
    <t>First aerial audiograms for northern fur seal (n=2) and California sea lion (n=1) -- conference abstract</t>
  </si>
  <si>
    <t>Registry row added 2026-09-27. Source is a 2-page conference-proceedings abstract, not a full journal article. Built same day; TSV upload pending (connector timeout, retry later).</t>
  </si>
  <si>
    <t>Terhune, J. M., &amp; Ronald, K. (1972). The harp seal, Pagophilus groenlandicus (Erxleben, 1777). III. The underwater audiogram. Canadian Journal of Zoology, 50(5), 565-569. https://doi.org/10.1139/z72-077</t>
  </si>
  <si>
    <t>Harp seal (Pagophilus groenlandicus) underwater audiogram, 0.76-100 kHz, single trained female</t>
  </si>
  <si>
    <t>Terhune, J. M., &amp; Ronald, K. (1975). Underwater hearing sensitivity of two ringed seals (Pusa hispida). Canadian Journal of Zoology, 53(3), 227-231. https://doi.org/10.1139/z75-028</t>
  </si>
  <si>
    <t>Ringed seal (Pusa hispida) underwater hearing sensitivity, two subjects</t>
  </si>
  <si>
    <t>Registry row added 2026-09-27. Species flag: distinct species from the companion Terhune_Ronald_1972 folder (harp seal) despite similar folder naming -- confirmed via title/abstract. Built same day; TSV upload pending (connector timeout, retry later).</t>
  </si>
  <si>
    <t>Thomas, J., Chun, N., Au, W., &amp; Pugh, K. (1988). Underwater audiogram of a false killer whale (Pseudorca crassidens). J Acoust Soc Am, 84(3), 936-940. https://doi.org/10.1121/1.396662</t>
  </si>
  <si>
    <t>False killer whale (Pseudorca crassidens) underwater thresholds, 2-115 kHz, two transducers</t>
  </si>
  <si>
    <t>Yuen, M. M. L., Nachtigall, P. E., Breese, M., &amp; Supin, A. Ya. (2005). Behavioral and auditory evoked potential audiograms of a false killer whale (Pseudorca crassidens). J Acoust Soc Am, 118(4), 2688-2695. https://doi.org/10.1121/1.2010350</t>
  </si>
  <si>
    <t>False killer whale behavioral audiogram thresholds (2001 and 2004 sessions), likely same subject as Thomas_etal_1988</t>
  </si>
  <si>
    <t>TABLE 1 Hemisphere and brain area weights</t>
  </si>
  <si>
    <t>RESTORED 2026-09-26: built item (snapshot, CSV, R, ReadMe, TSV) whose Sheet1 row was lost.</t>
  </si>
  <si>
    <t>TABLE 2 Cytoarchitecture analysis of sampled regions from the anterior frontoinsular region in raccoons</t>
  </si>
  <si>
    <t>TABLE 3 Cytoarchitecture analysis of the hilus of the dentate gyrus region in raccoons</t>
  </si>
  <si>
    <t>Control group</t>
  </si>
  <si>
    <t>TD group</t>
  </si>
  <si>
    <t>published Table 2</t>
  </si>
  <si>
    <t>RESTRICTED: personal communication (B. Pakkenberg); group means only; raw in ____Unpublished__</t>
  </si>
  <si>
    <t>published text values</t>
  </si>
  <si>
    <t>normative comparison group</t>
  </si>
  <si>
    <t>RESTRICTED: ERA personal communication; group summaries; raw in ____Unpublished__</t>
  </si>
  <si>
    <t>Changizi, M. A., &amp; He, D. (2005). Four correlates of complex behavioral networks: Differentiation, behavior, connectivity, and compartmentalization. Complexity, 10(6), 13–40. https://doi.org/10.1002/cplx.20085</t>
  </si>
  <si>
    <t>Examples of hierarchical relationships between nodes and structures across network types.</t>
  </si>
  <si>
    <t>Conceptual table, not species-level intelligence; include only if network-complexity metadata are in scope.</t>
  </si>
  <si>
    <t>https://doi.org/10.1002/cplx.20085</t>
  </si>
  <si>
    <t>Behavioral-network organization</t>
  </si>
  <si>
    <t>conceptual categories</t>
  </si>
  <si>
    <t>No numerical data. Retain only as conceptual metadata about network differentiation.</t>
  </si>
  <si>
    <t>Examples of lower-level and higher-level behavioral relationships across systems.</t>
  </si>
  <si>
    <t>Conceptual table, not a directly mergeable comparative species dataset.</t>
  </si>
  <si>
    <t>Behavioral hierarchy; repertoire complexity</t>
  </si>
  <si>
    <t>No numerical data. Conceptual description of behavioral hierarchy only.</t>
  </si>
  <si>
    <t>Deaner, R. O., Isler, K., Burkart, J., &amp; van Schaik, C. P. (2007). Overall brain size, and not encephalization quotient, best predicts cognitive ability across non-human primates. Brain, Behavior and Evolution, 70(2), 115–124. https://doi.org/10.1159/000102973</t>
  </si>
  <si>
    <t>Relationships between global cognitive ability and neuroanatomical measures/body weight using unweighted, weighted, and independent-contrast analyses.</t>
  </si>
  <si>
    <t>Statistical summary. Taxon-level cognition values are inherited from Deaner et al. (2006), not reproduced in this table.</t>
  </si>
  <si>
    <t>https://doi.org/10.1159/000102973</t>
  </si>
  <si>
    <t>General cognition; brain size; EQ; neocortex</t>
  </si>
  <si>
    <t>r-squared / F / p</t>
  </si>
  <si>
    <t>Useful correlation evidence, not taxon data. It does not reproduce the genus cognitive scores or neuroanatomical values.</t>
  </si>
  <si>
    <t>Predictive ability of eight hierarchical Bayesian model variants.</t>
  </si>
  <si>
    <t>Summary statistics rather than taxon-level measurements.</t>
  </si>
  <si>
    <t>Model performance; general cognition</t>
  </si>
  <si>
    <t>model summary</t>
  </si>
  <si>
    <t>No taxon traits. Useful only as model-validation metadata.</t>
  </si>
  <si>
    <t>Pair-wise probabilities comparing mean global cognitive variables among taxonomic groupings.</t>
  </si>
  <si>
    <t>Taxonomic-group summary; higher global variable means indicate worse performance in this table.</t>
  </si>
  <si>
    <t>Domain-general cognition</t>
  </si>
  <si>
    <t>posterior probability</t>
  </si>
  <si>
    <t>Optional clade-level result. Useful for group comparisons, but not species or genus scores.</t>
  </si>
  <si>
    <t>Reader, S. M., &amp; Laland, K. N. (2002). Social intelligence, innovation, and enhanced brain size in primates. Proceedings of the National Academy of Sciences, 99(7), 4436–4441. https://doi.org/10.1073/pnas.062041299</t>
  </si>
  <si>
    <t>P values from reanalysis of a limited field-only dataset for innovation, social learning, tool use, and executive brain ratio.</t>
  </si>
  <si>
    <t>Summary statistics only; raw species values are stated to be available from the authors, not printed in the table.</t>
  </si>
  <si>
    <t>https://doi.org/10.1073/pnas.062041299</t>
  </si>
  <si>
    <t>Innovation; social learning; tool use; executive brain ratio</t>
  </si>
  <si>
    <t>p value</t>
  </si>
  <si>
    <t>Do not extract as species data. It is a statistical summary. The underlying 2002 species counts are present in the Reader et al. 2011 CSV and are marked as superseded.</t>
  </si>
  <si>
    <t>Reader, S. M., Hager, Y., &amp; Laland, K. N. (2011). The evolution of primate general and cultural intelligence. Philosophical Transactions of the Royal Society B: Biological Sciences, 366(1567), 1017–1027. https://doi.org/10.1098/rstb.2010.0342</t>
  </si>
  <si>
    <t>PCA loadings for five cognitive measures and the primate general-intelligence component gS1.</t>
  </si>
  <si>
    <t>Summary across 62 species; species-level scores are not printed in this table.</t>
  </si>
  <si>
    <t>https://doi.org/10.1098/rstb.2010.0342</t>
  </si>
  <si>
    <t>General intelligence; innovation; social learning; tool use; extractive foraging; deception</t>
  </si>
  <si>
    <t>PCA loading</t>
  </si>
  <si>
    <t>Useful construct-validation result. It does not print the 62 species’ scores.</t>
  </si>
  <si>
    <t>PCA loadings for eight cognitive and socio-ecological measures and components gS2 and component 2.</t>
  </si>
  <si>
    <t>Summary across 44 species.</t>
  </si>
  <si>
    <t>General intelligence; diet; group size; behavioral flexibility</t>
  </si>
  <si>
    <t>Useful construct-validation result. No species values.</t>
  </si>
  <si>
    <t>Correlation matrix for cognitive and socio-ecological measures across primate species.</t>
  </si>
  <si>
    <t>Measures are corrected for research effort as described in the article.</t>
  </si>
  <si>
    <t>Behavioral flexibility; diet; group size</t>
  </si>
  <si>
    <t>correlation coefficient</t>
  </si>
  <si>
    <t>Useful correlation evidence. Not a source of species observations.</t>
  </si>
  <si>
    <t>Regressions relating primate general intelligence gS1 to four brain-size measures.</t>
  </si>
  <si>
    <t>Statistical summary; includes across-species and independent-contrast analyses.</t>
  </si>
  <si>
    <t>General intelligence; neocortex; executive brain ratio</t>
  </si>
  <si>
    <t>Useful brain–intelligence validation. No species scores or brain measurements.</t>
  </si>
  <si>
    <t>Shultz, S., &amp; Dunbar, R. I. M. (2010). Species differences in executive function correlate with hippocampus volume and neocortex ratio across nonhuman primates. Journal of Comparative Psychology, 124(3), 252–260. https://doi.org/10.1037/a0018894</t>
  </si>
  <si>
    <t>Presence/absence matrix showing which primate genera were represented in eight executive-function tasks.</t>
  </si>
  <si>
    <t>Useful coverage metadata, not performance values.</t>
  </si>
  <si>
    <t>https://doi.org/10.1037/a0018894</t>
  </si>
  <si>
    <t>Executive function task coverage</t>
  </si>
  <si>
    <t>presence/absence</t>
  </si>
  <si>
    <t>Useful sampling metadata only. It identifies taxon/task coverage, not performance scores.</t>
  </si>
  <si>
    <t>Univariate associations between executive-task performance and brain component measures.</t>
  </si>
  <si>
    <t>Model summary across tasks.</t>
  </si>
  <si>
    <t>Executive function; brain components</t>
  </si>
  <si>
    <t>slope / F / p / adjusted R-squared</t>
  </si>
  <si>
    <t>Useful correlation summary. No species-level observations.</t>
  </si>
  <si>
    <t>Best multivariate models relating executive performance to hippocampus, neocortex ratio, and brain measures.</t>
  </si>
  <si>
    <t>Executive function; hippocampus; neocortex; brain size</t>
  </si>
  <si>
    <t>model coefficients / BIC / weight</t>
  </si>
  <si>
    <t>Useful model evidence. No species rows.</t>
  </si>
  <si>
    <t>Task-specific correlation coefficients between performance and brain-size measures.</t>
  </si>
  <si>
    <t>Comparative task-level summary, not species rows.</t>
  </si>
  <si>
    <t>Executive tasks; brain components</t>
  </si>
  <si>
    <t>Task-by-task model comparison using BIC for alternative brain measures.</t>
  </si>
  <si>
    <t>Model comparison summary.</t>
  </si>
  <si>
    <t>BIC</t>
  </si>
  <si>
    <t>Model-selection metadata only.</t>
  </si>
  <si>
    <t>Weaver, A. H. (2005). Reciprocal evolution of the cerebellum and neocortex in fossil humans. Proc Natl Acad Sci U S A, 102(10), 3576-3580. https://doi.org/10.1073/pnas.0500692102</t>
  </si>
  <si>
    <t>no new extractable data table; quantitative content is derived from or reuses Weaver 2001 data already built in this repository. Retained to prevent duplicate work.</t>
  </si>
  <si>
    <t>Smaers, J. B., Mulvaney, P. I., Soligo, C., Zilles, K., &amp; Amunts, K. (2012). Sexual dimorphism and laterality in the evolution of the primate prefrontal cortex. Brain, Behavior and Evolution, 79(3), 205–212. https://doi.org/10.1159/000336115</t>
  </si>
  <si>
    <t>Armstrong, E., Zilles, K., Schlaug, G., &amp; Schleicher, A. (1986). Comparative aspects of the primate posterior cingulate cortex. Journal of Comparative Neurology, 253(4), 539–548.</t>
  </si>
  <si>
    <t>Pirlot, P. (1987). Contemporary brain morphology in ecological and ethological perspectives. Journal für Hirnforschung, 28(2), 145–211.</t>
  </si>
  <si>
    <t>not raw data</t>
  </si>
  <si>
    <t>Kamiya, T., &amp; Pirlot, P. (1988). The brain of the Malayan bear (Helarctos malayanus). Zeitschrift für Zoologische Systematik und Evolutionsforschung, 26(3), 225–235. https://doi.org/10.1111/j.1439-0469.1988.tb00312.x</t>
  </si>
  <si>
    <t>Pirlot, P. (1974). Size and activity of brain structures. Zeitschrift für Zoologische Systematik und Evolutionsforschung, 12(1), 152–155. https://doi.org/10.1111/j.1439-0469.1974.tb00162.x</t>
  </si>
  <si>
    <t>no data</t>
  </si>
  <si>
    <t>Jolicoeur, P., Pirlot, P., Baron, G., &amp; Stephan, H. (1984). Brain structure and correlation patterns in Insectivora, Chiroptera, and Primates. Systematic Zoology, 33(1), 14–29.</t>
  </si>
  <si>
    <t>10.0001%2Fplaceholder_TABLEI.tsv</t>
  </si>
  <si>
    <t>10.1002%2F(SICI)1096-8644(199806)106%3A2%3C129%3A%3AAID-AJPA3%3E3.0.CO;2-L_TABLE2.tsv</t>
  </si>
  <si>
    <t>10.1002%2F(SICI)1096-8644(199806)106%3A2%3C129%3A%3AAID-AJPA3%3E3.0.CO;2-L_TABLE4.tsv</t>
  </si>
  <si>
    <t>10.1002%2F(sici)1096-9861(19971006)386%3A4%3C661%3A%3AAid-cne11%3E3.0.Co;2-n_Table1.tsv</t>
  </si>
  <si>
    <t>10.1002%2F(sici)1096-9861(19971006)386%3A4%3C661%3A%3AAid-cne11%3E3.0.Co;2-n_Table2.tsv</t>
  </si>
  <si>
    <t>10.1002%2F1096-8644(200102)114%3A2%3C163%3A%3AAID-AJPA1016%3E3.0.CO;2-F_TABLE2.tsv</t>
  </si>
  <si>
    <t>10.1002%2F1096-8644(200103)114%3A3%3C224%3A%3AAID-AJPA1022%3E3.0.CO;2-I_TABLE2.tsv</t>
  </si>
  <si>
    <t>10.1002%2F1096-8644(200103)114%3A3%3C224%3A%3AAID-AJPA1022%3E3.0.CO;2-I_TABLE3.tsv</t>
  </si>
  <si>
    <t>10.1002%2Fajp.20048_TABLEI.tsv</t>
  </si>
  <si>
    <t>10.1002%2Fajp.20048_unpublishedviaDeCasien.tsv</t>
  </si>
  <si>
    <t>10.1002%2Fajpa.1330510308_Tables1-9.tsv</t>
  </si>
  <si>
    <t>10.1002%2Fajpa.20684_TABLE1.tsv</t>
  </si>
  <si>
    <t>10.1002%2Fajpa.22646_Fig4A.tsv</t>
  </si>
  <si>
    <t>10.1002%2Fajpa.22646_Fig5A.tsv</t>
  </si>
  <si>
    <t>10.1002%2Fajpa.22646_TABLE1.tsv</t>
  </si>
  <si>
    <t>10.1002%2Fajpa.22646_TABLE2.tsv</t>
  </si>
  <si>
    <t>10.1002%2Fajpa.22646_unpublishedviaDeCasien.tsv</t>
  </si>
  <si>
    <t>10.1002%2Far.20829 _Table1.tsv</t>
  </si>
  <si>
    <t>10.1002%2Far.a.20114_TABLE1.tsv</t>
  </si>
  <si>
    <t>10.1002%2Far.a.20114_TABLE2.tsv</t>
  </si>
  <si>
    <t>10.1002%2Far.a.20114_TABLE3.tsv</t>
  </si>
  <si>
    <t>10.1002%2Far.a.20116_Table1.tsv</t>
  </si>
  <si>
    <t>10.1002%2Far.a.20117_Table1.tsv</t>
  </si>
  <si>
    <t>10.1002%2Far.a.20255_Table2.tsv</t>
  </si>
  <si>
    <t>10.1002%2Far.a.20278_Table1.tsv</t>
  </si>
  <si>
    <t>10.1002%2Fcne.22055_Table1.tsv</t>
  </si>
  <si>
    <t>10.1002%2Fcne.22055_Table5.tsv</t>
  </si>
  <si>
    <t>10.1002%2Fcne.22055_Table6.tsv</t>
  </si>
  <si>
    <t>10.1002%2Fcne.23118_Table1.tsv</t>
  </si>
  <si>
    <t>10.1002%2Fcne.23118_Table3.tsv</t>
  </si>
  <si>
    <t>10.1002%2Fcne.23792_Table2.tsv</t>
  </si>
  <si>
    <t>10.1002%2Fcne.23841_Table1.tsv</t>
  </si>
  <si>
    <t>10.1002%2Fcne.23929_Table4.tsv</t>
  </si>
  <si>
    <t>10.1002%2Fcne.24022_Table1.tsv</t>
  </si>
  <si>
    <t>10.1002%2Fcne.24349_Table3.tsv</t>
  </si>
  <si>
    <t>10.1002%2Fcne.24349_Table5.tsv</t>
  </si>
  <si>
    <t>10.1002%2Fcne.24605_TABLE1.tsv</t>
  </si>
  <si>
    <t>10.1002%2Fcne.24605_TABLE2.tsv</t>
  </si>
  <si>
    <t>10.1002%2Fcne.24823_Table2.tsv</t>
  </si>
  <si>
    <t>10.1002%2Fcne.24985_TABLE1.tsv</t>
  </si>
  <si>
    <t>10.1002%2Fcne.24985_TABLE2.tsv</t>
  </si>
  <si>
    <t>10.1002%2Fcne.25197_FIGURE4.tsv</t>
  </si>
  <si>
    <t>10.1002%2Fcne.25197_TABLE1.tsv</t>
  </si>
  <si>
    <t>10.1002%2Fcne.25197_TABLE2.tsv</t>
  </si>
  <si>
    <t>10.1002%2Fcne.25197_TABLE3.tsv</t>
  </si>
  <si>
    <t>10.1002%2Fcne.25669_TABLE1.tsv</t>
  </si>
  <si>
    <t>10.1002%2Fcne.70089_TABLE1.tsv</t>
  </si>
  <si>
    <t>10.1002%2Fcne.901270108_Table2.tsv</t>
  </si>
  <si>
    <t>10.1002%2Fcne.902530408_Table1.tsv</t>
  </si>
  <si>
    <t>10.1002%2Fcne.902530408_Table2.tsv</t>
  </si>
  <si>
    <t>10.1002%2Fcne.903170302_TABLE1.tsv</t>
  </si>
  <si>
    <t>10.1002%2Fcne.903580203_TABLE1.tsv</t>
  </si>
  <si>
    <t>10.1002%2Fcne.903580203_TABLE2.tsv</t>
  </si>
  <si>
    <t>10.1002%2Fcne.903580203_TABLE3.tsv</t>
  </si>
  <si>
    <t>10.1002%2Fcne.903580203_TABLE4.tsv</t>
  </si>
  <si>
    <t>10.1002%2Fcne.903580203_TABLE5.tsv</t>
  </si>
  <si>
    <t>10.1002%2Fdneu.22554_Table2.tsv</t>
  </si>
  <si>
    <t>10.1002%2Fdneu.22554_Table3.tsv</t>
  </si>
  <si>
    <t>10.1002%2Fjez.70069_SupplementaryFile1.tsv</t>
  </si>
  <si>
    <t>10.1002%2Fjez.70069_SupplementaryFile2.tsv</t>
  </si>
  <si>
    <t>10.1002%2Fjez.70069_SupplementaryFile3.tsv</t>
  </si>
  <si>
    <t>10.1006%2Fjhev.1996.0005_Table1.tsv</t>
  </si>
  <si>
    <t>10.1006%2Fjhev.1999.0313_Table1.tsv</t>
  </si>
  <si>
    <t>10.1006%2Fjhev.1999.0381_Table2.tsv</t>
  </si>
  <si>
    <t>10.1006%2Fjtbi.2003.3125_Table1.tsv</t>
  </si>
  <si>
    <t>10.1007%2F978-1-4419-8873-7_20_Table1.tsv</t>
  </si>
  <si>
    <t>10.1007%2F978-1-4419-8873-7_20_Table2.tsv</t>
  </si>
  <si>
    <t>10.1007%2FBF00519885_Tables1-2.tsv</t>
  </si>
  <si>
    <t>10.1007%2FBF00522811_Tables3-4.tsv</t>
  </si>
  <si>
    <t>10.1007%2Fs00359-020-01424-8_Figure3.tsv</t>
  </si>
  <si>
    <t>10.1007%2Fs004220000205_Figure3.tsv</t>
  </si>
  <si>
    <t>10.1007%2Fs00429-012-0462-x_Table1.tsv</t>
  </si>
  <si>
    <t>10.1007%2Fs00429-014-0792-y _Table1.tsv</t>
  </si>
  <si>
    <t>10.1007%2Fs00429-014-0830-9_Table1.tsv</t>
  </si>
  <si>
    <t>10.1007%2Fs00429-014-0830-9_Table3.tsv</t>
  </si>
  <si>
    <t>10.1007%2Fs00429-014-0830-9_Table4.tsv</t>
  </si>
  <si>
    <t>10.1007%2Fs00429-019-01885-x_Table2.tsv</t>
  </si>
  <si>
    <t>10.1007%2Fs10329-026-01271-2_data.tsv</t>
  </si>
  <si>
    <t>10.1016%2F0047-2484(92)90081-J_Table1.tsv</t>
  </si>
  <si>
    <t>10.1016%2FB978-0-12-394282-1.00004-1_Table4.1.tsv</t>
  </si>
  <si>
    <t>10.1016%2Fj.cortex.2018.09.008_TableS3.tsv</t>
  </si>
  <si>
    <t>10.1016%2Fj.cortex.2019.04.011_S1.tsv</t>
  </si>
  <si>
    <t>10.1016%2Fj.cortex.2019.04.011_Table1.tsv</t>
  </si>
  <si>
    <t>10.1016%2Fj.cub.2004.12.064_Fig2.tsv</t>
  </si>
  <si>
    <t>10.1016%2Fj.cub.2017.01.020_TableS1part1.tsv</t>
  </si>
  <si>
    <t>10.1016%2Fj.cub.2017.01.020_TableS1part2.tsv</t>
  </si>
  <si>
    <t>10.1016%2Fj.jhevol.2004.10.003_Table1.tsv</t>
  </si>
  <si>
    <t>10.1016%2Fj.jhevol.2005.06.004_Appendix1.tsv</t>
  </si>
  <si>
    <t>10.1016%2Fj.jhevol.2005.06.004_Table1.tsv</t>
  </si>
  <si>
    <t>10.1016%2Fj.jhevol.2008.08.004_Table2.tsv</t>
  </si>
  <si>
    <t>10.1016%2Fj.jhevol.2008.08.004_Table7.tsv</t>
  </si>
  <si>
    <t>10.1016%2Fj.jhevol.2008.08.004_TableS1.tsv</t>
  </si>
  <si>
    <t>10.1016%2Fj.jhevol.2008.08.004_TableS2.tsv</t>
  </si>
  <si>
    <t>10.1016%2Fj.jhevol.2008.08.004_TableS3.tsv</t>
  </si>
  <si>
    <t>10.1016%2Fj.jhevol.2009.11.011_SupTable2.tsv</t>
  </si>
  <si>
    <t>10.1016%2Fj.jhevol.2009.11.011_Table1.tsv</t>
  </si>
  <si>
    <t>10.1016%2Fj.jhevol.2012.03.007_Table2.tsv</t>
  </si>
  <si>
    <t>10.1016%2Fj.jhevol.2012.03.007_Table3.tsv</t>
  </si>
  <si>
    <t>10.1016%2Fj.jhevol.2012.03.007_Table5.tsv</t>
  </si>
  <si>
    <t>10.1016%2Fj.jhevol.2012.12.003_Table1.tsv</t>
  </si>
  <si>
    <t>10.1016%2Fj.jhevol.2012.12.003_Table2.tsv</t>
  </si>
  <si>
    <t>10.1016%2Fj.jhevol.2012.12.003_Table3.tsv</t>
  </si>
  <si>
    <t>10.1016%2Fj.jhevol.2017.09.003_Table1.tsv</t>
  </si>
  <si>
    <t>10.1016%2Fj.jhevol.2018.10.002_SOMTableS6.tsv</t>
  </si>
  <si>
    <t>10.1016%2Fj.neubiorev.2008.05.023_Table1.tsv</t>
  </si>
  <si>
    <t>10.1016%2Fj.neubiorev.2008.05.023_Table2.tsv</t>
  </si>
  <si>
    <t>10.1016%2Fj.neubiorev.2022.104550_acuityblind.csv.tsv</t>
  </si>
  <si>
    <t>10.1016%2Fj.neurobiolaging.2009.05.013_normativevolumes.tsv</t>
  </si>
  <si>
    <t>10.1016%2Fj.neuroimage.2023.120283_Fig.1.tsv</t>
  </si>
  <si>
    <t>10.1016%2Fj.resp.2004.01.006_Table1.tsv</t>
  </si>
  <si>
    <t>10.1016%2Fj.resp.2004.01.006_TableA.1.tsv</t>
  </si>
  <si>
    <t>10.1016%2Fj.tins.2013.01.006_Table1.tsv</t>
  </si>
  <si>
    <t>10.1016%2Fj.tree.2018.03.001_TableS1.tsv</t>
  </si>
  <si>
    <t>10.1016%2Fj.zool.2020.125753_SupplementaryTable.tsv</t>
  </si>
  <si>
    <t>10.1016%2Fs0047-2484(03)00028-9_Table1.tsv</t>
  </si>
  <si>
    <t>10.1016%2Fs0047-2484(03)00028-9_Table2.tsv</t>
  </si>
  <si>
    <t>10.1016%2Fs0166-4328(98)00151-x_References.tsv</t>
  </si>
  <si>
    <t>10.1016%2Fs0166-4328(98)00151-x_Table1.tsv</t>
  </si>
  <si>
    <t>10.1016%2FS0168-1591(98)00101-4_Table1.tsv</t>
  </si>
  <si>
    <t>10.1017%2Fs0952523800000213_Table1.tsv</t>
  </si>
  <si>
    <t>10.1017%2FS1464793106007019_Table1.tsv</t>
  </si>
  <si>
    <t>10.1037%2F0735-7036.112.4.371_Figure6.tsv</t>
  </si>
  <si>
    <t>10.1037%2F0735-7036.115.1.29_Table1.tsv</t>
  </si>
  <si>
    <t>10.1037%2F0735-7036.115.1.29_Table2.tsv</t>
  </si>
  <si>
    <t>10.1037%2F0735-7036.115.1.29_Table3.tsv</t>
  </si>
  <si>
    <t>10.1037%2F0735-7036.115.1.29_Table4.tsv</t>
  </si>
  <si>
    <t>10.1038%2Fnn814_Table1.tsv</t>
  </si>
  <si>
    <t>10.1038%2Fs41467-020-14356-3_SupplementaryData3.tsv</t>
  </si>
  <si>
    <t>10.1038%2Fs41559-017-0112_BrainData.tsv</t>
  </si>
  <si>
    <t>10.1038%2Fs41559-017-0112_referencesbraindata.tsv</t>
  </si>
  <si>
    <t>10.1038%2Fs41559-019-0969-0_ActivityPeriodData.tsv</t>
  </si>
  <si>
    <t>10.1038%2Fs41559-019-0969-0_BrainRegionDatamm3.tsv</t>
  </si>
  <si>
    <t>10.1038%2Fs41559-019-0969-0_BrainRegionDataNotes.tsv</t>
  </si>
  <si>
    <t>10.1038%2Fs41559-019-0969-0_DietData.tsv</t>
  </si>
  <si>
    <t>10.1038%2Fs41559-019-0969-0_DQIdata.tsv</t>
  </si>
  <si>
    <t>10.1038%2Fs41559-019-0969-0_GroupSizeDataaggregated.tsv</t>
  </si>
  <si>
    <t>10.1038%2Fs41559-019-0969-0_GroupSizeDatafrom38.tsv</t>
  </si>
  <si>
    <t>10.1038%2Fs41559-019-0969-0_referencesbraindata.tsv</t>
  </si>
  <si>
    <t>10.1038%2Fs41559-019-0969-0_SocialSystemData.tsv</t>
  </si>
  <si>
    <t>10.1038%2Fs41559-019-0969-0_SourceRefsfrom38.tsv</t>
  </si>
  <si>
    <t>10.1038%2Fs41559-026-02994-7_CFFdataset.tsv</t>
  </si>
  <si>
    <t>10.1038%2Fs41598-018-24331-0_ExtendedDataFigure4.tsv</t>
  </si>
  <si>
    <t>10.1038%2Fs41598-018-24331-0_ExtendedDataTable1.tsv</t>
  </si>
  <si>
    <t>10.1038%2Fs41598-018-24331-0_ExtendedDataTable3.tsv</t>
  </si>
  <si>
    <t>10.1038%2Fs41598-018-24331-0_Figure3A.tsv</t>
  </si>
  <si>
    <t>10.1038%2Fs41598-018-24331-0_Figure3B.tsv</t>
  </si>
  <si>
    <t>10.1038%2Fs41598-018-24331-0_Figure3legend.tsv</t>
  </si>
  <si>
    <t>10.1038%2Fs41598-018-24331-0_FossilSpecimensText.tsv</t>
  </si>
  <si>
    <t>10.1038%2Fs41598-018-26062-8_Table1.tsv</t>
  </si>
  <si>
    <t>10.1038%2Fs41598-018-26062-8_TableS1.tsv</t>
  </si>
  <si>
    <t>10.1038%2Fs41598-018-26062-8_TableS5.tsv</t>
  </si>
  <si>
    <t>10.1038%2Fs42003-025-08686-5_SupplementaryData1.tsv</t>
  </si>
  <si>
    <t>10.1038%2Fsrep24528_TableS1.tsv</t>
  </si>
  <si>
    <t>10.1073%2Fpnas.0305760101_Table2.tsv</t>
  </si>
  <si>
    <t>10.1073%2Fpnas.0905777106_TableS1.tsv</t>
  </si>
  <si>
    <t>10.1073%2Fpnas.0905777106_TableS2.tsv</t>
  </si>
  <si>
    <t>10.1073%2Fpnas.1010356107_DatasetS1.tsv</t>
  </si>
  <si>
    <t>10.1073%2Fpnas.1318894110_Table1.tsv</t>
  </si>
  <si>
    <t>10.1073%2Fpnas.1517131113_DatasetS1.tsv</t>
  </si>
  <si>
    <t>10.1073%2Fpnas.1524208113_Table1.tsv</t>
  </si>
  <si>
    <t>10.1073%2Fpnas.1610178113_TableS1.tsv</t>
  </si>
  <si>
    <t>10.1073%2Fpnas.1716956116_SupplementaryTableS1.tsv</t>
  </si>
  <si>
    <t>10.1073%2Fpnas.1911264116_ERABIS(cortical).tsv</t>
  </si>
  <si>
    <t>10.1073%2Fpnas.1911264116_subcortical.tsv</t>
  </si>
  <si>
    <t>10.1073%2Fpnas.96.9.5268 _Table1.tsv</t>
  </si>
  <si>
    <t>10.1073%2Fpnas.96.9.5268 _Table2.tsv</t>
  </si>
  <si>
    <t>10.1080%2F09524622.2021.1905065_Figure1.tsv</t>
  </si>
  <si>
    <t>10.1093%2Fcercor%2F11.6.558_Table1.tsv</t>
  </si>
  <si>
    <t>10.1093%2Fcercor%2F11.6.558_Table2.tsv</t>
  </si>
  <si>
    <t>10.1093%2Fcercor%2Fbhp158_Table1.tsv</t>
  </si>
  <si>
    <t>10.1093%2Fcercor%2Fbhp158_Table2.tsv</t>
  </si>
  <si>
    <t>10.1093%2Fcercor%2Fbhr033_authordata(groupmeans).tsv</t>
  </si>
  <si>
    <t>10.1093%2Fcercor%2Fbhr033_reportedvalues.tsv</t>
  </si>
  <si>
    <t>10.1093%2Fcercor%2Fbhr033_Table2.tsv</t>
  </si>
  <si>
    <t>10.1093%2Fcercor%2Fbhs239_Table1.tsv</t>
  </si>
  <si>
    <t>10.1093%2Fcercor%2Fbhs239_Table2.tsv</t>
  </si>
  <si>
    <t>10.1093%2Fcercor%2Fbhy315_Table4.tsv</t>
  </si>
  <si>
    <t>10.1093%2Fjmammal%2Fgyz043_SupplementaryDataSD1.tsv</t>
  </si>
  <si>
    <t>10.1093%2Fnar%2Fgkad927_anagedata.txt.tsv</t>
  </si>
  <si>
    <t>10.1093%2Foso%2F9780198568742.003.0006_Table6.1.tsv</t>
  </si>
  <si>
    <t>10.1093%2Fscan%2Fnsv128_TableS1.tsv</t>
  </si>
  <si>
    <t>10.1093%2Fscan%2Fnsv128_TableS2.tsv</t>
  </si>
  <si>
    <t>10.1098%2Frsos.170846_TableS1.tsv</t>
  </si>
  <si>
    <t>10.1098%2Frspb.2015.1853_Table1.tsv</t>
  </si>
  <si>
    <t>10.1098%2Frspb.2015.1853_Table2.tsv</t>
  </si>
  <si>
    <t>10.1098%2Frspb.2016.1923_TableS1.tsv</t>
  </si>
  <si>
    <t>10.1098%2Frspb.2017.1765_Dataset1.tsv</t>
  </si>
  <si>
    <t>10.1098%2Frspb.2019.2208_rspb20192208si002.tsv</t>
  </si>
  <si>
    <t>10.1098%2Frspb.2021.0937_MammalGait.tsv</t>
  </si>
  <si>
    <t>10.1098%2Frstb.1998.0276_Table2.tsv</t>
  </si>
  <si>
    <t>10.1098%2Frstb.2010.0342_Data.tsv</t>
  </si>
  <si>
    <t>10.1098%2Frstb.2015.0186_Data.tsv</t>
  </si>
  <si>
    <t>10.1111%2Fbrv.12137_Table1.tsv</t>
  </si>
  <si>
    <t>10.1111%2Fbrv.12350_TableS2.tsv</t>
  </si>
  <si>
    <t>10.1111%2Fj.1420-9101.2012.02491.x_TableS1.tsv</t>
  </si>
  <si>
    <t>10.1111%2Fj.1439-0469.1970.tb00876.x_Table1.tsv</t>
  </si>
  <si>
    <t>10.1111%2Fj.1439-0469.1988.tb00644.x_Table1.tsv</t>
  </si>
  <si>
    <t>10.1111%2Fj.1558-5646.2008.00392.x_sleep-dataFemale.tsv</t>
  </si>
  <si>
    <t>10.1111%2Fj.1558-5646.2008.00392.x_sleep-dataMale.tsv</t>
  </si>
  <si>
    <t>10.1111%2Fj.1558-5646.2008.00392.x_sleep-dataMixed.tsv</t>
  </si>
  <si>
    <t>10.1111%2Fj.1749-6632.2011.05978.x_TableS1.tsv</t>
  </si>
  <si>
    <t>10.1111%2Fj.1749-6632.2011.05978.x_TableS2.tsv</t>
  </si>
  <si>
    <t>10.1111%2Fj.1749-6632.2011.05978.x_TableS3.tsv</t>
  </si>
  <si>
    <t>10.1111%2Fj.1749-6632.2011.06036.x_TableS1a.tsv</t>
  </si>
  <si>
    <t>10.1111%2Fj.1749-6632.2011.06036.x_TableS1b.tsv</t>
  </si>
  <si>
    <t>10.1111%2Fj.1749-6632.2011.06036.x_TableS2.tsv</t>
  </si>
  <si>
    <t>10.1111%2Fj.1749-6632.2011.06036.x_TableS3.tsv</t>
  </si>
  <si>
    <t>10.1111%2Fj.1749-6632.2011.06036.x_TableS4.tsv</t>
  </si>
  <si>
    <t>10.1111%2Fj.1749-6632.2011.06036.x_TableS5a.tsv</t>
  </si>
  <si>
    <t>10.1111%2Fj.1749-6632.2011.06036.x_TableS5b.tsv</t>
  </si>
  <si>
    <t>10.1111%2Fjoa.13681_Table1.tsv</t>
  </si>
  <si>
    <t>10.1111%2Fjzo.12608_TableS1.tsv</t>
  </si>
  <si>
    <t>10.1121%2F1.4904529_TableI.tsv</t>
  </si>
  <si>
    <t>10.1126%2Fsciadv.abn0954_Reportedresults.tsv</t>
  </si>
  <si>
    <t>10.1126%2Fscience.aaa9101_TableS1.tsv</t>
  </si>
  <si>
    <t>10.1159%2F000006575_Table1.tsv</t>
  </si>
  <si>
    <t>10.1159%2F000068879_Table1.tsv</t>
  </si>
  <si>
    <t>10.1159%2F000068880_Table1.tsv</t>
  </si>
  <si>
    <t>10.1159%2F000075672_Table4.tsv</t>
  </si>
  <si>
    <t>10.1159%2F000075672_Table5.tsv</t>
  </si>
  <si>
    <t>10.1159%2F000085942_Table1.tsv</t>
  </si>
  <si>
    <t>10.1159%2F000085942_Table2.tsv</t>
  </si>
  <si>
    <t>10.1159%2F000085942_Table3.tsv</t>
  </si>
  <si>
    <t>10.1159%2F000085942_Table4.tsv</t>
  </si>
  <si>
    <t>10.1159%2F000085942_Table5.tsv</t>
  </si>
  <si>
    <t>10.1159%2F000101491_Table1.tsv</t>
  </si>
  <si>
    <t>10.1159%2F000118700_TableI.tsv</t>
  </si>
  <si>
    <t>10.1159%2F000121494_TableI.tsv</t>
  </si>
  <si>
    <t>10.1159%2F000123814_Table1.tsv</t>
  </si>
  <si>
    <t>10.1159%2F000124401_TableI.tsv</t>
  </si>
  <si>
    <t>10.1159%2F000155963_TableI.tsv</t>
  </si>
  <si>
    <t>10.1159%2F000155963_TableII.tsv</t>
  </si>
  <si>
    <t>10.1159%2F000155963_TableIII.tsv</t>
  </si>
  <si>
    <t>10.1159%2F000155963_TableIV.tsv</t>
  </si>
  <si>
    <t>10.1159%2F000155963_TableIX.tsv</t>
  </si>
  <si>
    <t>10.1159%2F000155963_TableV.tsv</t>
  </si>
  <si>
    <t>10.1159%2F000155963_TableVI.tsv</t>
  </si>
  <si>
    <t>10.1159%2F000155963_TableVII.tsv</t>
  </si>
  <si>
    <t>10.1159%2F000155963_TableVIII.tsv</t>
  </si>
  <si>
    <t>10.1159%2F000155963_TableX.tsv</t>
  </si>
  <si>
    <t>10.1159%2F000155963_TableXI.tsv</t>
  </si>
  <si>
    <t>10.1159%2F000155963_TableXII.tsv</t>
  </si>
  <si>
    <t>10.1159%2F000155963_TableXIII.tsv</t>
  </si>
  <si>
    <t>10.1159%2F000155963_TableXIV.tsv</t>
  </si>
  <si>
    <t>10.1159%2F000155963_TableXV.tsv</t>
  </si>
  <si>
    <t>10.1159%2F000155963_TableXVI.tsv</t>
  </si>
  <si>
    <t>10.1159%2F000156211_Table1.tsv</t>
  </si>
  <si>
    <t>10.1159%2F000156212_Table1.tsv</t>
  </si>
  <si>
    <t>10.1159%2F000156277_TableI.tsv</t>
  </si>
  <si>
    <t>10.1159%2F000319019_SupplementaryTable1.tsv</t>
  </si>
  <si>
    <t>10.1159%2F000319019_Table1.tsv</t>
  </si>
  <si>
    <t>10.1159%2F000323671_SupplementaryTable1.tsv</t>
  </si>
  <si>
    <t>10.1159%2F000323671_SupplementaryTable2.tsv</t>
  </si>
  <si>
    <t>10.1159%2F000346495_Table1.tsv</t>
  </si>
  <si>
    <t>10.1159%2F000357830_SupplementalTable1.tsv</t>
  </si>
  <si>
    <t>10.1159%2F000437413_Table1.tsv</t>
  </si>
  <si>
    <t>10.1159%2F000437413_Table2.tsv</t>
  </si>
  <si>
    <t>10.1159%2F000437413_Table3.tsv</t>
  </si>
  <si>
    <t>10.1159%2F000437413_Table4.tsv</t>
  </si>
  <si>
    <t>10.1159%2F000437413_Table5.tsv</t>
  </si>
  <si>
    <t>10.1159%2F000446762_Table1.tsv</t>
  </si>
  <si>
    <t>10.1159%2F000452856_TableS1.tsv</t>
  </si>
  <si>
    <t>10.1177%2F147470490600400114_Table1.tsv</t>
  </si>
  <si>
    <t>10.1186%2F1741-7007-5-18_TableS1.tsv</t>
  </si>
  <si>
    <t>10.1186%2F1741-7007-5-18_TableS10.tsv</t>
  </si>
  <si>
    <t>10.1186%2F1741-7007-5-18_TableS11.tsv</t>
  </si>
  <si>
    <t>10.1186%2F1741-7007-5-18_TableS12.tsv</t>
  </si>
  <si>
    <t>10.1186%2F1741-7007-5-18_TableS13.tsv</t>
  </si>
  <si>
    <t>10.1186%2F1741-7007-5-18_TableS14.tsv</t>
  </si>
  <si>
    <t>10.1186%2F1741-7007-5-18_TableS15.tsv</t>
  </si>
  <si>
    <t>10.1186%2F1741-7007-5-18_TableS16.tsv</t>
  </si>
  <si>
    <t>10.1186%2F1741-7007-5-18_TableS17.tsv</t>
  </si>
  <si>
    <t>10.1186%2F1741-7007-5-18_TableS18.tsv</t>
  </si>
  <si>
    <t>10.1186%2F1741-7007-5-18_TableS19.tsv</t>
  </si>
  <si>
    <t>10.1186%2F1741-7007-5-18_TableS2.tsv</t>
  </si>
  <si>
    <t>10.1186%2F1741-7007-5-18_TableS20.tsv</t>
  </si>
  <si>
    <t>10.1186%2F1741-7007-5-18_TableS21.tsv</t>
  </si>
  <si>
    <t>10.1186%2F1741-7007-5-18_TableS22.tsv</t>
  </si>
  <si>
    <t>10.1186%2F1741-7007-5-18_TableS23.tsv</t>
  </si>
  <si>
    <t>10.1186%2F1741-7007-5-18_TableS3.tsv</t>
  </si>
  <si>
    <t>10.1186%2F1741-7007-5-18_TableS4.tsv</t>
  </si>
  <si>
    <t>10.1186%2F1741-7007-5-18_TableS5.tsv</t>
  </si>
  <si>
    <t>10.1186%2F1741-7007-5-18_TableS6.tsv</t>
  </si>
  <si>
    <t>10.1186%2F1741-7007-5-18_TableS7.tsv</t>
  </si>
  <si>
    <t>10.1186%2F1741-7007-5-18_TableS8.tsv</t>
  </si>
  <si>
    <t>10.1186%2F1741-7007-5-18_TableS9.tsv</t>
  </si>
  <si>
    <t>10.1186%2Fs12915-024-02038-1_Table1.tsv</t>
  </si>
  <si>
    <t>10.1242%2Fjeb.124826_TableS1.tsv</t>
  </si>
  <si>
    <t>10.1242%2Fjeb.204651_celldensity.tsv</t>
  </si>
  <si>
    <t>10.1242%2Fjeb.204651_cellnumber.tsv</t>
  </si>
  <si>
    <t>10.1242%2Fjeb.204651_volumes.tsv</t>
  </si>
  <si>
    <t>10.1371%2Fjournal.pbio.1002000_TableS1.tsv</t>
  </si>
  <si>
    <t>10.1371%2Fjournal.pbio.1002000_TableS8.tsv</t>
  </si>
  <si>
    <t>10.1371%2Fjournal.pbio.3000494_DNAonlyMCC.tsv</t>
  </si>
  <si>
    <t>10.1371%2Fjournal.pone.0009123_Table1.tsv</t>
  </si>
  <si>
    <t>10.1371%2Fjournal.pone.0110356_DataS1.tsv</t>
  </si>
  <si>
    <t>10.1371%2Fjournal.pone.0274170_Findings.tsv</t>
  </si>
  <si>
    <t>10.1523%2FJNEUROSCI.13-12-05105.1993_Table1.tsv</t>
  </si>
  <si>
    <t>10.1523%2FJNEUROSCI.17-18-07079.1997_Table1.tsv</t>
  </si>
  <si>
    <t>10.1523%2FJNEUROSCI.1750-23.2024_Table2.tsv</t>
  </si>
  <si>
    <t>10.1523%2FJNEUROSCI.20-18-j0002.2000_Figure2.tsv</t>
  </si>
  <si>
    <t>10.1523%2FJNEUROSCI.21-17-j0002.2001_Table1.tsv</t>
  </si>
  <si>
    <t>10.1523%2FJNEUROSCI.2339-19.2020_Table1.tsv</t>
  </si>
  <si>
    <t>10.1523%2FJNEUROSCI.2339-19.2020_unpublished.tsv</t>
  </si>
  <si>
    <t>10.1523%2FJNEUROSCI.2909-13.2013_ResultsText.tsv</t>
  </si>
  <si>
    <t>10.1537%2Fase1911.100.69_Table1.tsv</t>
  </si>
  <si>
    <t>10.1537%2Fase1911.100.69_Table2.tsv</t>
  </si>
  <si>
    <t>10.1537%2Fase1911.100.69_Table3.tsv</t>
  </si>
  <si>
    <t>10.1537%2Fase1911.100.69_Table4.tsv</t>
  </si>
  <si>
    <t>10.1890%2F13-1917.1_MamFuncDat.tsv</t>
  </si>
  <si>
    <t>10.2307%2F3626308_Table2.tsv</t>
  </si>
  <si>
    <t>10.26451%2Fabc.09.04.06.2022_speciespredictors.tsv</t>
  </si>
  <si>
    <t>10.3389%2Ffnana.2013.00028_Table1.tsv</t>
  </si>
  <si>
    <t>10.3389%2Ffnana.2013.00035_Figure2TopLeft.tsv</t>
  </si>
  <si>
    <t>10.3389%2Ffnana.2013.00035_Table1-a.tsv</t>
  </si>
  <si>
    <t>10.3389%2Ffnana.2013.00035_Table1-b.tsv</t>
  </si>
  <si>
    <t>10.3389%2Ffnana.2014.00128_Table1.tsv</t>
  </si>
  <si>
    <t>10.3389%2Ffnana.2015.00039_TABLE1.tsv</t>
  </si>
  <si>
    <t>10.3389%2Ffnana.2017.00118_Table1.tsv</t>
  </si>
  <si>
    <t>10.3389%2Ffncir.2013.00030_Table1.tsv</t>
  </si>
  <si>
    <t>10.3389%2Ffnhum.2013.00424_TableA1.tsv</t>
  </si>
  <si>
    <t>10.3389%2Ffnhum.2014.00277_Table1.tsv</t>
  </si>
  <si>
    <t>10.3389%2Ffnins.2021.632853_TABLE1.tsv</t>
  </si>
  <si>
    <t>10.7554%2FeLife.35696_Figure2-data1.tsv</t>
  </si>
  <si>
    <t>10.7554%2FeLife.77875_Supplementaryfile3.tsv</t>
  </si>
  <si>
    <t>10.7554%2FeLife.77875_Table1.tsv</t>
  </si>
  <si>
    <t>10.7554%2FeLife.85907_Data.tsv</t>
  </si>
  <si>
    <t>ISBN%3A0390672505_TABLE1.tsv</t>
  </si>
  <si>
    <t>ISBN%3A0390672505_TABLE2.tsv</t>
  </si>
  <si>
    <t>ISBN%3A0390672505_TABLE3.tsv</t>
  </si>
  <si>
    <t>ISBN%3A0390672505_TABLE4.tsv</t>
  </si>
  <si>
    <t>ISBN%3A0390672505_TABLE5.tsv</t>
  </si>
  <si>
    <t>ISBN%3A0390672505_TABLE6.tsv</t>
  </si>
  <si>
    <t>ISBN%3A0390672505_Tables1-6.tsv</t>
  </si>
  <si>
    <t>ISBN%3A0845140000_TABLE1.tsv</t>
  </si>
  <si>
    <t>ISBN%3A9780195043716_Table12-1.tsv</t>
  </si>
  <si>
    <t>ISBN%3A9780195043716_Table12-2.tsv</t>
  </si>
  <si>
    <t>ISBN%3A9780195043716_Table12-3.tsv</t>
  </si>
  <si>
    <t>ISBN%3A9780195043716_text.tsv</t>
  </si>
  <si>
    <t>ISBN%3A9783764353704_Table10.tsv</t>
  </si>
  <si>
    <t>ISBN%3A9783764353704_Table13.tsv</t>
  </si>
  <si>
    <t>ISBN%3A9783764353704_Table16.tsv</t>
  </si>
  <si>
    <t>ISBN%3A9783764353704_Table19.tsv</t>
  </si>
  <si>
    <t>ISBN%3A9783764353704_Table2.tsv</t>
  </si>
  <si>
    <t>ISBN%3A9783764353704_Table22.tsv</t>
  </si>
  <si>
    <t>ISBN%3A9783764353704_Table25.tsv</t>
  </si>
  <si>
    <t>ISBN%3A9783764353704_Table28.tsv</t>
  </si>
  <si>
    <t>ISBN%3A9783764353704_Table30.tsv</t>
  </si>
  <si>
    <t>ISBN%3A9783764353704_Table32.tsv</t>
  </si>
  <si>
    <t>ISBN%3A9783764353704_Table35.tsv</t>
  </si>
  <si>
    <t>ISBN%3A9783764353704_Table36.tsv</t>
  </si>
  <si>
    <t>ISBN%3A9783764353704_Table39.tsv</t>
  </si>
  <si>
    <t>ISBN%3A9783764353704_Table42.tsv</t>
  </si>
  <si>
    <t>ISBN%3A9783764353704_Table45.tsv</t>
  </si>
  <si>
    <t>ISBN%3A9783764353704_Table48.tsv</t>
  </si>
  <si>
    <t>ISBN%3A9783764353704_Table5.tsv</t>
  </si>
  <si>
    <t>ISBN%3A9783764353704_Table51.tsv</t>
  </si>
  <si>
    <t>ISBN%3A9783764353704_Table8.tsv</t>
  </si>
  <si>
    <t>NA.tsv</t>
  </si>
  <si>
    <t>NQ%3A61662_APPENDIXI.tsv</t>
  </si>
  <si>
    <t>OCLC%3A1340515946_TABLE3.tsv</t>
  </si>
  <si>
    <t>OCLC%3A8777719_Table1.tsv</t>
  </si>
  <si>
    <t>PMID%3A15534048_TABLE1.tsv</t>
  </si>
  <si>
    <t>PMID%3A2358663_Table1.tsv</t>
  </si>
  <si>
    <t>PMID%3A3116076_Table1.tsv</t>
  </si>
  <si>
    <t>PMID%3A3216099_Table1.tsv</t>
  </si>
  <si>
    <t>PMID%3A3693895_Table1.tsv</t>
  </si>
  <si>
    <t>PMID%3A3989277_Table1.tsv</t>
  </si>
  <si>
    <t>PMID%3A6481154_Table1.tsv</t>
  </si>
  <si>
    <t>PMID%3A6501869_Table1.tsv</t>
  </si>
  <si>
    <t>PMID%3A6501869_Table2.tsv</t>
  </si>
  <si>
    <t>PMID%3A6663055_Table1.tsv</t>
  </si>
  <si>
    <t>PMID%3A7161477_Table2.tsv</t>
  </si>
  <si>
    <t>PMID%3A7161483_Table1.tsv</t>
  </si>
  <si>
    <t>PMID%3A7280305_TABLEI.tsv</t>
  </si>
  <si>
    <t>PMID%3A7280305_TABLEII.tsv</t>
  </si>
  <si>
    <t>PMID%3A7983368_Table1.tsv</t>
  </si>
  <si>
    <t>PMID%3A7983368_Table2.tsv</t>
  </si>
  <si>
    <t>PMID%3A9176733_Table1.tsv</t>
  </si>
  <si>
    <t>PMID%3A9672110_Table1.tsv</t>
  </si>
  <si>
    <t>SRWRI%3A32%3A105-126_TABLE1.tsv</t>
  </si>
  <si>
    <t>UMI%3A3017523_NotesforTableA-15.tsv</t>
  </si>
  <si>
    <t>UMI%3A3017523_TableA-11.tsv</t>
  </si>
  <si>
    <t>UMI%3A3017523_TableA-15.tsv</t>
  </si>
  <si>
    <t>UMI%3A3147447_TableA1.tsv</t>
  </si>
  <si>
    <t>UMI%3A3147447_TableA10.tsv</t>
  </si>
  <si>
    <t>UMI%3A3147447_TableA11.tsv</t>
  </si>
  <si>
    <t>UMI%3A3147447_TableA12.tsv</t>
  </si>
  <si>
    <t>UMI%3A3147447_TableA13.tsv</t>
  </si>
  <si>
    <t>UMI%3A3147447_TableA14.tsv</t>
  </si>
  <si>
    <t>UMI%3A3147447_TableA15.tsv</t>
  </si>
  <si>
    <t>UMI%3A3147447_TableA2.tsv</t>
  </si>
  <si>
    <t>UMI%3A3147447_TableA3.tsv</t>
  </si>
  <si>
    <t>UMI%3A3147447_TableA4.tsv</t>
  </si>
  <si>
    <t>UMI%3A3147447_TableA5.tsv</t>
  </si>
  <si>
    <t>UMI%3A3147447_TableA6.tsv</t>
  </si>
  <si>
    <t>UMI%3A3147447_TableA7.tsv</t>
  </si>
  <si>
    <t>UMI%3A3147447_TableA8.tsv</t>
  </si>
  <si>
    <t>UMI%3A3147447_TableA9.tsv</t>
  </si>
  <si>
    <t>UMI%3A3311323_Suppl.Table5.2.tsv</t>
  </si>
  <si>
    <t>UMI%3A3311323_Table4.1.tsv</t>
  </si>
  <si>
    <t>UMI%3A3311323_Table5.1.tsv</t>
  </si>
  <si>
    <t>UMI%3A3311323_Table5.6.tsv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</si>
</sst>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0"/>
      <name val="Arial"/>
      <family val="2"/>
    </font>
    <font>
      <sz val="11"/>
      <color rgb="FF3F3F76"/>
      <name val="Calibri"/>
      <family val="2"/>
    </font>
    <font>
      <sz val="11"/>
      <color rgb="FF3F3F76"/>
      <name val="Calibri"/>
      <family val="2"/>
      <scheme val="minor"/>
    </font>
    <font>
      <sz val="10"/>
      <color rgb="FF000000"/>
      <name val="Arial"/>
      <family val="2"/>
    </font>
    <font>
      <u/>
      <sz val="10"/>
      <color theme="10"/>
      <name val="Arial"/>
      <family val="2"/>
    </font>
    <font>
      <b/>
      <sz val="11"/>
      <color rgb="FF3F3F3F"/>
      <name val="Calibri"/>
      <family val="2"/>
    </font>
    <font>
      <sz val="12"/>
      <color rgb="FF000000"/>
      <name val="Aptos Narrow"/>
    </font>
    <font>
      <sz val="12"/>
      <color rgb="FF3F3F76"/>
      <name val="Calibri"/>
      <family val="2"/>
    </font>
    <font>
      <b/>
      <sz val="12"/>
      <color rgb="FF3F3F3F"/>
      <name val="Calibri"/>
      <family val="2"/>
    </font>
  </fonts>
  <fills count="4">
    <fill>
      <patternFill patternType="none"/>
    </fill>
    <fill>
      <patternFill patternType="gray125"/>
    </fill>
    <fill>
      <patternFill patternType="solid">
        <fgColor rgb="FFFFCC99"/>
      </patternFill>
    </fill>
    <fill>
      <patternFill patternType="solid">
        <fgColor rgb="FFF2F2F2"/>
      </patternFill>
    </fill>
  </fills>
  <borders count="4">
    <border>
      <left/>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7F7F7F"/>
      </left>
      <right style="thin">
        <color rgb="FF7F7F7F"/>
      </right>
      <top/>
      <bottom/>
      <diagonal/>
    </border>
  </borders>
  <cellStyleXfs count="1">
    <xf numFmtId="0" fontId="0" fillId="0" borderId="0"/>
  </cellStyleXfs>
  <cellXfs count="25">
    <xf numFmtId="0" fontId="0" fillId="0" borderId="0" xfId="0"/>
    <xf numFmtId="0" fontId="1" fillId="2" borderId="1" xfId="0" applyFont="1" applyFill="1" applyBorder="1" applyProtection="1">
      <protection locked="0"/>
    </xf>
    <xf numFmtId="0" fontId="1" fillId="2" borderId="1" xfId="0" applyFont="1" applyFill="1" applyBorder="1" applyAlignment="1" applyProtection="1">
      <alignment vertical="top"/>
      <protection locked="0"/>
    </xf>
    <xf numFmtId="0" fontId="2" fillId="2" borderId="1" xfId="0" applyFont="1" applyFill="1" applyBorder="1" applyAlignment="1">
      <alignment vertical="top"/>
    </xf>
    <xf numFmtId="0" fontId="2" fillId="2" borderId="1" xfId="0" applyFont="1" applyFill="1" applyBorder="1"/>
    <xf numFmtId="0" fontId="2" fillId="2" borderId="1" xfId="0" applyFont="1" applyFill="1" applyBorder="1" applyProtection="1">
      <protection locked="0"/>
    </xf>
    <xf numFmtId="0" fontId="1" fillId="2" borderId="0" xfId="0" applyFont="1" applyFill="1" applyProtection="1">
      <protection locked="0"/>
    </xf>
    <xf numFmtId="0" fontId="2" fillId="2" borderId="1" xfId="0" applyFont="1" applyFill="1" applyBorder="1" applyAlignment="1" applyProtection="1">
      <alignment vertical="top"/>
      <protection locked="0"/>
    </xf>
    <xf numFmtId="0" fontId="3" fillId="0" borderId="1" xfId="0" applyFont="1" applyBorder="1"/>
    <xf numFmtId="0" fontId="2" fillId="2" borderId="0" xfId="0" applyFont="1" applyFill="1"/>
    <xf numFmtId="0" fontId="4" fillId="0" borderId="0" xfId="0" applyFont="1"/>
    <xf numFmtId="0" fontId="1" fillId="2" borderId="0" xfId="0" applyFont="1" applyFill="1"/>
    <xf numFmtId="0" fontId="5" fillId="3" borderId="2" xfId="0" applyFont="1" applyFill="1" applyBorder="1"/>
    <xf numFmtId="0" fontId="5" fillId="3" borderId="2" xfId="0" applyFont="1" applyFill="1" applyBorder="1" applyProtection="1">
      <protection locked="0"/>
    </xf>
    <xf numFmtId="0" fontId="6" fillId="0" borderId="0" xfId="0" applyFont="1"/>
    <xf numFmtId="0" fontId="1" fillId="2" borderId="0" xfId="0" applyFont="1" applyFill="1" applyAlignment="1">
      <alignment vertical="top"/>
    </xf>
    <xf numFmtId="0" fontId="1" fillId="2" borderId="1" xfId="0" applyFont="1" applyFill="1" applyBorder="1" applyAlignment="1">
      <alignment vertical="top"/>
    </xf>
    <xf numFmtId="0" fontId="1" fillId="2" borderId="1" xfId="0" applyFont="1" applyFill="1" applyBorder="1"/>
    <xf numFmtId="0" fontId="7" fillId="2" borderId="1" xfId="0" applyFont="1" applyFill="1" applyBorder="1" applyAlignment="1">
      <alignment vertical="top"/>
    </xf>
    <xf numFmtId="0" fontId="8" fillId="3" borderId="0" xfId="0" applyFont="1" applyFill="1" applyProtection="1">
      <protection locked="0"/>
    </xf>
    <xf numFmtId="0" fontId="8" fillId="3" borderId="2" xfId="0" applyFont="1" applyFill="1" applyBorder="1" applyProtection="1">
      <protection locked="0"/>
    </xf>
    <xf numFmtId="0" fontId="7" fillId="2" borderId="1" xfId="0" applyFont="1" applyFill="1" applyBorder="1"/>
    <xf numFmtId="0" fontId="7" fillId="2" borderId="1" xfId="0" applyFont="1" applyFill="1" applyBorder="1" applyProtection="1">
      <protection locked="0"/>
    </xf>
    <xf numFmtId="0" fontId="7" fillId="2" borderId="1" xfId="0" applyFont="1" applyFill="1" applyBorder="1" applyAlignment="1" applyProtection="1">
      <alignment vertical="top"/>
      <protection locked="0"/>
    </xf>
    <xf numFmtId="0" fontId="7" fillId="2" borderId="3" xfId="0" applyFont="1" applyFill="1" applyBorder="1" applyProtection="1">
      <protection locked="0"/>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F3F7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a:gra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1093/cercor/11.6.558" TargetMode="External"/><Relationship Id="rId18" Type="http://schemas.openxmlformats.org/officeDocument/2006/relationships/hyperlink" Target="https://doi.org/10.1016/0378-5955(94)90088-4" TargetMode="External"/><Relationship Id="rId26" Type="http://schemas.openxmlformats.org/officeDocument/2006/relationships/hyperlink" Target="https://doi.org/10.1016/0378-5955(94)90116-3" TargetMode="External"/><Relationship Id="rId39" Type="http://schemas.openxmlformats.org/officeDocument/2006/relationships/hyperlink" Target="https://doi.org/10.1121/1.4861344" TargetMode="External"/><Relationship Id="rId21" Type="http://schemas.openxmlformats.org/officeDocument/2006/relationships/hyperlink" Target="https://doi.org/10.2307/1380801" TargetMode="External"/><Relationship Id="rId34" Type="http://schemas.openxmlformats.org/officeDocument/2006/relationships/hyperlink" Target="https://doi.org/10.1016/j.heares.2012.09.011" TargetMode="External"/><Relationship Id="rId42" Type="http://schemas.openxmlformats.org/officeDocument/2006/relationships/hyperlink" Target="https://doi.org/10.1016/s0378-5955(98)00037-9" TargetMode="External"/><Relationship Id="rId7" Type="http://schemas.openxmlformats.org/officeDocument/2006/relationships/hyperlink" Target="https://doi.org/10.1523/JNEUROSCI.20-18-j0002.2000" TargetMode="External"/><Relationship Id="rId2" Type="http://schemas.openxmlformats.org/officeDocument/2006/relationships/hyperlink" Target="https://doi.org/10.1016/j.mambio.2013.12.005" TargetMode="External"/><Relationship Id="rId16" Type="http://schemas.openxmlformats.org/officeDocument/2006/relationships/hyperlink" Target="https://doi.org/10.1121/1.4979116" TargetMode="External"/><Relationship Id="rId29" Type="http://schemas.openxmlformats.org/officeDocument/2006/relationships/hyperlink" Target="https://doi.org/10.1016/s0378-5955(03)00233-8" TargetMode="External"/><Relationship Id="rId1" Type="http://schemas.openxmlformats.org/officeDocument/2006/relationships/hyperlink" Target="https://doi.org/10.1002/ar.a.20255" TargetMode="External"/><Relationship Id="rId6" Type="http://schemas.openxmlformats.org/officeDocument/2006/relationships/hyperlink" Target="https://doi.org/10.1093/cercor/bhs239" TargetMode="External"/><Relationship Id="rId11" Type="http://schemas.openxmlformats.org/officeDocument/2006/relationships/hyperlink" Target="https://doi.org/10.1002/(SICI)1096-9861(19971006)386:4%3C661::AID-CNE11%3E3.0.CO;2-N" TargetMode="External"/><Relationship Id="rId24" Type="http://schemas.openxmlformats.org/officeDocument/2006/relationships/hyperlink" Target="https://doi.org/10.1016/0378-5955(94)90233-x" TargetMode="External"/><Relationship Id="rId32" Type="http://schemas.openxmlformats.org/officeDocument/2006/relationships/hyperlink" Target="https://doi.org/10.1016/j.heares.2007.06.001" TargetMode="External"/><Relationship Id="rId37" Type="http://schemas.openxmlformats.org/officeDocument/2006/relationships/hyperlink" Target="https://doi.org/10.1121/1.4861344" TargetMode="External"/><Relationship Id="rId40" Type="http://schemas.openxmlformats.org/officeDocument/2006/relationships/hyperlink" Target="https://doi.org/10.1016/s0378-5955(98)00037-9" TargetMode="External"/><Relationship Id="rId45" Type="http://schemas.openxmlformats.org/officeDocument/2006/relationships/hyperlink" Target="https://doi.org/10.1007/Bf00610934" TargetMode="External"/><Relationship Id="rId5" Type="http://schemas.openxmlformats.org/officeDocument/2006/relationships/hyperlink" Target="https://doi.org/10.1093/cercor/bhs239" TargetMode="External"/><Relationship Id="rId15" Type="http://schemas.openxmlformats.org/officeDocument/2006/relationships/hyperlink" Target="https://doi.org/10.1121/1.4979116" TargetMode="External"/><Relationship Id="rId23" Type="http://schemas.openxmlformats.org/officeDocument/2006/relationships/hyperlink" Target="https://doi.org/10.1016/0378-5955(94)90233-x" TargetMode="External"/><Relationship Id="rId28" Type="http://schemas.openxmlformats.org/officeDocument/2006/relationships/hyperlink" Target="https://doi.org/10.1016/s0378-5955(03)00233-8" TargetMode="External"/><Relationship Id="rId36" Type="http://schemas.openxmlformats.org/officeDocument/2006/relationships/hyperlink" Target="https://doi.org/10.1121/1.4861344" TargetMode="External"/><Relationship Id="rId10" Type="http://schemas.openxmlformats.org/officeDocument/2006/relationships/hyperlink" Target="https://doi.org/10.1002/(SICI)1096-9861(19971006)386:4%3C661::AID-CNE11%3E3.0.CO;2-N" TargetMode="External"/><Relationship Id="rId19" Type="http://schemas.openxmlformats.org/officeDocument/2006/relationships/hyperlink" Target="https://doi.org/10.2307/1380801" TargetMode="External"/><Relationship Id="rId31" Type="http://schemas.openxmlformats.org/officeDocument/2006/relationships/hyperlink" Target="https://doi.org/10.1016/j.heares.2007.06.001" TargetMode="External"/><Relationship Id="rId44" Type="http://schemas.openxmlformats.org/officeDocument/2006/relationships/hyperlink" Target="https://doi.org/10.1016/s0378-5955(02)00458-6" TargetMode="External"/><Relationship Id="rId4" Type="http://schemas.openxmlformats.org/officeDocument/2006/relationships/hyperlink" Target="https://doi.org/10.1111/j.1439-0469.1985.tb00577.x" TargetMode="External"/><Relationship Id="rId9" Type="http://schemas.openxmlformats.org/officeDocument/2006/relationships/hyperlink" Target="https://doi.org/10.1002/ar.a.20278" TargetMode="External"/><Relationship Id="rId14" Type="http://schemas.openxmlformats.org/officeDocument/2006/relationships/hyperlink" Target="https://doi.org/10.1016/j.mambio.2013.12.005" TargetMode="External"/><Relationship Id="rId22" Type="http://schemas.openxmlformats.org/officeDocument/2006/relationships/hyperlink" Target="https://doi.org/10.1002/ar.21292" TargetMode="External"/><Relationship Id="rId27" Type="http://schemas.openxmlformats.org/officeDocument/2006/relationships/hyperlink" Target="https://doi.org/10.1016/0378-5955(94)90116-3" TargetMode="External"/><Relationship Id="rId30" Type="http://schemas.openxmlformats.org/officeDocument/2006/relationships/hyperlink" Target="https://doi.org/10.1016/s0378-5955(03)00233-8" TargetMode="External"/><Relationship Id="rId35" Type="http://schemas.openxmlformats.org/officeDocument/2006/relationships/hyperlink" Target="https://doi.org/10.1016/j.heares.2012.09.011" TargetMode="External"/><Relationship Id="rId43" Type="http://schemas.openxmlformats.org/officeDocument/2006/relationships/hyperlink" Target="https://doi.org/10.1016/s0378-5955(02)00458-6" TargetMode="External"/><Relationship Id="rId8" Type="http://schemas.openxmlformats.org/officeDocument/2006/relationships/hyperlink" Target="https://doi.org/10.1523/JNEUROSCI.21-17-j0002.2001" TargetMode="External"/><Relationship Id="rId3" Type="http://schemas.openxmlformats.org/officeDocument/2006/relationships/hyperlink" Target="https://doi.org/10.1098/rsbl.2010.0744" TargetMode="External"/><Relationship Id="rId12" Type="http://schemas.openxmlformats.org/officeDocument/2006/relationships/hyperlink" Target="https://doi.org/10.1093/cercor/11.6.558" TargetMode="External"/><Relationship Id="rId17" Type="http://schemas.openxmlformats.org/officeDocument/2006/relationships/hyperlink" Target="https://doi.org/10.1016/0378-5955(94)90088-4" TargetMode="External"/><Relationship Id="rId25" Type="http://schemas.openxmlformats.org/officeDocument/2006/relationships/hyperlink" Target="https://doi.org/10.1016/0378-5955(94)90240-2" TargetMode="External"/><Relationship Id="rId33" Type="http://schemas.openxmlformats.org/officeDocument/2006/relationships/hyperlink" Target="https://doi.org/10.1016/j.heares.2012.09.011" TargetMode="External"/><Relationship Id="rId38" Type="http://schemas.openxmlformats.org/officeDocument/2006/relationships/hyperlink" Target="https://doi.org/10.1121/1.4861344" TargetMode="External"/><Relationship Id="rId46" Type="http://schemas.openxmlformats.org/officeDocument/2006/relationships/hyperlink" Target="https://doi.org/10.1007/Bf00610934" TargetMode="External"/><Relationship Id="rId20" Type="http://schemas.openxmlformats.org/officeDocument/2006/relationships/hyperlink" Target="https://doi.org/10.2307/1380801" TargetMode="External"/><Relationship Id="rId41" Type="http://schemas.openxmlformats.org/officeDocument/2006/relationships/hyperlink" Target="https://doi.org/10.1016/s0378-5955(98)00037-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76"/>
  <sheetViews>
    <sheetView tabSelected="1" zoomScaleNormal="100" workbookViewId="0">
      <pane ySplit="1" topLeftCell="A501" activePane="bottomLeft" state="frozen"/>
      <selection pane="bottomLeft" activeCell="C565" sqref="C565"/>
    </sheetView>
  </sheetViews>
  <sheetFormatPr defaultColWidth="11.42578125" defaultRowHeight="12.95"/>
  <cols>
    <col min="1" max="1" width="71.42578125" customWidth="1"/>
    <col min="2" max="2" width="5.85546875" customWidth="1"/>
    <col min="3" max="3" width="43.7109375" customWidth="1"/>
    <col min="4" max="4" width="30.140625" customWidth="1"/>
    <col min="5" max="7" width="1" customWidth="1"/>
    <col min="8" max="8" width="32.85546875" customWidth="1"/>
    <col min="9" max="9" width="1" customWidth="1"/>
    <col min="10" max="10" width="35.42578125" customWidth="1"/>
    <col min="11" max="11" width="28.42578125" customWidth="1"/>
    <col min="12" max="12" width="52.7109375" customWidth="1"/>
    <col min="13" max="13" width="31.28515625" customWidth="1"/>
    <col min="14" max="33" width="5.85546875" customWidth="1"/>
  </cols>
  <sheetData>
    <row r="1" spans="1:33" ht="17.100000000000001" customHeight="1">
      <c r="A1" s="1" t="s">
        <v>0</v>
      </c>
      <c r="B1" s="1" t="s">
        <v>1</v>
      </c>
      <c r="C1" s="1" t="s">
        <v>2</v>
      </c>
      <c r="D1" s="1" t="s">
        <v>3</v>
      </c>
      <c r="E1" s="13" t="s">
        <v>4</v>
      </c>
      <c r="F1" s="13" t="s">
        <v>5</v>
      </c>
      <c r="G1" s="13" t="s">
        <v>6</v>
      </c>
      <c r="H1" s="13" t="s">
        <v>7</v>
      </c>
      <c r="I1" s="13" t="s">
        <v>8</v>
      </c>
      <c r="J1" s="13" t="s">
        <v>9</v>
      </c>
      <c r="K1" s="13" t="s">
        <v>10</v>
      </c>
      <c r="L1" s="13"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c r="AB1" s="5" t="s">
        <v>27</v>
      </c>
      <c r="AC1" s="5" t="s">
        <v>28</v>
      </c>
      <c r="AD1" s="5" t="s">
        <v>29</v>
      </c>
      <c r="AE1" s="5" t="s">
        <v>30</v>
      </c>
      <c r="AF1" s="5" t="s">
        <v>31</v>
      </c>
      <c r="AG1" s="4" t="s">
        <v>32</v>
      </c>
    </row>
    <row r="2" spans="1:33" ht="17.100000000000001" customHeight="1">
      <c r="A2" s="1" t="s">
        <v>33</v>
      </c>
      <c r="D2" s="1" t="s">
        <v>34</v>
      </c>
      <c r="E2" s="13" t="str">
        <f t="shared" ref="E2:E65" si="0">SUBSTITUTE(SUBSTITUTE(_xlfn.TEXTBEFORE(A2,","), "-", ""), " ", "")</f>
        <v>Andelin</v>
      </c>
      <c r="F2" s="13" t="str">
        <f t="array" ref="F2">_xlfn.LET(
 _xlpm.authors,_xlfn.TEXTBEFORE(A2," ("&amp;G2&amp;")"),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 s="13" t="str">
        <f t="shared" ref="G2:G65" si="1">_xlfn.TEXTBEFORE(_xlfn.TEXTAFTER(A2, "("), ")")</f>
        <v>2019</v>
      </c>
      <c r="H2" s="13" t="str">
        <f t="shared" ref="H2:H65" si="2">E2 &amp; IF(F2&lt;&gt;"", "_" &amp; F2, "_") &amp; IF(G2&lt;&gt;"", "_" &amp; G2, "_") &amp; IF(B2&lt;&gt;"", "_" &amp; B2, "")</f>
        <v>Andelin_etal_2019</v>
      </c>
      <c r="I2" s="13" t="str">
        <f>_xlfn.LET(
_xlpm.doi,IF(C2&lt;&gt;"",C2,_xlfn.TEXTAFTER(A2,"https://doi.org/")),
SUBSTITUTE(
SUBSTITUTE(
SUBSTITUTE(
SUBSTITUTE(
_xlpm.doi,
"/","%2F"),
":","%3A"),
"&lt;","%3C"),
"&gt;","%3E")
)</f>
        <v>10.1093%2Fcercor%2Fbhy315</v>
      </c>
      <c r="J2" s="13" t="str">
        <f t="shared" ref="J2:J65" si="3">TRIM(_xlfn.TEXTJOIN("_",FALSE(),H2,(SUBSTITUTE(SUBSTITUTE(D2," ",""), "_", ""))))</f>
        <v>Andelin_etal_2019_Table4</v>
      </c>
      <c r="K2" s="13" t="str">
        <f t="shared" ref="K2:K33" si="4">I2 &amp; "_" &amp; SUBSTITUTE(SUBSTITUTE(SUBSTITUTE(D2,CHAR(160),"")," ",""),"_","")</f>
        <v>10.1093%2Fcercor%2Fbhy315_Table4</v>
      </c>
      <c r="L2" s="13" t="str">
        <f t="array" ref="L2">IFERROR(INDEX(AUTO_Public_TSV_FileList!$A$1:$A$1000,MATCH(TRUE(),EXACT(K2,IFERROR(_xlfn.TEXTBEFORE(AUTO_Public_TSV_FileList!$A$1:$A$1000,".tsv"),"")),0)),"notfound")</f>
        <v>10.1093%2Fcercor%2Fbhy315_Table4.tsv</v>
      </c>
      <c r="M2" s="4"/>
      <c r="N2" s="5" t="s">
        <v>35</v>
      </c>
      <c r="O2" s="4"/>
      <c r="P2" s="5" t="s">
        <v>36</v>
      </c>
      <c r="Q2" s="4"/>
      <c r="R2" s="4"/>
      <c r="S2" s="4"/>
      <c r="T2" s="4"/>
      <c r="U2" s="4"/>
      <c r="V2" s="4"/>
      <c r="W2" s="5"/>
      <c r="X2" s="4"/>
      <c r="Y2" s="4"/>
      <c r="Z2" s="4"/>
      <c r="AA2" s="4"/>
      <c r="AB2" s="5"/>
      <c r="AC2" s="4"/>
      <c r="AD2" s="4"/>
      <c r="AE2" s="5"/>
      <c r="AF2" s="5"/>
      <c r="AG2" s="4"/>
    </row>
    <row r="3" spans="1:33" ht="17.100000000000001" customHeight="1">
      <c r="A3" s="17" t="s">
        <v>37</v>
      </c>
      <c r="D3" s="17" t="s">
        <v>38</v>
      </c>
      <c r="E3" s="12" t="str">
        <f t="shared" si="0"/>
        <v>Armstrong</v>
      </c>
      <c r="F3" s="13" t="str">
        <f t="array" ref="F3">_xlfn.LET(
 _xlpm.authors,_xlfn.TEXTBEFORE(A3," ("&amp;G3&amp;")"),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 s="13" t="str">
        <f t="shared" si="1"/>
        <v>1979</v>
      </c>
      <c r="H3" s="12" t="str">
        <f t="shared" si="2"/>
        <v>Armstrong__1979</v>
      </c>
      <c r="I3" s="12" t="str">
        <f>_xlfn.LET(_xlpm.doi,IF(C3&lt;&gt;"",C3,_xlfn.TEXTAFTER(A3,"https://doi.org/")),SUBSTITUTE(SUBSTITUTE(SUBSTITUTE(SUBSTITUTE(_xlpm.doi,"/","%2F"),":","%3A"),"&lt;","%3C"),"&gt;","%3E"))</f>
        <v>10.1002%2Fajpa.1330510308</v>
      </c>
      <c r="J3" s="12" t="str">
        <f t="shared" si="3"/>
        <v>Armstrong__1979_Tables1-9</v>
      </c>
      <c r="K3" s="13" t="str">
        <f t="shared" si="4"/>
        <v>10.1002%2Fajpa.1330510308_Tables1-9</v>
      </c>
      <c r="L3" s="13" t="str">
        <f t="array" ref="L3">IFERROR(INDEX(AUTO_Public_TSV_FileList!$A$1:$A$1000,MATCH(TRUE(),EXACT(K3,IFERROR(_xlfn.TEXTBEFORE(AUTO_Public_TSV_FileList!$A$1:$A$1000,".tsv"),"")),0)),"notfound")</f>
        <v>10.1002%2Fajpa.1330510308_Tables1-9.tsv</v>
      </c>
      <c r="M3" s="4" t="s">
        <v>39</v>
      </c>
      <c r="N3" s="4" t="s">
        <v>40</v>
      </c>
      <c r="O3" s="4" t="s">
        <v>41</v>
      </c>
      <c r="P3" s="5" t="s">
        <v>36</v>
      </c>
      <c r="Q3" s="4"/>
      <c r="R3" s="4" t="s">
        <v>42</v>
      </c>
      <c r="S3" s="4"/>
      <c r="T3" s="4" t="s">
        <v>43</v>
      </c>
      <c r="U3" s="4"/>
      <c r="V3" s="4" t="s">
        <v>44</v>
      </c>
      <c r="W3" s="4" t="s">
        <v>45</v>
      </c>
      <c r="X3" s="4" t="s">
        <v>46</v>
      </c>
      <c r="Y3" s="4" t="s">
        <v>47</v>
      </c>
      <c r="Z3" s="4"/>
      <c r="AA3" s="4" t="s">
        <v>48</v>
      </c>
      <c r="AB3" s="4" t="s">
        <v>49</v>
      </c>
      <c r="AC3" s="4" t="s">
        <v>50</v>
      </c>
      <c r="AD3" s="4"/>
      <c r="AE3" s="4" t="s">
        <v>51</v>
      </c>
      <c r="AF3" s="4"/>
      <c r="AG3" s="4" t="s">
        <v>52</v>
      </c>
    </row>
    <row r="4" spans="1:33" ht="17.100000000000001" customHeight="1">
      <c r="A4" s="1" t="s">
        <v>53</v>
      </c>
      <c r="D4" s="1" t="s">
        <v>54</v>
      </c>
      <c r="E4" s="13" t="str">
        <f t="shared" si="0"/>
        <v>Ashwell</v>
      </c>
      <c r="F4" s="13" t="str">
        <f t="array" ref="F4">_xlfn.LET(
 _xlpm.authors,_xlfn.TEXTBEFORE(A4," ("&amp;G4&amp;")"),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 s="13" t="str">
        <f t="shared" si="1"/>
        <v>2020</v>
      </c>
      <c r="H4" s="13" t="str">
        <f t="shared" si="2"/>
        <v>Ashwell__2020</v>
      </c>
      <c r="I4" s="13" t="str">
        <f t="shared" ref="I4:I35" si="5">_xlfn.LET(
_xlpm.doi,IF(C4&lt;&gt;"",C4,_xlfn.TEXTAFTER(A4,"https://doi.org/")),
SUBSTITUTE(
SUBSTITUTE(
SUBSTITUTE(
SUBSTITUTE(
_xlpm.doi,
"/","%2F"),
":","%3A"),
"&lt;","%3C"),
"&gt;","%3E")
)</f>
        <v>10.1016%2Fj.zool.2020.125753</v>
      </c>
      <c r="J4" s="13" t="str">
        <f t="shared" si="3"/>
        <v>Ashwell__2020_SupplementaryTable</v>
      </c>
      <c r="K4" s="13" t="str">
        <f t="shared" si="4"/>
        <v>10.1016%2Fj.zool.2020.125753_SupplementaryTable</v>
      </c>
      <c r="L4" s="13" t="str">
        <f t="array" ref="L4">IFERROR(INDEX(AUTO_Public_TSV_FileList!$A$1:$A$1000,MATCH(TRUE(),EXACT(K4,IFERROR(_xlfn.TEXTBEFORE(AUTO_Public_TSV_FileList!$A$1:$A$1000,".tsv"),"")),0)),"notfound")</f>
        <v>10.1016%2Fj.zool.2020.125753_SupplementaryTable.tsv</v>
      </c>
      <c r="M4" s="5" t="s">
        <v>55</v>
      </c>
      <c r="N4" s="4"/>
      <c r="O4" s="4"/>
      <c r="P4" s="5" t="s">
        <v>36</v>
      </c>
      <c r="Q4" s="4"/>
      <c r="R4" s="4"/>
      <c r="S4" s="4"/>
      <c r="T4" s="4"/>
      <c r="U4" s="4"/>
      <c r="V4" s="4"/>
      <c r="W4" s="4"/>
      <c r="X4" s="4"/>
      <c r="Y4" s="4"/>
      <c r="Z4" s="4"/>
      <c r="AA4" s="4"/>
      <c r="AB4" s="4"/>
      <c r="AC4" s="5" t="s">
        <v>56</v>
      </c>
      <c r="AD4" s="4"/>
      <c r="AE4" s="4"/>
      <c r="AF4" s="4"/>
      <c r="AG4" s="4"/>
    </row>
    <row r="5" spans="1:33" ht="17.100000000000001" customHeight="1">
      <c r="A5" s="1" t="s">
        <v>57</v>
      </c>
      <c r="D5" s="1" t="s">
        <v>58</v>
      </c>
      <c r="E5" s="13" t="str">
        <f t="shared" si="0"/>
        <v>AvelinodeSouza</v>
      </c>
      <c r="F5" s="13" t="str">
        <f t="array" ref="F5">_xlfn.LET(
 _xlpm.authors,_xlfn.TEXTBEFORE(A5," ("&amp;G5&amp;")"),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 s="13" t="str">
        <f t="shared" si="1"/>
        <v>2025</v>
      </c>
      <c r="H5" s="13" t="str">
        <f t="shared" si="2"/>
        <v>AvelinodeSouza_etal_2025</v>
      </c>
      <c r="I5" s="13" t="str">
        <f t="shared" si="5"/>
        <v>10.1002%2Fcne.70089</v>
      </c>
      <c r="J5" s="13" t="str">
        <f t="shared" si="3"/>
        <v>AvelinodeSouza_etal_2025_TABLE1</v>
      </c>
      <c r="K5" s="13" t="str">
        <f t="shared" si="4"/>
        <v>10.1002%2Fcne.70089_TABLE1</v>
      </c>
      <c r="L5" s="13" t="str">
        <f t="array" ref="L5">IFERROR(INDEX(AUTO_Public_TSV_FileList!$A$1:$A$1000,MATCH(TRUE(),EXACT(K5,IFERROR(_xlfn.TEXTBEFORE(AUTO_Public_TSV_FileList!$A$1:$A$1000,".tsv"),"")),0)),"notfound")</f>
        <v>10.1002%2Fcne.70089_TABLE1.tsv</v>
      </c>
      <c r="M5" s="5" t="s">
        <v>59</v>
      </c>
      <c r="N5" s="5" t="s">
        <v>35</v>
      </c>
      <c r="O5" s="4"/>
      <c r="P5" s="5" t="s">
        <v>36</v>
      </c>
      <c r="Q5" s="5"/>
      <c r="R5" s="5" t="s">
        <v>60</v>
      </c>
      <c r="S5" s="4"/>
      <c r="T5" s="4"/>
      <c r="U5" s="4"/>
      <c r="V5" s="5"/>
      <c r="W5" s="4" t="s">
        <v>61</v>
      </c>
      <c r="X5" s="5" t="s">
        <v>62</v>
      </c>
      <c r="Y5" s="4"/>
      <c r="Z5" s="4"/>
      <c r="AA5" s="5" t="s">
        <v>63</v>
      </c>
      <c r="AB5" s="5" t="s">
        <v>64</v>
      </c>
      <c r="AC5" s="5" t="s">
        <v>65</v>
      </c>
      <c r="AD5" s="4"/>
      <c r="AE5" s="5" t="s">
        <v>66</v>
      </c>
      <c r="AF5" s="5"/>
      <c r="AG5" s="4"/>
    </row>
    <row r="6" spans="1:33" ht="17.100000000000001" customHeight="1">
      <c r="A6" s="1" t="s">
        <v>67</v>
      </c>
      <c r="D6" s="1" t="s">
        <v>68</v>
      </c>
      <c r="E6" s="13" t="str">
        <f t="shared" si="0"/>
        <v>Baker</v>
      </c>
      <c r="F6" s="13" t="str">
        <f t="array" ref="F6">_xlfn.LET(
 _xlpm.authors,_xlfn.TEXTBEFORE(A6," ("&amp;G6&amp;")"),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 s="13" t="str">
        <f t="shared" si="1"/>
        <v>2025</v>
      </c>
      <c r="H6" s="13" t="str">
        <f t="shared" si="2"/>
        <v>Baker_etal_2025</v>
      </c>
      <c r="I6" s="13" t="str">
        <f t="shared" si="5"/>
        <v>10.1038%2Fs42003-025-08686-5</v>
      </c>
      <c r="J6" s="13" t="str">
        <f t="shared" si="3"/>
        <v>Baker_etal_2025_SupplementaryData1</v>
      </c>
      <c r="K6" s="13" t="str">
        <f t="shared" si="4"/>
        <v>10.1038%2Fs42003-025-08686-5_SupplementaryData1</v>
      </c>
      <c r="L6" s="13" t="str">
        <f t="array" ref="L6">IFERROR(INDEX(AUTO_Public_TSV_FileList!$A$1:$A$1000,MATCH(TRUE(),EXACT(K6,IFERROR(_xlfn.TEXTBEFORE(AUTO_Public_TSV_FileList!$A$1:$A$1000,".tsv"),"")),0)),"notfound")</f>
        <v>10.1038%2Fs42003-025-08686-5_SupplementaryData1.tsv</v>
      </c>
      <c r="M6" s="5"/>
      <c r="N6" s="5"/>
      <c r="O6" s="4"/>
      <c r="P6" s="5" t="s">
        <v>36</v>
      </c>
      <c r="Q6" s="5"/>
      <c r="R6" s="5"/>
      <c r="S6" s="4"/>
      <c r="T6" s="4"/>
      <c r="U6" s="4"/>
      <c r="V6" s="5"/>
      <c r="W6" s="5"/>
      <c r="X6" s="5"/>
      <c r="Y6" s="4"/>
      <c r="Z6" s="4"/>
      <c r="AA6" s="5"/>
      <c r="AB6" s="5"/>
      <c r="AC6" s="5"/>
      <c r="AD6" s="4"/>
      <c r="AE6" s="5"/>
      <c r="AF6" s="5"/>
      <c r="AG6" s="4"/>
    </row>
    <row r="7" spans="1:33" ht="17.100000000000001" customHeight="1">
      <c r="A7" s="17" t="s">
        <v>69</v>
      </c>
      <c r="D7" s="1" t="s">
        <v>70</v>
      </c>
      <c r="E7" s="13" t="str">
        <f t="shared" si="0"/>
        <v>Balzeau</v>
      </c>
      <c r="F7" s="13" t="str">
        <f t="array" ref="F7">_xlfn.LET(
 _xlpm.authors,_xlfn.TEXTBEFORE(A7," ("&amp;G7&amp;")"),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 s="13" t="str">
        <f t="shared" si="1"/>
        <v>2012</v>
      </c>
      <c r="H7" s="13" t="str">
        <f t="shared" si="2"/>
        <v>Balzeau_etal_2012</v>
      </c>
      <c r="I7" s="13" t="str">
        <f t="shared" si="5"/>
        <v>10.1016%2Fj.jhevol.2012.03.007</v>
      </c>
      <c r="J7" s="13" t="str">
        <f t="shared" si="3"/>
        <v>Balzeau_etal_2012_Table2</v>
      </c>
      <c r="K7" s="13" t="str">
        <f t="shared" si="4"/>
        <v>10.1016%2Fj.jhevol.2012.03.007_Table2</v>
      </c>
      <c r="L7" s="13" t="str">
        <f t="array" ref="L7">IFERROR(INDEX(AUTO_Public_TSV_FileList!$A$1:$A$1000,MATCH(TRUE(),EXACT(K7,IFERROR(_xlfn.TEXTBEFORE(AUTO_Public_TSV_FileList!$A$1:$A$1000,".tsv"),"")),0)),"notfound")</f>
        <v>10.1016%2Fj.jhevol.2012.03.007_Table2.tsv</v>
      </c>
      <c r="M7" s="5" t="s">
        <v>71</v>
      </c>
      <c r="N7" s="4"/>
      <c r="O7" s="4"/>
      <c r="P7" s="5" t="s">
        <v>36</v>
      </c>
      <c r="Q7" s="4"/>
      <c r="R7" s="4"/>
      <c r="S7" s="4"/>
      <c r="T7" s="4"/>
      <c r="U7" s="4"/>
      <c r="V7" s="4"/>
      <c r="W7" s="4"/>
      <c r="X7" s="4"/>
      <c r="Y7" s="4"/>
      <c r="Z7" s="4"/>
      <c r="AA7" s="4"/>
      <c r="AB7" s="4"/>
      <c r="AC7" s="4"/>
      <c r="AD7" s="4"/>
      <c r="AE7" s="4"/>
      <c r="AF7" s="4"/>
      <c r="AG7" s="4"/>
    </row>
    <row r="8" spans="1:33" ht="17.100000000000001" customHeight="1">
      <c r="A8" s="17" t="s">
        <v>69</v>
      </c>
      <c r="D8" s="1" t="s">
        <v>72</v>
      </c>
      <c r="E8" s="13" t="str">
        <f t="shared" si="0"/>
        <v>Balzeau</v>
      </c>
      <c r="F8" s="13" t="str">
        <f t="array" ref="F8">_xlfn.LET(
 _xlpm.authors,_xlfn.TEXTBEFORE(A8," ("&amp;G8&amp;")"),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 s="13" t="str">
        <f t="shared" si="1"/>
        <v>2012</v>
      </c>
      <c r="H8" s="13" t="str">
        <f t="shared" si="2"/>
        <v>Balzeau_etal_2012</v>
      </c>
      <c r="I8" s="13" t="str">
        <f t="shared" si="5"/>
        <v>10.1016%2Fj.jhevol.2012.03.007</v>
      </c>
      <c r="J8" s="13" t="str">
        <f t="shared" si="3"/>
        <v>Balzeau_etal_2012_Table3</v>
      </c>
      <c r="K8" s="13" t="str">
        <f t="shared" si="4"/>
        <v>10.1016%2Fj.jhevol.2012.03.007_Table3</v>
      </c>
      <c r="L8" s="13" t="str">
        <f t="array" ref="L8">IFERROR(INDEX(AUTO_Public_TSV_FileList!$A$1:$A$1000,MATCH(TRUE(),EXACT(K8,IFERROR(_xlfn.TEXTBEFORE(AUTO_Public_TSV_FileList!$A$1:$A$1000,".tsv"),"")),0)),"notfound")</f>
        <v>10.1016%2Fj.jhevol.2012.03.007_Table3.tsv</v>
      </c>
      <c r="M8" s="5" t="s">
        <v>73</v>
      </c>
      <c r="N8" s="4"/>
      <c r="O8" s="4"/>
      <c r="P8" s="5" t="s">
        <v>36</v>
      </c>
      <c r="Q8" s="4"/>
      <c r="R8" s="4"/>
      <c r="S8" s="4"/>
      <c r="T8" s="4"/>
      <c r="U8" s="4"/>
      <c r="V8" s="4"/>
      <c r="W8" s="4"/>
      <c r="X8" s="4"/>
      <c r="Y8" s="4"/>
      <c r="Z8" s="4"/>
      <c r="AA8" s="4"/>
      <c r="AB8" s="4"/>
      <c r="AC8" s="4"/>
      <c r="AD8" s="4"/>
      <c r="AE8" s="4"/>
      <c r="AF8" s="4"/>
      <c r="AG8" s="4"/>
    </row>
    <row r="9" spans="1:33" ht="17.100000000000001" customHeight="1">
      <c r="A9" s="17" t="s">
        <v>69</v>
      </c>
      <c r="D9" s="1" t="s">
        <v>74</v>
      </c>
      <c r="E9" s="13" t="str">
        <f t="shared" si="0"/>
        <v>Balzeau</v>
      </c>
      <c r="F9" s="13" t="str">
        <f t="array" ref="F9">_xlfn.LET(
 _xlpm.authors,_xlfn.TEXTBEFORE(A9," ("&amp;G9&amp;")"),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 s="13" t="str">
        <f t="shared" si="1"/>
        <v>2012</v>
      </c>
      <c r="H9" s="13" t="str">
        <f t="shared" si="2"/>
        <v>Balzeau_etal_2012</v>
      </c>
      <c r="I9" s="13" t="str">
        <f t="shared" si="5"/>
        <v>10.1016%2Fj.jhevol.2012.03.007</v>
      </c>
      <c r="J9" s="13" t="str">
        <f t="shared" si="3"/>
        <v>Balzeau_etal_2012_Table5</v>
      </c>
      <c r="K9" s="13" t="str">
        <f t="shared" si="4"/>
        <v>10.1016%2Fj.jhevol.2012.03.007_Table5</v>
      </c>
      <c r="L9" s="13" t="str">
        <f t="array" ref="L9">IFERROR(INDEX(AUTO_Public_TSV_FileList!$A$1:$A$1000,MATCH(TRUE(),EXACT(K9,IFERROR(_xlfn.TEXTBEFORE(AUTO_Public_TSV_FileList!$A$1:$A$1000,".tsv"),"")),0)),"notfound")</f>
        <v>10.1016%2Fj.jhevol.2012.03.007_Table5.tsv</v>
      </c>
      <c r="M9" s="5" t="s">
        <v>75</v>
      </c>
      <c r="N9" s="4"/>
      <c r="O9" s="4"/>
      <c r="P9" s="5" t="s">
        <v>36</v>
      </c>
      <c r="Q9" s="4"/>
      <c r="R9" s="4"/>
      <c r="S9" s="4"/>
      <c r="T9" s="4"/>
      <c r="U9" s="4"/>
      <c r="V9" s="4"/>
      <c r="W9" s="4"/>
      <c r="X9" s="4"/>
      <c r="Y9" s="4"/>
      <c r="Z9" s="4"/>
      <c r="AA9" s="4"/>
      <c r="AB9" s="4"/>
      <c r="AC9" s="4"/>
      <c r="AD9" s="4"/>
      <c r="AE9" s="4"/>
      <c r="AF9" s="4"/>
      <c r="AG9" s="4"/>
    </row>
    <row r="10" spans="1:33" ht="17.100000000000001" customHeight="1">
      <c r="A10" s="17" t="s">
        <v>76</v>
      </c>
      <c r="D10" s="1" t="s">
        <v>77</v>
      </c>
      <c r="E10" s="13" t="str">
        <f t="shared" si="0"/>
        <v>BarbeitoAndrés</v>
      </c>
      <c r="F10" s="13" t="str">
        <f t="array" ref="F10">_xlfn.LET(
 _xlpm.authors,_xlfn.TEXTBEFORE(A10," ("&amp;G10&amp;")"),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0" s="13" t="str">
        <f t="shared" si="1"/>
        <v>2019</v>
      </c>
      <c r="H10" s="13" t="str">
        <f t="shared" si="2"/>
        <v>BarbeitoAndrés_etal_2019</v>
      </c>
      <c r="I10" s="13" t="str">
        <f t="shared" si="5"/>
        <v>10.1242%2Fjeb.204651</v>
      </c>
      <c r="J10" s="13" t="str">
        <f t="shared" si="3"/>
        <v>BarbeitoAndrés_etal_2019_celldensity</v>
      </c>
      <c r="K10" s="13" t="str">
        <f t="shared" si="4"/>
        <v>10.1242%2Fjeb.204651_celldensity</v>
      </c>
      <c r="L10" s="13" t="str">
        <f t="array" ref="L10">IFERROR(INDEX(AUTO_Public_TSV_FileList!$A$1:$A$1000,MATCH(TRUE(),EXACT(K10,IFERROR(_xlfn.TEXTBEFORE(AUTO_Public_TSV_FileList!$A$1:$A$1000,".tsv"),"")),0)),"notfound")</f>
        <v>10.1242%2Fjeb.204651_celldensity.tsv</v>
      </c>
      <c r="M10" s="4"/>
      <c r="N10" s="4"/>
      <c r="O10" s="4"/>
      <c r="P10" s="5" t="s">
        <v>36</v>
      </c>
      <c r="Q10" s="4"/>
      <c r="R10" s="4"/>
      <c r="S10" s="4"/>
      <c r="T10" s="4"/>
      <c r="U10" s="4"/>
      <c r="V10" s="4"/>
      <c r="W10" s="5"/>
      <c r="X10" s="4"/>
      <c r="Y10" s="4"/>
      <c r="Z10" s="4"/>
      <c r="AA10" s="5" t="s">
        <v>63</v>
      </c>
      <c r="AB10" s="5" t="s">
        <v>64</v>
      </c>
      <c r="AC10" s="4"/>
      <c r="AD10" s="4"/>
      <c r="AE10" s="5"/>
      <c r="AF10" s="5"/>
      <c r="AG10" s="4"/>
    </row>
    <row r="11" spans="1:33" ht="17.100000000000001" customHeight="1">
      <c r="A11" s="17" t="s">
        <v>76</v>
      </c>
      <c r="D11" s="1" t="s">
        <v>78</v>
      </c>
      <c r="E11" s="13" t="str">
        <f t="shared" si="0"/>
        <v>BarbeitoAndrés</v>
      </c>
      <c r="F11" s="13" t="str">
        <f t="array" ref="F11">_xlfn.LET(
 _xlpm.authors,_xlfn.TEXTBEFORE(A11," ("&amp;G11&amp;")"),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 s="13" t="str">
        <f t="shared" si="1"/>
        <v>2019</v>
      </c>
      <c r="H11" s="13" t="str">
        <f t="shared" si="2"/>
        <v>BarbeitoAndrés_etal_2019</v>
      </c>
      <c r="I11" s="13" t="str">
        <f t="shared" si="5"/>
        <v>10.1242%2Fjeb.204651</v>
      </c>
      <c r="J11" s="13" t="str">
        <f t="shared" si="3"/>
        <v>BarbeitoAndrés_etal_2019_cellnumber</v>
      </c>
      <c r="K11" s="13" t="str">
        <f t="shared" si="4"/>
        <v>10.1242%2Fjeb.204651_cellnumber</v>
      </c>
      <c r="L11" s="13" t="str">
        <f t="array" ref="L11">IFERROR(INDEX(AUTO_Public_TSV_FileList!$A$1:$A$1000,MATCH(TRUE(),EXACT(K11,IFERROR(_xlfn.TEXTBEFORE(AUTO_Public_TSV_FileList!$A$1:$A$1000,".tsv"),"")),0)),"notfound")</f>
        <v>10.1242%2Fjeb.204651_cellnumber.tsv</v>
      </c>
      <c r="M11" s="4"/>
      <c r="N11" s="4"/>
      <c r="O11" s="4"/>
      <c r="P11" s="5" t="s">
        <v>36</v>
      </c>
      <c r="Q11" s="4"/>
      <c r="R11" s="4"/>
      <c r="S11" s="4"/>
      <c r="T11" s="4"/>
      <c r="U11" s="4"/>
      <c r="V11" s="4"/>
      <c r="W11" s="5"/>
      <c r="X11" s="4"/>
      <c r="Y11" s="4"/>
      <c r="Z11" s="4"/>
      <c r="AA11" s="5" t="s">
        <v>63</v>
      </c>
      <c r="AB11" s="5" t="s">
        <v>64</v>
      </c>
      <c r="AC11" s="4"/>
      <c r="AD11" s="4"/>
      <c r="AE11" s="5"/>
      <c r="AF11" s="5"/>
      <c r="AG11" s="4"/>
    </row>
    <row r="12" spans="1:33" ht="17.100000000000001" customHeight="1">
      <c r="A12" s="17" t="s">
        <v>76</v>
      </c>
      <c r="D12" s="1" t="s">
        <v>79</v>
      </c>
      <c r="E12" s="13" t="str">
        <f t="shared" si="0"/>
        <v>BarbeitoAndrés</v>
      </c>
      <c r="F12" s="13" t="str">
        <f t="array" ref="F12">_xlfn.LET(
 _xlpm.authors,_xlfn.TEXTBEFORE(A12," ("&amp;G12&amp;")"),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 s="13" t="str">
        <f t="shared" si="1"/>
        <v>2019</v>
      </c>
      <c r="H12" s="13" t="str">
        <f t="shared" si="2"/>
        <v>BarbeitoAndrés_etal_2019</v>
      </c>
      <c r="I12" s="13" t="str">
        <f t="shared" si="5"/>
        <v>10.1242%2Fjeb.204651</v>
      </c>
      <c r="J12" s="13" t="str">
        <f t="shared" si="3"/>
        <v>BarbeitoAndrés_etal_2019_volumes</v>
      </c>
      <c r="K12" s="13" t="str">
        <f t="shared" si="4"/>
        <v>10.1242%2Fjeb.204651_volumes</v>
      </c>
      <c r="L12" s="13" t="str">
        <f t="array" ref="L12">IFERROR(INDEX(AUTO_Public_TSV_FileList!$A$1:$A$1000,MATCH(TRUE(),EXACT(K12,IFERROR(_xlfn.TEXTBEFORE(AUTO_Public_TSV_FileList!$A$1:$A$1000,".tsv"),"")),0)),"notfound")</f>
        <v>10.1242%2Fjeb.204651_volumes.tsv</v>
      </c>
      <c r="M12" s="4"/>
      <c r="N12" s="4"/>
      <c r="O12" s="4"/>
      <c r="P12" s="5" t="s">
        <v>36</v>
      </c>
      <c r="Q12" s="4"/>
      <c r="R12" s="4"/>
      <c r="S12" s="4"/>
      <c r="T12" s="4"/>
      <c r="U12" s="4"/>
      <c r="V12" s="4"/>
      <c r="W12" s="5"/>
      <c r="X12" s="4"/>
      <c r="Y12" s="4"/>
      <c r="Z12" s="4"/>
      <c r="AA12" s="5" t="s">
        <v>63</v>
      </c>
      <c r="AB12" s="5" t="s">
        <v>64</v>
      </c>
      <c r="AC12" s="4"/>
      <c r="AD12" s="4"/>
      <c r="AE12" s="5"/>
      <c r="AF12" s="5"/>
      <c r="AG12" s="4"/>
    </row>
    <row r="13" spans="1:33" ht="17.100000000000001" customHeight="1">
      <c r="A13" s="1" t="s">
        <v>80</v>
      </c>
      <c r="D13" s="1" t="s">
        <v>81</v>
      </c>
      <c r="E13" s="13" t="str">
        <f t="shared" si="0"/>
        <v>Barger</v>
      </c>
      <c r="F13" s="13" t="str">
        <f t="array" ref="F13">_xlfn.LET(
 _xlpm.authors,_xlfn.TEXTBEFORE(A13," ("&amp;G13&amp;")"),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 s="13" t="str">
        <f t="shared" si="1"/>
        <v>2014</v>
      </c>
      <c r="H13" s="13" t="str">
        <f t="shared" si="2"/>
        <v>Barger_etal_2014</v>
      </c>
      <c r="I13" s="13" t="str">
        <f t="shared" si="5"/>
        <v>10.3389%2Ffnhum.2014.00277</v>
      </c>
      <c r="J13" s="13" t="str">
        <f t="shared" si="3"/>
        <v>Barger_etal_2014_Table1</v>
      </c>
      <c r="K13" s="13" t="str">
        <f t="shared" si="4"/>
        <v>10.3389%2Ffnhum.2014.00277_Table1</v>
      </c>
      <c r="L13" s="13" t="str">
        <f t="array" ref="L13">IFERROR(INDEX(AUTO_Public_TSV_FileList!$A$1:$A$1000,MATCH(TRUE(),EXACT(K13,IFERROR(_xlfn.TEXTBEFORE(AUTO_Public_TSV_FileList!$A$1:$A$1000,".tsv"),"")),0)),"notfound")</f>
        <v>10.3389%2Ffnhum.2014.00277_Table1.tsv</v>
      </c>
      <c r="M13" s="5" t="s">
        <v>82</v>
      </c>
      <c r="N13" s="4"/>
      <c r="O13" s="4"/>
      <c r="P13" s="5" t="s">
        <v>36</v>
      </c>
      <c r="Q13" s="4"/>
      <c r="R13" s="4"/>
      <c r="S13" s="4"/>
      <c r="T13" s="4"/>
      <c r="U13" s="4"/>
      <c r="V13" s="4"/>
      <c r="W13" s="4"/>
      <c r="X13" s="4"/>
      <c r="Y13" s="4"/>
      <c r="Z13" s="5" t="s">
        <v>83</v>
      </c>
      <c r="AA13" s="4"/>
      <c r="AB13" s="4"/>
      <c r="AC13" s="5" t="s">
        <v>84</v>
      </c>
      <c r="AD13" s="5" t="s">
        <v>84</v>
      </c>
      <c r="AE13" s="4"/>
      <c r="AF13" s="4"/>
      <c r="AG13" s="4"/>
    </row>
    <row r="14" spans="1:33" ht="17.100000000000001" customHeight="1">
      <c r="A14" s="1" t="s">
        <v>85</v>
      </c>
      <c r="D14" s="1" t="s">
        <v>58</v>
      </c>
      <c r="E14" s="13" t="str">
        <f t="shared" si="0"/>
        <v>Barger</v>
      </c>
      <c r="F14" s="13" t="str">
        <f t="array" ref="F14">_xlfn.LET(
 _xlpm.authors,_xlfn.TEXTBEFORE(A14," ("&amp;G14&amp;")"),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 s="13" t="str">
        <f t="shared" si="1"/>
        <v>2007</v>
      </c>
      <c r="H14" s="13" t="str">
        <f t="shared" si="2"/>
        <v>Barger_etal_2007</v>
      </c>
      <c r="I14" s="13" t="str">
        <f t="shared" si="5"/>
        <v>10.1002%2Fajpa.20684</v>
      </c>
      <c r="J14" s="13" t="str">
        <f t="shared" si="3"/>
        <v>Barger_etal_2007_TABLE1</v>
      </c>
      <c r="K14" s="13" t="str">
        <f t="shared" si="4"/>
        <v>10.1002%2Fajpa.20684_TABLE1</v>
      </c>
      <c r="L14" s="13" t="str">
        <f t="array" ref="L14">IFERROR(INDEX(AUTO_Public_TSV_FileList!$A$1:$A$1000,MATCH(TRUE(),EXACT(K14,IFERROR(_xlfn.TEXTBEFORE(AUTO_Public_TSV_FileList!$A$1:$A$1000,".tsv"),"")),0)),"notfound")</f>
        <v>10.1002%2Fajpa.20684_TABLE1.tsv</v>
      </c>
      <c r="M14" s="5" t="s">
        <v>86</v>
      </c>
      <c r="N14" s="4"/>
      <c r="O14" s="4"/>
      <c r="P14" s="5" t="s">
        <v>36</v>
      </c>
      <c r="Q14" s="4"/>
      <c r="R14" s="4"/>
      <c r="S14" s="4"/>
      <c r="T14" s="4"/>
      <c r="U14" s="4"/>
      <c r="V14" s="4"/>
      <c r="W14" s="5" t="s">
        <v>87</v>
      </c>
      <c r="X14" s="5" t="s">
        <v>88</v>
      </c>
      <c r="Y14" s="4"/>
      <c r="Z14" s="5" t="s">
        <v>89</v>
      </c>
      <c r="AA14" s="4"/>
      <c r="AB14" s="5" t="s">
        <v>90</v>
      </c>
      <c r="AC14" s="5" t="s">
        <v>84</v>
      </c>
      <c r="AD14" s="5" t="s">
        <v>84</v>
      </c>
      <c r="AE14" s="5" t="s">
        <v>66</v>
      </c>
      <c r="AF14" s="5"/>
      <c r="AG14" s="4"/>
    </row>
    <row r="15" spans="1:33" ht="17.100000000000001" customHeight="1">
      <c r="A15" s="1" t="s">
        <v>91</v>
      </c>
      <c r="D15" s="1" t="s">
        <v>81</v>
      </c>
      <c r="E15" s="13" t="str">
        <f t="shared" si="0"/>
        <v>Barger</v>
      </c>
      <c r="F15" s="13" t="str">
        <f t="array" ref="F15">_xlfn.LET(
 _xlpm.authors,_xlfn.TEXTBEFORE(A15," ("&amp;G15&amp;")"),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 s="13" t="str">
        <f t="shared" si="1"/>
        <v>2012</v>
      </c>
      <c r="H15" s="13" t="str">
        <f t="shared" si="2"/>
        <v>Barger_etal_2012</v>
      </c>
      <c r="I15" s="13" t="str">
        <f t="shared" si="5"/>
        <v>10.1002%2Fcne.23118</v>
      </c>
      <c r="J15" s="13" t="str">
        <f t="shared" si="3"/>
        <v>Barger_etal_2012_Table1</v>
      </c>
      <c r="K15" s="13" t="str">
        <f t="shared" si="4"/>
        <v>10.1002%2Fcne.23118_Table1</v>
      </c>
      <c r="L15" s="13" t="str">
        <f t="array" ref="L15">IFERROR(INDEX(AUTO_Public_TSV_FileList!$A$1:$A$1000,MATCH(TRUE(),EXACT(K15,IFERROR(_xlfn.TEXTBEFORE(AUTO_Public_TSV_FileList!$A$1:$A$1000,".tsv"),"")),0)),"notfound")</f>
        <v>10.1002%2Fcne.23118_Table1.tsv</v>
      </c>
      <c r="M15" s="5" t="s">
        <v>92</v>
      </c>
      <c r="N15" s="4" t="s">
        <v>93</v>
      </c>
      <c r="O15" s="4"/>
      <c r="P15" s="5" t="s">
        <v>36</v>
      </c>
      <c r="Q15" s="4"/>
      <c r="R15" s="4"/>
      <c r="S15" s="4"/>
      <c r="T15" s="4"/>
      <c r="U15" s="4"/>
      <c r="V15" s="4" t="s">
        <v>94</v>
      </c>
      <c r="W15" s="5" t="s">
        <v>95</v>
      </c>
      <c r="X15" s="5" t="s">
        <v>96</v>
      </c>
      <c r="Y15" s="4"/>
      <c r="Z15" s="5" t="s">
        <v>83</v>
      </c>
      <c r="AA15" s="4"/>
      <c r="AB15" s="5" t="s">
        <v>97</v>
      </c>
      <c r="AC15" s="5"/>
      <c r="AD15" s="5" t="s">
        <v>98</v>
      </c>
      <c r="AE15" s="5" t="s">
        <v>66</v>
      </c>
      <c r="AF15" s="5"/>
      <c r="AG15" s="4"/>
    </row>
    <row r="16" spans="1:33" ht="17.100000000000001" customHeight="1">
      <c r="A16" s="1" t="s">
        <v>91</v>
      </c>
      <c r="D16" s="1" t="s">
        <v>72</v>
      </c>
      <c r="E16" s="13" t="str">
        <f t="shared" si="0"/>
        <v>Barger</v>
      </c>
      <c r="F16" s="13" t="str">
        <f t="array" ref="F16">_xlfn.LET(
 _xlpm.authors,_xlfn.TEXTBEFORE(A16," ("&amp;G16&amp;")"),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 s="13" t="str">
        <f t="shared" si="1"/>
        <v>2012</v>
      </c>
      <c r="H16" s="13" t="str">
        <f t="shared" si="2"/>
        <v>Barger_etal_2012</v>
      </c>
      <c r="I16" s="13" t="str">
        <f t="shared" si="5"/>
        <v>10.1002%2Fcne.23118</v>
      </c>
      <c r="J16" s="13" t="str">
        <f t="shared" si="3"/>
        <v>Barger_etal_2012_Table3</v>
      </c>
      <c r="K16" s="13" t="str">
        <f t="shared" si="4"/>
        <v>10.1002%2Fcne.23118_Table3</v>
      </c>
      <c r="L16" s="13" t="str">
        <f t="array" ref="L16">IFERROR(INDEX(AUTO_Public_TSV_FileList!$A$1:$A$1000,MATCH(TRUE(),EXACT(K16,IFERROR(_xlfn.TEXTBEFORE(AUTO_Public_TSV_FileList!$A$1:$A$1000,".tsv"),"")),0)),"notfound")</f>
        <v>10.1002%2Fcne.23118_Table3.tsv</v>
      </c>
      <c r="M16" s="5" t="s">
        <v>99</v>
      </c>
      <c r="N16" s="4"/>
      <c r="O16" s="4"/>
      <c r="P16" s="5" t="s">
        <v>36</v>
      </c>
      <c r="Q16" s="4"/>
      <c r="R16" s="4"/>
      <c r="S16" s="4"/>
      <c r="T16" s="4"/>
      <c r="U16" s="4"/>
      <c r="V16" s="4"/>
      <c r="W16" s="5" t="s">
        <v>100</v>
      </c>
      <c r="X16" s="5" t="s">
        <v>101</v>
      </c>
      <c r="Y16" s="4"/>
      <c r="Z16" s="4"/>
      <c r="AA16" s="4"/>
      <c r="AB16" s="5" t="s">
        <v>102</v>
      </c>
      <c r="AC16" s="4"/>
      <c r="AD16" s="4"/>
      <c r="AE16" s="5" t="s">
        <v>66</v>
      </c>
      <c r="AF16" s="5"/>
      <c r="AG16" s="4"/>
    </row>
    <row r="17" spans="1:33" ht="17.100000000000001" customHeight="1">
      <c r="A17" s="1" t="s">
        <v>103</v>
      </c>
      <c r="D17" s="1" t="s">
        <v>104</v>
      </c>
      <c r="E17" s="13" t="str">
        <f t="shared" si="0"/>
        <v>Barks</v>
      </c>
      <c r="F17" s="13" t="str">
        <f t="array" ref="F17">_xlfn.LET(
 _xlpm.authors,_xlfn.TEXTBEFORE(A17," ("&amp;G17&amp;")"),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 s="13" t="str">
        <f t="shared" si="1"/>
        <v>2014</v>
      </c>
      <c r="H17" s="13" t="str">
        <f t="shared" si="2"/>
        <v>Barks_etal_2014</v>
      </c>
      <c r="I17" s="13" t="str">
        <f t="shared" si="5"/>
        <v>10.1002%2Fajpa.22646</v>
      </c>
      <c r="J17" s="13" t="str">
        <f t="shared" si="3"/>
        <v>Barks_etal_2014_Fig4A</v>
      </c>
      <c r="K17" s="13" t="str">
        <f t="shared" si="4"/>
        <v>10.1002%2Fajpa.22646_Fig4A</v>
      </c>
      <c r="L17" s="13" t="str">
        <f t="array" ref="L17">IFERROR(INDEX(AUTO_Public_TSV_FileList!$A$1:$A$1000,MATCH(TRUE(),EXACT(K17,IFERROR(_xlfn.TEXTBEFORE(AUTO_Public_TSV_FileList!$A$1:$A$1000,".tsv"),"")),0)),"notfound")</f>
        <v>10.1002%2Fajpa.22646_Fig4A.tsv</v>
      </c>
      <c r="M17" s="5" t="s">
        <v>105</v>
      </c>
      <c r="N17" s="4"/>
      <c r="O17" s="5"/>
      <c r="P17" s="5" t="s">
        <v>36</v>
      </c>
      <c r="Q17" s="4"/>
      <c r="R17" s="4"/>
      <c r="S17" s="4"/>
      <c r="T17" s="4"/>
      <c r="U17" s="4"/>
      <c r="V17" s="4"/>
      <c r="W17" s="4"/>
      <c r="X17" s="4"/>
      <c r="Y17" s="4"/>
      <c r="Z17" s="4"/>
      <c r="AA17" s="4"/>
      <c r="AB17" s="4"/>
      <c r="AC17" s="5" t="s">
        <v>106</v>
      </c>
      <c r="AD17" s="4"/>
      <c r="AE17" s="4"/>
      <c r="AF17" s="4"/>
      <c r="AG17" s="4"/>
    </row>
    <row r="18" spans="1:33" ht="17.100000000000001" customHeight="1">
      <c r="A18" s="1" t="s">
        <v>103</v>
      </c>
      <c r="D18" s="1" t="s">
        <v>107</v>
      </c>
      <c r="E18" s="13" t="str">
        <f t="shared" si="0"/>
        <v>Barks</v>
      </c>
      <c r="F18" s="13" t="str">
        <f t="array" ref="F18">_xlfn.LET(
 _xlpm.authors,_xlfn.TEXTBEFORE(A18," ("&amp;G18&amp;")"),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 s="13" t="str">
        <f t="shared" si="1"/>
        <v>2014</v>
      </c>
      <c r="H18" s="13" t="str">
        <f t="shared" si="2"/>
        <v>Barks_etal_2014</v>
      </c>
      <c r="I18" s="13" t="str">
        <f t="shared" si="5"/>
        <v>10.1002%2Fajpa.22646</v>
      </c>
      <c r="J18" s="13" t="str">
        <f t="shared" si="3"/>
        <v>Barks_etal_2014_Fig5A</v>
      </c>
      <c r="K18" s="13" t="str">
        <f t="shared" si="4"/>
        <v>10.1002%2Fajpa.22646_Fig5A</v>
      </c>
      <c r="L18" s="13" t="str">
        <f t="array" ref="L18">IFERROR(INDEX(AUTO_Public_TSV_FileList!$A$1:$A$1000,MATCH(TRUE(),EXACT(K18,IFERROR(_xlfn.TEXTBEFORE(AUTO_Public_TSV_FileList!$A$1:$A$1000,".tsv"),"")),0)),"notfound")</f>
        <v>10.1002%2Fajpa.22646_Fig5A.tsv</v>
      </c>
      <c r="M18" s="5" t="s">
        <v>108</v>
      </c>
      <c r="N18" s="4"/>
      <c r="O18" s="5"/>
      <c r="P18" s="5" t="s">
        <v>36</v>
      </c>
      <c r="Q18" s="4"/>
      <c r="R18" s="4"/>
      <c r="S18" s="4"/>
      <c r="T18" s="4"/>
      <c r="U18" s="4"/>
      <c r="V18" s="4"/>
      <c r="W18" s="4"/>
      <c r="X18" s="4"/>
      <c r="Y18" s="4"/>
      <c r="Z18" s="4"/>
      <c r="AA18" s="4"/>
      <c r="AB18" s="4"/>
      <c r="AC18" s="4"/>
      <c r="AD18" s="4"/>
      <c r="AE18" s="4"/>
      <c r="AF18" s="4"/>
      <c r="AG18" s="4"/>
    </row>
    <row r="19" spans="1:33" ht="17.100000000000001" customHeight="1">
      <c r="A19" s="1" t="s">
        <v>103</v>
      </c>
      <c r="D19" s="1" t="s">
        <v>58</v>
      </c>
      <c r="E19" s="13" t="str">
        <f t="shared" si="0"/>
        <v>Barks</v>
      </c>
      <c r="F19" s="13" t="str">
        <f t="array" ref="F19">_xlfn.LET(
 _xlpm.authors,_xlfn.TEXTBEFORE(A19," ("&amp;G19&amp;")"),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 s="13" t="str">
        <f t="shared" si="1"/>
        <v>2014</v>
      </c>
      <c r="H19" s="13" t="str">
        <f t="shared" si="2"/>
        <v>Barks_etal_2014</v>
      </c>
      <c r="I19" s="13" t="str">
        <f t="shared" si="5"/>
        <v>10.1002%2Fajpa.22646</v>
      </c>
      <c r="J19" s="13" t="str">
        <f t="shared" si="3"/>
        <v>Barks_etal_2014_TABLE1</v>
      </c>
      <c r="K19" s="13" t="str">
        <f t="shared" si="4"/>
        <v>10.1002%2Fajpa.22646_TABLE1</v>
      </c>
      <c r="L19" s="13" t="str">
        <f t="array" ref="L19">IFERROR(INDEX(AUTO_Public_TSV_FileList!$A$1:$A$1000,MATCH(TRUE(),EXACT(K19,IFERROR(_xlfn.TEXTBEFORE(AUTO_Public_TSV_FileList!$A$1:$A$1000,".tsv"),"")),0)),"notfound")</f>
        <v>10.1002%2Fajpa.22646_TABLE1.tsv</v>
      </c>
      <c r="M19" s="5" t="s">
        <v>109</v>
      </c>
      <c r="N19" s="4"/>
      <c r="O19" s="4"/>
      <c r="P19" s="5" t="s">
        <v>36</v>
      </c>
      <c r="Q19" s="4"/>
      <c r="R19" s="4"/>
      <c r="S19" s="4"/>
      <c r="T19" s="4"/>
      <c r="U19" s="4"/>
      <c r="V19" s="4"/>
      <c r="W19" s="4"/>
      <c r="X19" s="4"/>
      <c r="Y19" s="4"/>
      <c r="Z19" s="4"/>
      <c r="AA19" s="4"/>
      <c r="AB19" s="4"/>
      <c r="AC19" s="5" t="s">
        <v>106</v>
      </c>
      <c r="AD19" s="4"/>
      <c r="AE19" s="4"/>
      <c r="AF19" s="4"/>
      <c r="AG19" s="4"/>
    </row>
    <row r="20" spans="1:33" ht="17.100000000000001" customHeight="1">
      <c r="A20" s="1" t="s">
        <v>103</v>
      </c>
      <c r="D20" s="1" t="s">
        <v>110</v>
      </c>
      <c r="E20" s="13" t="str">
        <f t="shared" si="0"/>
        <v>Barks</v>
      </c>
      <c r="F20" s="13" t="str">
        <f t="array" ref="F20">_xlfn.LET(
 _xlpm.authors,_xlfn.TEXTBEFORE(A20," ("&amp;G20&amp;")"),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 s="13" t="str">
        <f t="shared" si="1"/>
        <v>2014</v>
      </c>
      <c r="H20" s="13" t="str">
        <f t="shared" si="2"/>
        <v>Barks_etal_2014</v>
      </c>
      <c r="I20" s="13" t="str">
        <f t="shared" si="5"/>
        <v>10.1002%2Fajpa.22646</v>
      </c>
      <c r="J20" s="13" t="str">
        <f t="shared" si="3"/>
        <v>Barks_etal_2014_TABLE2</v>
      </c>
      <c r="K20" s="13" t="str">
        <f t="shared" si="4"/>
        <v>10.1002%2Fajpa.22646_TABLE2</v>
      </c>
      <c r="L20" s="13" t="str">
        <f t="array" ref="L20">IFERROR(INDEX(AUTO_Public_TSV_FileList!$A$1:$A$1000,MATCH(TRUE(),EXACT(K20,IFERROR(_xlfn.TEXTBEFORE(AUTO_Public_TSV_FileList!$A$1:$A$1000,".tsv"),"")),0)),"notfound")</f>
        <v>10.1002%2Fajpa.22646_TABLE2.tsv</v>
      </c>
      <c r="M20" s="5" t="s">
        <v>111</v>
      </c>
      <c r="N20" s="4"/>
      <c r="O20" s="4"/>
      <c r="P20" s="5" t="s">
        <v>36</v>
      </c>
      <c r="Q20" s="4"/>
      <c r="R20" s="4"/>
      <c r="S20" s="4"/>
      <c r="T20" s="4"/>
      <c r="U20" s="4"/>
      <c r="V20" s="4"/>
      <c r="W20" s="4"/>
      <c r="X20" s="4"/>
      <c r="Y20" s="4"/>
      <c r="Z20" s="4"/>
      <c r="AA20" s="4"/>
      <c r="AB20" s="4"/>
      <c r="AC20" s="4"/>
      <c r="AD20" s="4"/>
      <c r="AE20" s="4"/>
      <c r="AF20" s="4"/>
      <c r="AG20" s="4"/>
    </row>
    <row r="21" spans="1:33" ht="17.100000000000001" customHeight="1">
      <c r="A21" s="1" t="s">
        <v>103</v>
      </c>
      <c r="D21" s="1" t="s">
        <v>112</v>
      </c>
      <c r="E21" s="13" t="str">
        <f t="shared" si="0"/>
        <v>Barks</v>
      </c>
      <c r="F21" s="13" t="str">
        <f t="array" ref="F21">_xlfn.LET(
 _xlpm.authors,_xlfn.TEXTBEFORE(A21," ("&amp;G21&amp;")"),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 s="13" t="str">
        <f t="shared" si="1"/>
        <v>2014</v>
      </c>
      <c r="H21" s="13" t="str">
        <f t="shared" si="2"/>
        <v>Barks_etal_2014</v>
      </c>
      <c r="I21" s="13" t="str">
        <f t="shared" si="5"/>
        <v>10.1002%2Fajpa.22646</v>
      </c>
      <c r="J21" s="13" t="str">
        <f t="shared" si="3"/>
        <v>Barks_etal_2014_unpublishedviaDeCasien</v>
      </c>
      <c r="K21" s="13" t="str">
        <f t="shared" si="4"/>
        <v>10.1002%2Fajpa.22646_unpublishedviaDeCasien</v>
      </c>
      <c r="L21" s="13" t="str">
        <f t="array" ref="L21">IFERROR(INDEX(AUTO_Public_TSV_FileList!$A$1:$A$1000,MATCH(TRUE(),EXACT(K21,IFERROR(_xlfn.TEXTBEFORE(AUTO_Public_TSV_FileList!$A$1:$A$1000,".tsv"),"")),0)),"notfound")</f>
        <v>10.1002%2Fajpa.22646_unpublishedviaDeCasien.tsv</v>
      </c>
      <c r="M21" s="4"/>
      <c r="N21" s="4"/>
      <c r="O21" s="5" t="s">
        <v>113</v>
      </c>
      <c r="P21" s="5" t="s">
        <v>36</v>
      </c>
      <c r="Q21" s="4"/>
      <c r="R21" s="4"/>
      <c r="S21" s="4"/>
      <c r="T21" s="4"/>
      <c r="U21" s="4"/>
      <c r="V21" s="4"/>
      <c r="W21" s="4"/>
      <c r="X21" s="4"/>
      <c r="Y21" s="4"/>
      <c r="Z21" s="4"/>
      <c r="AA21" s="4"/>
      <c r="AB21" s="4"/>
      <c r="AC21" s="4"/>
      <c r="AD21" s="4"/>
      <c r="AE21" s="4"/>
      <c r="AF21" s="4"/>
      <c r="AG21" s="4"/>
    </row>
    <row r="22" spans="1:33" ht="17.100000000000001" customHeight="1">
      <c r="A22" s="1" t="s">
        <v>114</v>
      </c>
      <c r="C22" s="1" t="s">
        <v>115</v>
      </c>
      <c r="D22" s="1" t="s">
        <v>81</v>
      </c>
      <c r="E22" s="13" t="str">
        <f t="shared" si="0"/>
        <v>Baron</v>
      </c>
      <c r="F22" s="13" t="str">
        <f t="array" ref="F22">_xlfn.LET(
 _xlpm.authors,_xlfn.TEXTBEFORE(A22," ("&amp;G22&amp;")"),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 s="13" t="str">
        <f t="shared" si="1"/>
        <v>1988</v>
      </c>
      <c r="H22" s="13" t="str">
        <f t="shared" si="2"/>
        <v>Baron_etal_1988</v>
      </c>
      <c r="I22" s="13" t="str">
        <f t="shared" si="5"/>
        <v>PMID%3A3216099</v>
      </c>
      <c r="J22" s="13" t="str">
        <f t="shared" si="3"/>
        <v>Baron_etal_1988_Table1</v>
      </c>
      <c r="K22" s="13" t="str">
        <f t="shared" si="4"/>
        <v>PMID%3A3216099_Table1</v>
      </c>
      <c r="L22" s="13" t="str">
        <f t="array" ref="L22">IFERROR(INDEX(AUTO_Public_TSV_FileList!$A$1:$A$1000,MATCH(TRUE(),EXACT(K22,IFERROR(_xlfn.TEXTBEFORE(AUTO_Public_TSV_FileList!$A$1:$A$1000,".tsv"),"")),0)),"notfound")</f>
        <v>PMID%3A3216099_Table1.tsv</v>
      </c>
      <c r="M22" s="5" t="s">
        <v>116</v>
      </c>
      <c r="N22" s="4"/>
      <c r="O22" s="4"/>
      <c r="P22" s="5" t="s">
        <v>36</v>
      </c>
      <c r="Q22" s="4"/>
      <c r="R22" s="4"/>
      <c r="S22" s="4"/>
      <c r="T22" s="4"/>
      <c r="U22" s="4"/>
      <c r="V22" s="4"/>
      <c r="W22" s="5" t="s">
        <v>117</v>
      </c>
      <c r="X22" s="5" t="s">
        <v>118</v>
      </c>
      <c r="Y22" s="4"/>
      <c r="Z22" s="5" t="s">
        <v>83</v>
      </c>
      <c r="AA22" s="5"/>
      <c r="AB22" s="5" t="s">
        <v>90</v>
      </c>
      <c r="AC22" s="5" t="s">
        <v>119</v>
      </c>
      <c r="AD22" s="5" t="s">
        <v>119</v>
      </c>
      <c r="AE22" s="5" t="s">
        <v>66</v>
      </c>
      <c r="AF22" s="5"/>
      <c r="AG22" s="4"/>
    </row>
    <row r="23" spans="1:33" ht="17.100000000000001" customHeight="1">
      <c r="A23" s="1" t="s">
        <v>120</v>
      </c>
      <c r="C23" s="1" t="s">
        <v>121</v>
      </c>
      <c r="D23" s="1" t="s">
        <v>81</v>
      </c>
      <c r="E23" s="13" t="str">
        <f t="shared" si="0"/>
        <v>Baron</v>
      </c>
      <c r="F23" s="13" t="str">
        <f t="array" ref="F23">_xlfn.LET(
 _xlpm.authors,_xlfn.TEXTBEFORE(A23," ("&amp;G23&amp;")"),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3" s="13" t="str">
        <f t="shared" si="1"/>
        <v>1983</v>
      </c>
      <c r="H23" s="13" t="str">
        <f t="shared" si="2"/>
        <v>Baron_etal_1983</v>
      </c>
      <c r="I23" s="13" t="str">
        <f t="shared" si="5"/>
        <v>PMID%3A6663055</v>
      </c>
      <c r="J23" s="13" t="str">
        <f t="shared" si="3"/>
        <v>Baron_etal_1983_Table1</v>
      </c>
      <c r="K23" s="13" t="str">
        <f t="shared" si="4"/>
        <v>PMID%3A6663055_Table1</v>
      </c>
      <c r="L23" s="13" t="str">
        <f t="array" ref="L23">IFERROR(INDEX(AUTO_Public_TSV_FileList!$A$1:$A$1000,MATCH(TRUE(),EXACT(K23,IFERROR(_xlfn.TEXTBEFORE(AUTO_Public_TSV_FileList!$A$1:$A$1000,".tsv"),"")),0)),"notfound")</f>
        <v>PMID%3A6663055_Table1.tsv</v>
      </c>
      <c r="M23" s="4"/>
      <c r="N23" s="5" t="s">
        <v>35</v>
      </c>
      <c r="O23" s="4"/>
      <c r="P23" s="5" t="s">
        <v>36</v>
      </c>
      <c r="Q23" s="4"/>
      <c r="R23" s="4"/>
      <c r="S23" s="4"/>
      <c r="T23" s="4"/>
      <c r="U23" s="4"/>
      <c r="V23" s="4"/>
      <c r="W23" s="5" t="s">
        <v>117</v>
      </c>
      <c r="X23" s="5" t="s">
        <v>122</v>
      </c>
      <c r="Y23" s="4"/>
      <c r="Z23" s="5" t="s">
        <v>83</v>
      </c>
      <c r="AA23" s="5"/>
      <c r="AB23" s="5" t="s">
        <v>90</v>
      </c>
      <c r="AC23" s="5" t="s">
        <v>119</v>
      </c>
      <c r="AD23" s="5" t="s">
        <v>119</v>
      </c>
      <c r="AE23" s="5" t="s">
        <v>66</v>
      </c>
      <c r="AF23" s="5"/>
      <c r="AG23" s="4"/>
    </row>
    <row r="24" spans="1:33" ht="17.100000000000001" customHeight="1">
      <c r="A24" s="1" t="s">
        <v>123</v>
      </c>
      <c r="C24" s="1" t="s">
        <v>124</v>
      </c>
      <c r="D24" s="1" t="s">
        <v>81</v>
      </c>
      <c r="E24" s="13" t="str">
        <f t="shared" si="0"/>
        <v>Baron</v>
      </c>
      <c r="F24" s="13" t="str">
        <f t="array" ref="F24">_xlfn.LET(
 _xlpm.authors,_xlfn.TEXTBEFORE(A24," ("&amp;G24&amp;")"),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4" s="13" t="str">
        <f t="shared" si="1"/>
        <v>1987</v>
      </c>
      <c r="H24" s="13" t="str">
        <f t="shared" si="2"/>
        <v>Baron_etal_1987</v>
      </c>
      <c r="I24" s="13" t="str">
        <f t="shared" si="5"/>
        <v>PMID%3A3116076</v>
      </c>
      <c r="J24" s="13" t="str">
        <f t="shared" si="3"/>
        <v>Baron_etal_1987_Table1</v>
      </c>
      <c r="K24" s="13" t="str">
        <f t="shared" si="4"/>
        <v>PMID%3A3116076_Table1</v>
      </c>
      <c r="L24" s="13" t="str">
        <f t="array" ref="L24">IFERROR(INDEX(AUTO_Public_TSV_FileList!$A$1:$A$1000,MATCH(TRUE(),EXACT(K24,IFERROR(_xlfn.TEXTBEFORE(AUTO_Public_TSV_FileList!$A$1:$A$1000,".tsv"),"")),0)),"notfound")</f>
        <v>PMID%3A3116076_Table1.tsv</v>
      </c>
      <c r="M24" s="4"/>
      <c r="N24" s="5" t="s">
        <v>35</v>
      </c>
      <c r="O24" s="4"/>
      <c r="P24" s="5" t="s">
        <v>36</v>
      </c>
      <c r="Q24" s="4"/>
      <c r="R24" s="4"/>
      <c r="S24" s="4"/>
      <c r="T24" s="4"/>
      <c r="U24" s="4"/>
      <c r="V24" s="4"/>
      <c r="W24" s="5" t="s">
        <v>117</v>
      </c>
      <c r="X24" s="5" t="s">
        <v>125</v>
      </c>
      <c r="Y24" s="4"/>
      <c r="Z24" s="5" t="s">
        <v>83</v>
      </c>
      <c r="AA24" s="5"/>
      <c r="AB24" s="5" t="s">
        <v>90</v>
      </c>
      <c r="AC24" s="5" t="s">
        <v>119</v>
      </c>
      <c r="AD24" s="5" t="s">
        <v>119</v>
      </c>
      <c r="AE24" s="5" t="s">
        <v>66</v>
      </c>
      <c r="AF24" s="5"/>
      <c r="AG24" s="4"/>
    </row>
    <row r="25" spans="1:33" ht="17.100000000000001" customHeight="1">
      <c r="A25" s="1" t="s">
        <v>126</v>
      </c>
      <c r="C25" s="1" t="s">
        <v>127</v>
      </c>
      <c r="D25" s="1" t="s">
        <v>81</v>
      </c>
      <c r="E25" s="13" t="str">
        <f t="shared" si="0"/>
        <v>Baron</v>
      </c>
      <c r="F25" s="13" t="str">
        <f t="array" ref="F25">_xlfn.LET(
 _xlpm.authors,_xlfn.TEXTBEFORE(A25," ("&amp;G25&amp;")"),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 s="13" t="str">
        <f t="shared" si="1"/>
        <v>1990</v>
      </c>
      <c r="H25" s="13" t="str">
        <f t="shared" si="2"/>
        <v>Baron_etal_1990</v>
      </c>
      <c r="I25" s="13" t="str">
        <f t="shared" si="5"/>
        <v>PMID%3A2358663</v>
      </c>
      <c r="J25" s="13" t="str">
        <f t="shared" si="3"/>
        <v>Baron_etal_1990_Table1</v>
      </c>
      <c r="K25" s="13" t="str">
        <f t="shared" si="4"/>
        <v>PMID%3A2358663_Table1</v>
      </c>
      <c r="L25" s="13" t="str">
        <f t="array" ref="L25">IFERROR(INDEX(AUTO_Public_TSV_FileList!$A$1:$A$1000,MATCH(TRUE(),EXACT(K25,IFERROR(_xlfn.TEXTBEFORE(AUTO_Public_TSV_FileList!$A$1:$A$1000,".tsv"),"")),0)),"notfound")</f>
        <v>PMID%3A2358663_Table1.tsv</v>
      </c>
      <c r="M25" s="5" t="s">
        <v>128</v>
      </c>
      <c r="N25" s="5" t="s">
        <v>35</v>
      </c>
      <c r="O25" s="4"/>
      <c r="P25" s="5" t="s">
        <v>36</v>
      </c>
      <c r="Q25" s="4"/>
      <c r="R25" s="4"/>
      <c r="S25" s="4"/>
      <c r="T25" s="4"/>
      <c r="U25" s="4"/>
      <c r="V25" s="4"/>
      <c r="W25" s="5" t="s">
        <v>117</v>
      </c>
      <c r="X25" s="5" t="s">
        <v>129</v>
      </c>
      <c r="Y25" s="4"/>
      <c r="Z25" s="5" t="s">
        <v>83</v>
      </c>
      <c r="AA25" s="5" t="s">
        <v>130</v>
      </c>
      <c r="AB25" s="5" t="s">
        <v>90</v>
      </c>
      <c r="AC25" s="5" t="s">
        <v>119</v>
      </c>
      <c r="AD25" s="5" t="s">
        <v>119</v>
      </c>
      <c r="AE25" s="5" t="s">
        <v>66</v>
      </c>
      <c r="AF25" s="5"/>
      <c r="AG25" s="4"/>
    </row>
    <row r="26" spans="1:33" ht="17.100000000000001" customHeight="1">
      <c r="A26" s="17" t="s">
        <v>131</v>
      </c>
      <c r="C26" s="1" t="s">
        <v>132</v>
      </c>
      <c r="D26" s="1" t="s">
        <v>133</v>
      </c>
      <c r="E26" s="13" t="str">
        <f t="shared" si="0"/>
        <v>Baron</v>
      </c>
      <c r="F26" s="13" t="str">
        <f t="array" ref="F26">_xlfn.LET(
 _xlpm.authors,_xlfn.TEXTBEFORE(A26," ("&amp;G26&amp;")"),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 s="13" t="str">
        <f t="shared" si="1"/>
        <v>1996</v>
      </c>
      <c r="H26" s="13" t="str">
        <f t="shared" si="2"/>
        <v>Baron_etal_1996</v>
      </c>
      <c r="I26" s="13" t="str">
        <f t="shared" si="5"/>
        <v>ISBN%3A9783764353704</v>
      </c>
      <c r="J26" s="13" t="str">
        <f t="shared" si="3"/>
        <v>Baron_etal_1996_Table10</v>
      </c>
      <c r="K26" s="13" t="str">
        <f t="shared" si="4"/>
        <v>ISBN%3A9783764353704_Table10</v>
      </c>
      <c r="L26" s="13" t="str">
        <f t="array" ref="L26">IFERROR(INDEX(AUTO_Public_TSV_FileList!$A$1:$A$1000,MATCH(TRUE(),EXACT(K26,IFERROR(_xlfn.TEXTBEFORE(AUTO_Public_TSV_FileList!$A$1:$A$1000,".tsv"),"")),0)),"notfound")</f>
        <v>ISBN%3A9783764353704_Table10.tsv</v>
      </c>
      <c r="M26" s="4"/>
      <c r="N26" s="5"/>
      <c r="O26" s="4"/>
      <c r="P26" s="5" t="s">
        <v>36</v>
      </c>
      <c r="Q26" s="4"/>
      <c r="R26" s="4"/>
      <c r="S26" s="4"/>
      <c r="T26" s="4"/>
      <c r="U26" s="4"/>
      <c r="V26" s="4"/>
      <c r="W26" s="5"/>
      <c r="X26" s="4"/>
      <c r="Y26" s="4"/>
      <c r="Z26" s="5"/>
      <c r="AA26" s="5"/>
      <c r="AB26" s="5"/>
      <c r="AC26" s="5"/>
      <c r="AD26" s="5"/>
      <c r="AE26" s="5" t="s">
        <v>66</v>
      </c>
      <c r="AF26" s="5"/>
      <c r="AG26" s="4"/>
    </row>
    <row r="27" spans="1:33" ht="17.100000000000001" customHeight="1">
      <c r="A27" s="17" t="s">
        <v>131</v>
      </c>
      <c r="C27" s="1" t="s">
        <v>132</v>
      </c>
      <c r="D27" s="16" t="s">
        <v>134</v>
      </c>
      <c r="E27" s="13" t="str">
        <f t="shared" si="0"/>
        <v>Baron</v>
      </c>
      <c r="F27" s="13" t="str">
        <f t="array" ref="F27">_xlfn.LET(
 _xlpm.authors,_xlfn.TEXTBEFORE(A27," ("&amp;G27&amp;")"),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7" s="13" t="str">
        <f t="shared" si="1"/>
        <v>1996</v>
      </c>
      <c r="H27" s="13" t="str">
        <f t="shared" si="2"/>
        <v>Baron_etal_1996</v>
      </c>
      <c r="I27" s="13" t="str">
        <f t="shared" si="5"/>
        <v>ISBN%3A9783764353704</v>
      </c>
      <c r="J27" s="13" t="str">
        <f t="shared" si="3"/>
        <v>Baron_etal_1996_Table13</v>
      </c>
      <c r="K27" s="13" t="str">
        <f t="shared" si="4"/>
        <v>ISBN%3A9783764353704_Table13</v>
      </c>
      <c r="L27" s="13" t="str">
        <f t="array" ref="L27">IFERROR(INDEX(AUTO_Public_TSV_FileList!$A$1:$A$1000,MATCH(TRUE(),EXACT(K27,IFERROR(_xlfn.TEXTBEFORE(AUTO_Public_TSV_FileList!$A$1:$A$1000,".tsv"),"")),0)),"notfound")</f>
        <v>ISBN%3A9783764353704_Table13.tsv</v>
      </c>
      <c r="M27" s="3" t="s">
        <v>135</v>
      </c>
      <c r="N27" s="5" t="s">
        <v>35</v>
      </c>
      <c r="O27" s="4"/>
      <c r="P27" s="3" t="s">
        <v>36</v>
      </c>
      <c r="Q27" s="3"/>
      <c r="R27" s="3"/>
      <c r="S27" s="3" t="s">
        <v>136</v>
      </c>
      <c r="T27" s="3" t="s">
        <v>137</v>
      </c>
      <c r="U27" s="3"/>
      <c r="V27" s="4"/>
      <c r="W27" s="3" t="s">
        <v>138</v>
      </c>
      <c r="X27" s="3" t="s">
        <v>139</v>
      </c>
      <c r="Y27" s="3" t="s">
        <v>139</v>
      </c>
      <c r="Z27" s="3" t="s">
        <v>83</v>
      </c>
      <c r="AA27" s="3"/>
      <c r="AB27" s="3" t="s">
        <v>90</v>
      </c>
      <c r="AC27" s="3" t="s">
        <v>119</v>
      </c>
      <c r="AD27" s="3" t="s">
        <v>119</v>
      </c>
      <c r="AE27" s="3" t="s">
        <v>66</v>
      </c>
      <c r="AF27" s="3"/>
      <c r="AG27" s="3" t="s">
        <v>140</v>
      </c>
    </row>
    <row r="28" spans="1:33" ht="17.100000000000001" customHeight="1">
      <c r="A28" s="17" t="s">
        <v>131</v>
      </c>
      <c r="C28" s="1" t="s">
        <v>132</v>
      </c>
      <c r="D28" s="16" t="s">
        <v>141</v>
      </c>
      <c r="E28" s="13" t="str">
        <f t="shared" si="0"/>
        <v>Baron</v>
      </c>
      <c r="F28" s="13" t="str">
        <f t="array" ref="F28">_xlfn.LET(
 _xlpm.authors,_xlfn.TEXTBEFORE(A28," ("&amp;G28&amp;")"),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 s="13" t="str">
        <f t="shared" si="1"/>
        <v>1996</v>
      </c>
      <c r="H28" s="13" t="str">
        <f t="shared" si="2"/>
        <v>Baron_etal_1996</v>
      </c>
      <c r="I28" s="13" t="str">
        <f t="shared" si="5"/>
        <v>ISBN%3A9783764353704</v>
      </c>
      <c r="J28" s="13" t="str">
        <f t="shared" si="3"/>
        <v>Baron_etal_1996_Table16</v>
      </c>
      <c r="K28" s="13" t="str">
        <f t="shared" si="4"/>
        <v>ISBN%3A9783764353704_Table16</v>
      </c>
      <c r="L28" s="13" t="str">
        <f t="array" ref="L28">IFERROR(INDEX(AUTO_Public_TSV_FileList!$A$1:$A$1000,MATCH(TRUE(),EXACT(K28,IFERROR(_xlfn.TEXTBEFORE(AUTO_Public_TSV_FileList!$A$1:$A$1000,".tsv"),"")),0)),"notfound")</f>
        <v>ISBN%3A9783764353704_Table16.tsv</v>
      </c>
      <c r="M28" s="3" t="s">
        <v>142</v>
      </c>
      <c r="N28" s="5" t="s">
        <v>35</v>
      </c>
      <c r="O28" s="4"/>
      <c r="P28" s="3" t="s">
        <v>36</v>
      </c>
      <c r="Q28" s="3"/>
      <c r="R28" s="3"/>
      <c r="S28" s="3" t="s">
        <v>136</v>
      </c>
      <c r="T28" s="3" t="s">
        <v>137</v>
      </c>
      <c r="U28" s="3"/>
      <c r="V28" s="4"/>
      <c r="W28" s="3" t="s">
        <v>138</v>
      </c>
      <c r="X28" s="3" t="s">
        <v>143</v>
      </c>
      <c r="Y28" s="3" t="s">
        <v>143</v>
      </c>
      <c r="Z28" s="3" t="s">
        <v>83</v>
      </c>
      <c r="AA28" s="3"/>
      <c r="AB28" s="3" t="s">
        <v>90</v>
      </c>
      <c r="AC28" s="3" t="s">
        <v>119</v>
      </c>
      <c r="AD28" s="3" t="s">
        <v>119</v>
      </c>
      <c r="AE28" s="3" t="s">
        <v>66</v>
      </c>
      <c r="AF28" s="3"/>
      <c r="AG28" s="3" t="s">
        <v>144</v>
      </c>
    </row>
    <row r="29" spans="1:33" ht="17.100000000000001" customHeight="1">
      <c r="A29" s="17" t="s">
        <v>131</v>
      </c>
      <c r="C29" s="1" t="s">
        <v>132</v>
      </c>
      <c r="D29" s="16" t="s">
        <v>145</v>
      </c>
      <c r="E29" s="13" t="str">
        <f t="shared" si="0"/>
        <v>Baron</v>
      </c>
      <c r="F29" s="13" t="str">
        <f t="array" ref="F29">_xlfn.LET(
 _xlpm.authors,_xlfn.TEXTBEFORE(A29," ("&amp;G29&amp;")"),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 s="13" t="str">
        <f t="shared" si="1"/>
        <v>1996</v>
      </c>
      <c r="H29" s="13" t="str">
        <f t="shared" si="2"/>
        <v>Baron_etal_1996</v>
      </c>
      <c r="I29" s="13" t="str">
        <f t="shared" si="5"/>
        <v>ISBN%3A9783764353704</v>
      </c>
      <c r="J29" s="13" t="str">
        <f t="shared" si="3"/>
        <v>Baron_etal_1996_Table19</v>
      </c>
      <c r="K29" s="13" t="str">
        <f t="shared" si="4"/>
        <v>ISBN%3A9783764353704_Table19</v>
      </c>
      <c r="L29" s="13" t="str">
        <f t="array" ref="L29">IFERROR(INDEX(AUTO_Public_TSV_FileList!$A$1:$A$1000,MATCH(TRUE(),EXACT(K29,IFERROR(_xlfn.TEXTBEFORE(AUTO_Public_TSV_FileList!$A$1:$A$1000,".tsv"),"")),0)),"notfound")</f>
        <v>ISBN%3A9783764353704_Table19.tsv</v>
      </c>
      <c r="M29" s="3" t="s">
        <v>146</v>
      </c>
      <c r="N29" s="5" t="s">
        <v>35</v>
      </c>
      <c r="O29" s="4"/>
      <c r="P29" s="3" t="s">
        <v>36</v>
      </c>
      <c r="Q29" s="3"/>
      <c r="R29" s="3"/>
      <c r="S29" s="3" t="s">
        <v>136</v>
      </c>
      <c r="T29" s="3" t="s">
        <v>137</v>
      </c>
      <c r="U29" s="3"/>
      <c r="V29" s="4"/>
      <c r="W29" s="3" t="s">
        <v>138</v>
      </c>
      <c r="X29" s="3" t="s">
        <v>147</v>
      </c>
      <c r="Y29" s="3" t="s">
        <v>147</v>
      </c>
      <c r="Z29" s="3" t="s">
        <v>83</v>
      </c>
      <c r="AA29" s="3"/>
      <c r="AB29" s="3" t="s">
        <v>90</v>
      </c>
      <c r="AC29" s="3" t="s">
        <v>119</v>
      </c>
      <c r="AD29" s="3" t="s">
        <v>119</v>
      </c>
      <c r="AE29" s="3" t="s">
        <v>66</v>
      </c>
      <c r="AF29" s="3"/>
      <c r="AG29" s="3" t="s">
        <v>148</v>
      </c>
    </row>
    <row r="30" spans="1:33" ht="17.100000000000001" customHeight="1">
      <c r="A30" s="17" t="s">
        <v>131</v>
      </c>
      <c r="C30" s="1" t="s">
        <v>132</v>
      </c>
      <c r="D30" s="16" t="s">
        <v>70</v>
      </c>
      <c r="E30" s="13" t="str">
        <f t="shared" si="0"/>
        <v>Baron</v>
      </c>
      <c r="F30" s="13" t="str">
        <f t="array" ref="F30">_xlfn.LET(
 _xlpm.authors,_xlfn.TEXTBEFORE(A30," ("&amp;G30&amp;")"),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 s="13" t="str">
        <f t="shared" si="1"/>
        <v>1996</v>
      </c>
      <c r="H30" s="13" t="str">
        <f t="shared" si="2"/>
        <v>Baron_etal_1996</v>
      </c>
      <c r="I30" s="13" t="str">
        <f t="shared" si="5"/>
        <v>ISBN%3A9783764353704</v>
      </c>
      <c r="J30" s="13" t="str">
        <f t="shared" si="3"/>
        <v>Baron_etal_1996_Table2</v>
      </c>
      <c r="K30" s="13" t="str">
        <f t="shared" si="4"/>
        <v>ISBN%3A9783764353704_Table2</v>
      </c>
      <c r="L30" s="13" t="str">
        <f t="array" ref="L30">IFERROR(INDEX(AUTO_Public_TSV_FileList!$A$1:$A$1000,MATCH(TRUE(),EXACT(K30,IFERROR(_xlfn.TEXTBEFORE(AUTO_Public_TSV_FileList!$A$1:$A$1000,".tsv"),"")),0)),"notfound")</f>
        <v>ISBN%3A9783764353704_Table2.tsv</v>
      </c>
      <c r="M30" s="3" t="s">
        <v>149</v>
      </c>
      <c r="N30" s="5" t="s">
        <v>35</v>
      </c>
      <c r="O30" s="4"/>
      <c r="P30" s="3" t="s">
        <v>36</v>
      </c>
      <c r="Q30" s="3"/>
      <c r="R30" s="3"/>
      <c r="S30" s="3" t="s">
        <v>136</v>
      </c>
      <c r="T30" s="3" t="s">
        <v>137</v>
      </c>
      <c r="U30" s="3"/>
      <c r="V30" s="4"/>
      <c r="W30" s="3" t="s">
        <v>138</v>
      </c>
      <c r="X30" s="3" t="s">
        <v>150</v>
      </c>
      <c r="Y30" s="3" t="s">
        <v>150</v>
      </c>
      <c r="Z30" s="3" t="s">
        <v>83</v>
      </c>
      <c r="AA30" s="3"/>
      <c r="AB30" s="3" t="s">
        <v>151</v>
      </c>
      <c r="AC30" s="3" t="s">
        <v>119</v>
      </c>
      <c r="AD30" s="3" t="s">
        <v>119</v>
      </c>
      <c r="AE30" s="3" t="s">
        <v>66</v>
      </c>
      <c r="AF30" s="3"/>
      <c r="AG30" s="3" t="s">
        <v>152</v>
      </c>
    </row>
    <row r="31" spans="1:33" ht="17.100000000000001" customHeight="1">
      <c r="A31" s="17" t="s">
        <v>131</v>
      </c>
      <c r="C31" s="1" t="s">
        <v>132</v>
      </c>
      <c r="D31" s="16" t="s">
        <v>153</v>
      </c>
      <c r="E31" s="13" t="str">
        <f t="shared" si="0"/>
        <v>Baron</v>
      </c>
      <c r="F31" s="13" t="str">
        <f t="array" ref="F31">_xlfn.LET(
 _xlpm.authors,_xlfn.TEXTBEFORE(A31," ("&amp;G31&amp;")"),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1" s="13" t="str">
        <f t="shared" si="1"/>
        <v>1996</v>
      </c>
      <c r="H31" s="13" t="str">
        <f t="shared" si="2"/>
        <v>Baron_etal_1996</v>
      </c>
      <c r="I31" s="13" t="str">
        <f t="shared" si="5"/>
        <v>ISBN%3A9783764353704</v>
      </c>
      <c r="J31" s="13" t="str">
        <f t="shared" si="3"/>
        <v>Baron_etal_1996_Table22</v>
      </c>
      <c r="K31" s="13" t="str">
        <f t="shared" si="4"/>
        <v>ISBN%3A9783764353704_Table22</v>
      </c>
      <c r="L31" s="13" t="str">
        <f t="array" ref="L31">IFERROR(INDEX(AUTO_Public_TSV_FileList!$A$1:$A$1000,MATCH(TRUE(),EXACT(K31,IFERROR(_xlfn.TEXTBEFORE(AUTO_Public_TSV_FileList!$A$1:$A$1000,".tsv"),"")),0)),"notfound")</f>
        <v>ISBN%3A9783764353704_Table22.tsv</v>
      </c>
      <c r="M31" s="3" t="s">
        <v>154</v>
      </c>
      <c r="N31" s="5" t="s">
        <v>35</v>
      </c>
      <c r="O31" s="4"/>
      <c r="P31" s="3" t="s">
        <v>36</v>
      </c>
      <c r="Q31" s="3"/>
      <c r="R31" s="3"/>
      <c r="S31" s="3" t="s">
        <v>136</v>
      </c>
      <c r="T31" s="3" t="s">
        <v>137</v>
      </c>
      <c r="U31" s="3"/>
      <c r="V31" s="4"/>
      <c r="W31" s="3" t="s">
        <v>138</v>
      </c>
      <c r="X31" s="3" t="s">
        <v>155</v>
      </c>
      <c r="Y31" s="3" t="s">
        <v>155</v>
      </c>
      <c r="Z31" s="3" t="s">
        <v>83</v>
      </c>
      <c r="AA31" s="3"/>
      <c r="AB31" s="3" t="s">
        <v>90</v>
      </c>
      <c r="AC31" s="3" t="s">
        <v>119</v>
      </c>
      <c r="AD31" s="3" t="s">
        <v>119</v>
      </c>
      <c r="AE31" s="3" t="s">
        <v>66</v>
      </c>
      <c r="AF31" s="3"/>
      <c r="AG31" s="3" t="s">
        <v>156</v>
      </c>
    </row>
    <row r="32" spans="1:33" ht="17.100000000000001" customHeight="1">
      <c r="A32" s="17" t="s">
        <v>131</v>
      </c>
      <c r="C32" s="1" t="s">
        <v>132</v>
      </c>
      <c r="D32" s="16" t="s">
        <v>157</v>
      </c>
      <c r="E32" s="13" t="str">
        <f t="shared" si="0"/>
        <v>Baron</v>
      </c>
      <c r="F32" s="13" t="str">
        <f t="array" ref="F32">_xlfn.LET(
 _xlpm.authors,_xlfn.TEXTBEFORE(A32," ("&amp;G32&amp;")"),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 s="13" t="str">
        <f t="shared" si="1"/>
        <v>1996</v>
      </c>
      <c r="H32" s="13" t="str">
        <f t="shared" si="2"/>
        <v>Baron_etal_1996</v>
      </c>
      <c r="I32" s="13" t="str">
        <f t="shared" si="5"/>
        <v>ISBN%3A9783764353704</v>
      </c>
      <c r="J32" s="13" t="str">
        <f t="shared" si="3"/>
        <v>Baron_etal_1996_Table25</v>
      </c>
      <c r="K32" s="13" t="str">
        <f t="shared" si="4"/>
        <v>ISBN%3A9783764353704_Table25</v>
      </c>
      <c r="L32" s="13" t="str">
        <f t="array" ref="L32">IFERROR(INDEX(AUTO_Public_TSV_FileList!$A$1:$A$1000,MATCH(TRUE(),EXACT(K32,IFERROR(_xlfn.TEXTBEFORE(AUTO_Public_TSV_FileList!$A$1:$A$1000,".tsv"),"")),0)),"notfound")</f>
        <v>ISBN%3A9783764353704_Table25.tsv</v>
      </c>
      <c r="M32" s="3" t="s">
        <v>158</v>
      </c>
      <c r="N32" s="5" t="s">
        <v>35</v>
      </c>
      <c r="O32" s="4"/>
      <c r="P32" s="3" t="s">
        <v>36</v>
      </c>
      <c r="Q32" s="3"/>
      <c r="R32" s="3"/>
      <c r="S32" s="3" t="s">
        <v>136</v>
      </c>
      <c r="T32" s="3" t="s">
        <v>137</v>
      </c>
      <c r="U32" s="3"/>
      <c r="V32" s="4"/>
      <c r="W32" s="3" t="s">
        <v>138</v>
      </c>
      <c r="X32" s="3" t="s">
        <v>159</v>
      </c>
      <c r="Y32" s="3" t="s">
        <v>159</v>
      </c>
      <c r="Z32" s="3" t="s">
        <v>83</v>
      </c>
      <c r="AA32" s="3"/>
      <c r="AB32" s="3" t="s">
        <v>90</v>
      </c>
      <c r="AC32" s="3" t="s">
        <v>119</v>
      </c>
      <c r="AD32" s="3" t="s">
        <v>119</v>
      </c>
      <c r="AE32" s="3" t="s">
        <v>66</v>
      </c>
      <c r="AF32" s="3"/>
      <c r="AG32" s="3" t="s">
        <v>160</v>
      </c>
    </row>
    <row r="33" spans="1:33" ht="17.100000000000001" customHeight="1">
      <c r="A33" s="17" t="s">
        <v>131</v>
      </c>
      <c r="C33" s="1" t="s">
        <v>132</v>
      </c>
      <c r="D33" s="16" t="s">
        <v>161</v>
      </c>
      <c r="E33" s="13" t="str">
        <f t="shared" si="0"/>
        <v>Baron</v>
      </c>
      <c r="F33" s="13" t="str">
        <f t="array" ref="F33">_xlfn.LET(
 _xlpm.authors,_xlfn.TEXTBEFORE(A33," ("&amp;G33&amp;")"),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 s="13" t="str">
        <f t="shared" si="1"/>
        <v>1996</v>
      </c>
      <c r="H33" s="13" t="str">
        <f t="shared" si="2"/>
        <v>Baron_etal_1996</v>
      </c>
      <c r="I33" s="13" t="str">
        <f t="shared" si="5"/>
        <v>ISBN%3A9783764353704</v>
      </c>
      <c r="J33" s="13" t="str">
        <f t="shared" si="3"/>
        <v>Baron_etal_1996_Table28</v>
      </c>
      <c r="K33" s="13" t="str">
        <f t="shared" si="4"/>
        <v>ISBN%3A9783764353704_Table28</v>
      </c>
      <c r="L33" s="13" t="str">
        <f t="array" ref="L33">IFERROR(INDEX(AUTO_Public_TSV_FileList!$A$1:$A$1000,MATCH(TRUE(),EXACT(K33,IFERROR(_xlfn.TEXTBEFORE(AUTO_Public_TSV_FileList!$A$1:$A$1000,".tsv"),"")),0)),"notfound")</f>
        <v>ISBN%3A9783764353704_Table28.tsv</v>
      </c>
      <c r="M33" s="3" t="s">
        <v>162</v>
      </c>
      <c r="N33" s="5" t="s">
        <v>35</v>
      </c>
      <c r="O33" s="4"/>
      <c r="P33" s="3" t="s">
        <v>36</v>
      </c>
      <c r="Q33" s="3"/>
      <c r="R33" s="3"/>
      <c r="S33" s="3" t="s">
        <v>136</v>
      </c>
      <c r="T33" s="3" t="s">
        <v>137</v>
      </c>
      <c r="U33" s="3"/>
      <c r="V33" s="4"/>
      <c r="W33" s="3" t="s">
        <v>138</v>
      </c>
      <c r="X33" s="3" t="s">
        <v>163</v>
      </c>
      <c r="Y33" s="3" t="s">
        <v>163</v>
      </c>
      <c r="Z33" s="3" t="s">
        <v>83</v>
      </c>
      <c r="AA33" s="3"/>
      <c r="AB33" s="3" t="s">
        <v>90</v>
      </c>
      <c r="AC33" s="3" t="s">
        <v>119</v>
      </c>
      <c r="AD33" s="3" t="s">
        <v>119</v>
      </c>
      <c r="AE33" s="3" t="s">
        <v>66</v>
      </c>
      <c r="AF33" s="3"/>
      <c r="AG33" s="3" t="s">
        <v>164</v>
      </c>
    </row>
    <row r="34" spans="1:33" ht="17.100000000000001" customHeight="1">
      <c r="A34" s="17" t="s">
        <v>131</v>
      </c>
      <c r="C34" s="1" t="s">
        <v>132</v>
      </c>
      <c r="D34" s="16" t="s">
        <v>165</v>
      </c>
      <c r="E34" s="13" t="str">
        <f t="shared" si="0"/>
        <v>Baron</v>
      </c>
      <c r="F34" s="13" t="str">
        <f t="array" ref="F34">_xlfn.LET(
 _xlpm.authors,_xlfn.TEXTBEFORE(A34," ("&amp;G34&amp;")"),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 s="13" t="str">
        <f t="shared" si="1"/>
        <v>1996</v>
      </c>
      <c r="H34" s="13" t="str">
        <f t="shared" si="2"/>
        <v>Baron_etal_1996</v>
      </c>
      <c r="I34" s="13" t="str">
        <f t="shared" si="5"/>
        <v>ISBN%3A9783764353704</v>
      </c>
      <c r="J34" s="13" t="str">
        <f t="shared" si="3"/>
        <v>Baron_etal_1996_Table30</v>
      </c>
      <c r="K34" s="13" t="str">
        <f t="shared" ref="K34:K65" si="6">I34 &amp; "_" &amp; SUBSTITUTE(SUBSTITUTE(SUBSTITUTE(D34,CHAR(160),"")," ",""),"_","")</f>
        <v>ISBN%3A9783764353704_Table30</v>
      </c>
      <c r="L34" s="13" t="str">
        <f t="array" ref="L34">IFERROR(INDEX(AUTO_Public_TSV_FileList!$A$1:$A$1000,MATCH(TRUE(),EXACT(K34,IFERROR(_xlfn.TEXTBEFORE(AUTO_Public_TSV_FileList!$A$1:$A$1000,".tsv"),"")),0)),"notfound")</f>
        <v>ISBN%3A9783764353704_Table30.tsv</v>
      </c>
      <c r="M34" s="3" t="s">
        <v>166</v>
      </c>
      <c r="N34" s="5" t="s">
        <v>35</v>
      </c>
      <c r="O34" s="4"/>
      <c r="P34" s="3" t="s">
        <v>36</v>
      </c>
      <c r="Q34" s="3"/>
      <c r="R34" s="3"/>
      <c r="S34" s="3" t="s">
        <v>136</v>
      </c>
      <c r="T34" s="3" t="s">
        <v>137</v>
      </c>
      <c r="U34" s="3"/>
      <c r="V34" s="4"/>
      <c r="W34" s="3" t="s">
        <v>138</v>
      </c>
      <c r="X34" s="3" t="s">
        <v>167</v>
      </c>
      <c r="Y34" s="3" t="s">
        <v>167</v>
      </c>
      <c r="Z34" s="3" t="s">
        <v>83</v>
      </c>
      <c r="AA34" s="3"/>
      <c r="AB34" s="3" t="s">
        <v>90</v>
      </c>
      <c r="AC34" s="3" t="s">
        <v>119</v>
      </c>
      <c r="AD34" s="3" t="s">
        <v>119</v>
      </c>
      <c r="AE34" s="3" t="s">
        <v>66</v>
      </c>
      <c r="AF34" s="3"/>
      <c r="AG34" s="3" t="s">
        <v>168</v>
      </c>
    </row>
    <row r="35" spans="1:33" ht="17.100000000000001" customHeight="1">
      <c r="A35" s="17" t="s">
        <v>131</v>
      </c>
      <c r="C35" s="1" t="s">
        <v>132</v>
      </c>
      <c r="D35" s="1" t="s">
        <v>169</v>
      </c>
      <c r="E35" s="13" t="str">
        <f t="shared" si="0"/>
        <v>Baron</v>
      </c>
      <c r="F35" s="13" t="str">
        <f t="array" ref="F35">_xlfn.LET(
 _xlpm.authors,_xlfn.TEXTBEFORE(A35," ("&amp;G35&amp;")"),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 s="13" t="str">
        <f t="shared" si="1"/>
        <v>1996</v>
      </c>
      <c r="H35" s="13" t="str">
        <f t="shared" si="2"/>
        <v>Baron_etal_1996</v>
      </c>
      <c r="I35" s="13" t="str">
        <f t="shared" si="5"/>
        <v>ISBN%3A9783764353704</v>
      </c>
      <c r="J35" s="13" t="str">
        <f t="shared" si="3"/>
        <v>Baron_etal_1996_Table32</v>
      </c>
      <c r="K35" s="13" t="str">
        <f t="shared" si="6"/>
        <v>ISBN%3A9783764353704_Table32</v>
      </c>
      <c r="L35" s="13" t="str">
        <f t="array" ref="L35">IFERROR(INDEX(AUTO_Public_TSV_FileList!$A$1:$A$1000,MATCH(TRUE(),EXACT(K35,IFERROR(_xlfn.TEXTBEFORE(AUTO_Public_TSV_FileList!$A$1:$A$1000,".tsv"),"")),0)),"notfound")</f>
        <v>ISBN%3A9783764353704_Table32.tsv</v>
      </c>
      <c r="M35" s="4"/>
      <c r="N35" s="5"/>
      <c r="O35" s="4"/>
      <c r="P35" s="5" t="s">
        <v>36</v>
      </c>
      <c r="Q35" s="5"/>
      <c r="R35" s="5"/>
      <c r="S35" s="5"/>
      <c r="T35" s="5"/>
      <c r="U35" s="5"/>
      <c r="V35" s="4"/>
      <c r="W35" s="5"/>
      <c r="X35" s="4"/>
      <c r="Y35" s="5"/>
      <c r="Z35" s="5"/>
      <c r="AA35" s="5"/>
      <c r="AB35" s="5"/>
      <c r="AC35" s="5"/>
      <c r="AD35" s="5"/>
      <c r="AE35" s="5" t="s">
        <v>66</v>
      </c>
      <c r="AF35" s="5"/>
      <c r="AG35" s="4"/>
    </row>
    <row r="36" spans="1:33" ht="17.100000000000001" customHeight="1">
      <c r="A36" s="17" t="s">
        <v>131</v>
      </c>
      <c r="C36" s="1" t="s">
        <v>132</v>
      </c>
      <c r="D36" s="16" t="s">
        <v>170</v>
      </c>
      <c r="E36" s="13" t="str">
        <f t="shared" si="0"/>
        <v>Baron</v>
      </c>
      <c r="F36" s="13" t="str">
        <f t="array" ref="F36">_xlfn.LET(
 _xlpm.authors,_xlfn.TEXTBEFORE(A36," ("&amp;G36&amp;")"),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 s="13" t="str">
        <f t="shared" si="1"/>
        <v>1996</v>
      </c>
      <c r="H36" s="13" t="str">
        <f t="shared" si="2"/>
        <v>Baron_etal_1996</v>
      </c>
      <c r="I36" s="13" t="str">
        <f t="shared" ref="I36:I67" si="7">_xlfn.LET(
_xlpm.doi,IF(C36&lt;&gt;"",C36,_xlfn.TEXTAFTER(A36,"https://doi.org/")),
SUBSTITUTE(
SUBSTITUTE(
SUBSTITUTE(
SUBSTITUTE(
_xlpm.doi,
"/","%2F"),
":","%3A"),
"&lt;","%3C"),
"&gt;","%3E")
)</f>
        <v>ISBN%3A9783764353704</v>
      </c>
      <c r="J36" s="13" t="str">
        <f t="shared" si="3"/>
        <v>Baron_etal_1996_Table35</v>
      </c>
      <c r="K36" s="13" t="str">
        <f t="shared" si="6"/>
        <v>ISBN%3A9783764353704_Table35</v>
      </c>
      <c r="L36" s="13" t="str">
        <f t="array" ref="L36">IFERROR(INDEX(AUTO_Public_TSV_FileList!$A$1:$A$1000,MATCH(TRUE(),EXACT(K36,IFERROR(_xlfn.TEXTBEFORE(AUTO_Public_TSV_FileList!$A$1:$A$1000,".tsv"),"")),0)),"notfound")</f>
        <v>ISBN%3A9783764353704_Table35.tsv</v>
      </c>
      <c r="M36" s="3" t="s">
        <v>171</v>
      </c>
      <c r="N36" s="5" t="s">
        <v>35</v>
      </c>
      <c r="O36" s="4"/>
      <c r="P36" s="3" t="s">
        <v>36</v>
      </c>
      <c r="Q36" s="3"/>
      <c r="R36" s="3"/>
      <c r="S36" s="3" t="s">
        <v>136</v>
      </c>
      <c r="T36" s="3" t="s">
        <v>137</v>
      </c>
      <c r="U36" s="3"/>
      <c r="V36" s="4"/>
      <c r="W36" s="3" t="s">
        <v>138</v>
      </c>
      <c r="X36" s="3" t="s">
        <v>172</v>
      </c>
      <c r="Y36" s="3" t="s">
        <v>172</v>
      </c>
      <c r="Z36" s="3" t="s">
        <v>83</v>
      </c>
      <c r="AA36" s="3"/>
      <c r="AB36" s="3" t="s">
        <v>90</v>
      </c>
      <c r="AC36" s="3" t="s">
        <v>119</v>
      </c>
      <c r="AD36" s="3" t="s">
        <v>119</v>
      </c>
      <c r="AE36" s="3" t="s">
        <v>66</v>
      </c>
      <c r="AF36" s="3"/>
      <c r="AG36" s="3" t="s">
        <v>173</v>
      </c>
    </row>
    <row r="37" spans="1:33" ht="17.100000000000001" customHeight="1">
      <c r="A37" s="17" t="s">
        <v>131</v>
      </c>
      <c r="C37" s="1" t="s">
        <v>132</v>
      </c>
      <c r="D37" s="16" t="s">
        <v>174</v>
      </c>
      <c r="E37" s="13" t="str">
        <f t="shared" si="0"/>
        <v>Baron</v>
      </c>
      <c r="F37" s="13" t="str">
        <f t="array" ref="F37">_xlfn.LET(
 _xlpm.authors,_xlfn.TEXTBEFORE(A37," ("&amp;G37&amp;")"),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 s="13" t="str">
        <f t="shared" si="1"/>
        <v>1996</v>
      </c>
      <c r="H37" s="13" t="str">
        <f t="shared" si="2"/>
        <v>Baron_etal_1996</v>
      </c>
      <c r="I37" s="13" t="str">
        <f t="shared" si="7"/>
        <v>ISBN%3A9783764353704</v>
      </c>
      <c r="J37" s="13" t="str">
        <f t="shared" si="3"/>
        <v>Baron_etal_1996_Table36</v>
      </c>
      <c r="K37" s="13" t="str">
        <f t="shared" si="6"/>
        <v>ISBN%3A9783764353704_Table36</v>
      </c>
      <c r="L37" s="13" t="str">
        <f t="array" ref="L37">IFERROR(INDEX(AUTO_Public_TSV_FileList!$A$1:$A$1000,MATCH(TRUE(),EXACT(K37,IFERROR(_xlfn.TEXTBEFORE(AUTO_Public_TSV_FileList!$A$1:$A$1000,".tsv"),"")),0)),"notfound")</f>
        <v>ISBN%3A9783764353704_Table36.tsv</v>
      </c>
      <c r="M37" s="3" t="s">
        <v>175</v>
      </c>
      <c r="N37" s="5" t="s">
        <v>35</v>
      </c>
      <c r="O37" s="4"/>
      <c r="P37" s="3" t="s">
        <v>36</v>
      </c>
      <c r="Q37" s="3"/>
      <c r="R37" s="3"/>
      <c r="S37" s="3" t="s">
        <v>136</v>
      </c>
      <c r="T37" s="3" t="s">
        <v>176</v>
      </c>
      <c r="U37" s="3"/>
      <c r="V37" s="4"/>
      <c r="W37" s="3" t="s">
        <v>138</v>
      </c>
      <c r="X37" s="3" t="s">
        <v>177</v>
      </c>
      <c r="Y37" s="3" t="s">
        <v>177</v>
      </c>
      <c r="Z37" s="3" t="s">
        <v>83</v>
      </c>
      <c r="AA37" s="4"/>
      <c r="AB37" s="3" t="s">
        <v>178</v>
      </c>
      <c r="AC37" s="4"/>
      <c r="AD37" s="3"/>
      <c r="AE37" s="3" t="s">
        <v>179</v>
      </c>
      <c r="AF37" s="3" t="s">
        <v>180</v>
      </c>
      <c r="AG37" s="3" t="s">
        <v>181</v>
      </c>
    </row>
    <row r="38" spans="1:33" ht="17.100000000000001" customHeight="1">
      <c r="A38" s="17" t="s">
        <v>131</v>
      </c>
      <c r="C38" s="1" t="s">
        <v>132</v>
      </c>
      <c r="D38" s="16" t="s">
        <v>182</v>
      </c>
      <c r="E38" s="13" t="str">
        <f t="shared" si="0"/>
        <v>Baron</v>
      </c>
      <c r="F38" s="13" t="str">
        <f t="array" ref="F38">_xlfn.LET(
 _xlpm.authors,_xlfn.TEXTBEFORE(A38," ("&amp;G38&amp;")"),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 s="13" t="str">
        <f t="shared" si="1"/>
        <v>1996</v>
      </c>
      <c r="H38" s="13" t="str">
        <f t="shared" si="2"/>
        <v>Baron_etal_1996</v>
      </c>
      <c r="I38" s="13" t="str">
        <f t="shared" si="7"/>
        <v>ISBN%3A9783764353704</v>
      </c>
      <c r="J38" s="13" t="str">
        <f t="shared" si="3"/>
        <v>Baron_etal_1996_Table39</v>
      </c>
      <c r="K38" s="13" t="str">
        <f t="shared" si="6"/>
        <v>ISBN%3A9783764353704_Table39</v>
      </c>
      <c r="L38" s="13" t="str">
        <f t="array" ref="L38">IFERROR(INDEX(AUTO_Public_TSV_FileList!$A$1:$A$1000,MATCH(TRUE(),EXACT(K38,IFERROR(_xlfn.TEXTBEFORE(AUTO_Public_TSV_FileList!$A$1:$A$1000,".tsv"),"")),0)),"notfound")</f>
        <v>ISBN%3A9783764353704_Table39.tsv</v>
      </c>
      <c r="M38" s="3" t="s">
        <v>183</v>
      </c>
      <c r="N38" s="5" t="s">
        <v>35</v>
      </c>
      <c r="O38" s="4"/>
      <c r="P38" s="3" t="s">
        <v>36</v>
      </c>
      <c r="Q38" s="3"/>
      <c r="R38" s="3"/>
      <c r="S38" s="3" t="s">
        <v>136</v>
      </c>
      <c r="T38" s="3" t="s">
        <v>176</v>
      </c>
      <c r="U38" s="3"/>
      <c r="V38" s="4"/>
      <c r="W38" s="3" t="s">
        <v>138</v>
      </c>
      <c r="X38" s="3" t="s">
        <v>177</v>
      </c>
      <c r="Y38" s="3"/>
      <c r="Z38" s="3" t="s">
        <v>83</v>
      </c>
      <c r="AA38" s="3" t="s">
        <v>184</v>
      </c>
      <c r="AB38" s="3" t="s">
        <v>178</v>
      </c>
      <c r="AC38" s="3"/>
      <c r="AD38" s="3"/>
      <c r="AE38" s="3" t="s">
        <v>179</v>
      </c>
      <c r="AF38" s="3"/>
      <c r="AG38" s="4"/>
    </row>
    <row r="39" spans="1:33" ht="17.100000000000001" customHeight="1">
      <c r="A39" s="17" t="s">
        <v>131</v>
      </c>
      <c r="C39" s="1" t="s">
        <v>132</v>
      </c>
      <c r="D39" s="16" t="s">
        <v>185</v>
      </c>
      <c r="E39" s="13" t="str">
        <f t="shared" si="0"/>
        <v>Baron</v>
      </c>
      <c r="F39" s="13" t="str">
        <f t="array" ref="F39">_xlfn.LET(
 _xlpm.authors,_xlfn.TEXTBEFORE(A39," ("&amp;G39&amp;")"),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 s="13" t="str">
        <f t="shared" si="1"/>
        <v>1996</v>
      </c>
      <c r="H39" s="13" t="str">
        <f t="shared" si="2"/>
        <v>Baron_etal_1996</v>
      </c>
      <c r="I39" s="13" t="str">
        <f t="shared" si="7"/>
        <v>ISBN%3A9783764353704</v>
      </c>
      <c r="J39" s="13" t="str">
        <f t="shared" si="3"/>
        <v>Baron_etal_1996_Table42</v>
      </c>
      <c r="K39" s="13" t="str">
        <f t="shared" si="6"/>
        <v>ISBN%3A9783764353704_Table42</v>
      </c>
      <c r="L39" s="13" t="str">
        <f t="array" ref="L39">IFERROR(INDEX(AUTO_Public_TSV_FileList!$A$1:$A$1000,MATCH(TRUE(),EXACT(K39,IFERROR(_xlfn.TEXTBEFORE(AUTO_Public_TSV_FileList!$A$1:$A$1000,".tsv"),"")),0)),"notfound")</f>
        <v>ISBN%3A9783764353704_Table42.tsv</v>
      </c>
      <c r="M39" s="3" t="s">
        <v>186</v>
      </c>
      <c r="N39" s="5" t="s">
        <v>35</v>
      </c>
      <c r="O39" s="3" t="s">
        <v>187</v>
      </c>
      <c r="P39" s="3" t="s">
        <v>36</v>
      </c>
      <c r="Q39" s="3"/>
      <c r="R39" s="3"/>
      <c r="S39" s="3" t="s">
        <v>136</v>
      </c>
      <c r="T39" s="3" t="s">
        <v>176</v>
      </c>
      <c r="U39" s="3"/>
      <c r="V39" s="4"/>
      <c r="W39" s="3" t="s">
        <v>138</v>
      </c>
      <c r="X39" s="3" t="s">
        <v>188</v>
      </c>
      <c r="Y39" s="3"/>
      <c r="Z39" s="3" t="s">
        <v>83</v>
      </c>
      <c r="AA39" s="3" t="s">
        <v>184</v>
      </c>
      <c r="AB39" s="3" t="s">
        <v>178</v>
      </c>
      <c r="AC39" s="3"/>
      <c r="AD39" s="3"/>
      <c r="AE39" s="3" t="s">
        <v>179</v>
      </c>
      <c r="AF39" s="3"/>
      <c r="AG39" s="4"/>
    </row>
    <row r="40" spans="1:33" ht="17.100000000000001" customHeight="1">
      <c r="A40" s="17" t="s">
        <v>131</v>
      </c>
      <c r="C40" s="1" t="s">
        <v>132</v>
      </c>
      <c r="D40" s="16" t="s">
        <v>189</v>
      </c>
      <c r="E40" s="13" t="str">
        <f t="shared" si="0"/>
        <v>Baron</v>
      </c>
      <c r="F40" s="13" t="str">
        <f t="array" ref="F40">_xlfn.LET(
 _xlpm.authors,_xlfn.TEXTBEFORE(A40," ("&amp;G40&amp;")"),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 s="13" t="str">
        <f t="shared" si="1"/>
        <v>1996</v>
      </c>
      <c r="H40" s="13" t="str">
        <f t="shared" si="2"/>
        <v>Baron_etal_1996</v>
      </c>
      <c r="I40" s="13" t="str">
        <f t="shared" si="7"/>
        <v>ISBN%3A9783764353704</v>
      </c>
      <c r="J40" s="13" t="str">
        <f t="shared" si="3"/>
        <v>Baron_etal_1996_Table45</v>
      </c>
      <c r="K40" s="13" t="str">
        <f t="shared" si="6"/>
        <v>ISBN%3A9783764353704_Table45</v>
      </c>
      <c r="L40" s="13" t="str">
        <f t="array" ref="L40">IFERROR(INDEX(AUTO_Public_TSV_FileList!$A$1:$A$1000,MATCH(TRUE(),EXACT(K40,IFERROR(_xlfn.TEXTBEFORE(AUTO_Public_TSV_FileList!$A$1:$A$1000,".tsv"),"")),0)),"notfound")</f>
        <v>ISBN%3A9783764353704_Table45.tsv</v>
      </c>
      <c r="M40" s="3" t="s">
        <v>190</v>
      </c>
      <c r="N40" s="5" t="s">
        <v>35</v>
      </c>
      <c r="O40" s="3" t="s">
        <v>191</v>
      </c>
      <c r="P40" s="3" t="s">
        <v>36</v>
      </c>
      <c r="Q40" s="3"/>
      <c r="R40" s="3"/>
      <c r="S40" s="3" t="s">
        <v>136</v>
      </c>
      <c r="T40" s="3" t="s">
        <v>176</v>
      </c>
      <c r="U40" s="3"/>
      <c r="V40" s="4"/>
      <c r="W40" s="3" t="s">
        <v>138</v>
      </c>
      <c r="X40" s="3" t="s">
        <v>192</v>
      </c>
      <c r="Y40" s="3"/>
      <c r="Z40" s="3" t="s">
        <v>83</v>
      </c>
      <c r="AA40" s="3" t="s">
        <v>184</v>
      </c>
      <c r="AB40" s="3" t="s">
        <v>178</v>
      </c>
      <c r="AC40" s="3"/>
      <c r="AD40" s="3"/>
      <c r="AE40" s="3" t="s">
        <v>179</v>
      </c>
      <c r="AF40" s="3"/>
      <c r="AG40" s="4"/>
    </row>
    <row r="41" spans="1:33" ht="17.100000000000001" customHeight="1">
      <c r="A41" s="17" t="s">
        <v>131</v>
      </c>
      <c r="C41" s="1" t="s">
        <v>132</v>
      </c>
      <c r="D41" s="16" t="s">
        <v>193</v>
      </c>
      <c r="E41" s="13" t="str">
        <f t="shared" si="0"/>
        <v>Baron</v>
      </c>
      <c r="F41" s="13" t="str">
        <f t="array" ref="F41">_xlfn.LET(
 _xlpm.authors,_xlfn.TEXTBEFORE(A41," ("&amp;G41&amp;")"),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 s="13" t="str">
        <f t="shared" si="1"/>
        <v>1996</v>
      </c>
      <c r="H41" s="13" t="str">
        <f t="shared" si="2"/>
        <v>Baron_etal_1996</v>
      </c>
      <c r="I41" s="13" t="str">
        <f t="shared" si="7"/>
        <v>ISBN%3A9783764353704</v>
      </c>
      <c r="J41" s="13" t="str">
        <f t="shared" si="3"/>
        <v>Baron_etal_1996_Table48</v>
      </c>
      <c r="K41" s="13" t="str">
        <f t="shared" si="6"/>
        <v>ISBN%3A9783764353704_Table48</v>
      </c>
      <c r="L41" s="13" t="str">
        <f t="array" ref="L41">IFERROR(INDEX(AUTO_Public_TSV_FileList!$A$1:$A$1000,MATCH(TRUE(),EXACT(K41,IFERROR(_xlfn.TEXTBEFORE(AUTO_Public_TSV_FileList!$A$1:$A$1000,".tsv"),"")),0)),"notfound")</f>
        <v>ISBN%3A9783764353704_Table48.tsv</v>
      </c>
      <c r="M41" s="3" t="s">
        <v>194</v>
      </c>
      <c r="N41" s="5" t="s">
        <v>35</v>
      </c>
      <c r="O41" s="4"/>
      <c r="P41" s="3" t="s">
        <v>36</v>
      </c>
      <c r="Q41" s="3"/>
      <c r="R41" s="3"/>
      <c r="S41" s="3" t="s">
        <v>136</v>
      </c>
      <c r="T41" s="3" t="s">
        <v>176</v>
      </c>
      <c r="U41" s="3"/>
      <c r="V41" s="4"/>
      <c r="W41" s="3" t="s">
        <v>138</v>
      </c>
      <c r="X41" s="3" t="s">
        <v>177</v>
      </c>
      <c r="Y41" s="3" t="s">
        <v>177</v>
      </c>
      <c r="Z41" s="3" t="s">
        <v>83</v>
      </c>
      <c r="AA41" s="4"/>
      <c r="AB41" s="3" t="s">
        <v>178</v>
      </c>
      <c r="AC41" s="4"/>
      <c r="AD41" s="3"/>
      <c r="AE41" s="3" t="s">
        <v>179</v>
      </c>
      <c r="AF41" s="3" t="s">
        <v>195</v>
      </c>
      <c r="AG41" s="4"/>
    </row>
    <row r="42" spans="1:33" ht="17.100000000000001" customHeight="1">
      <c r="A42" s="17" t="s">
        <v>131</v>
      </c>
      <c r="C42" s="1" t="s">
        <v>132</v>
      </c>
      <c r="D42" s="16" t="s">
        <v>74</v>
      </c>
      <c r="E42" s="13" t="str">
        <f t="shared" si="0"/>
        <v>Baron</v>
      </c>
      <c r="F42" s="13" t="str">
        <f t="array" ref="F42">_xlfn.LET(
 _xlpm.authors,_xlfn.TEXTBEFORE(A42," ("&amp;G42&amp;")"),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 s="13" t="str">
        <f t="shared" si="1"/>
        <v>1996</v>
      </c>
      <c r="H42" s="13" t="str">
        <f t="shared" si="2"/>
        <v>Baron_etal_1996</v>
      </c>
      <c r="I42" s="13" t="str">
        <f t="shared" si="7"/>
        <v>ISBN%3A9783764353704</v>
      </c>
      <c r="J42" s="13" t="str">
        <f t="shared" si="3"/>
        <v>Baron_etal_1996_Table5</v>
      </c>
      <c r="K42" s="13" t="str">
        <f t="shared" si="6"/>
        <v>ISBN%3A9783764353704_Table5</v>
      </c>
      <c r="L42" s="13" t="str">
        <f t="array" ref="L42">IFERROR(INDEX(AUTO_Public_TSV_FileList!$A$1:$A$1000,MATCH(TRUE(),EXACT(K42,IFERROR(_xlfn.TEXTBEFORE(AUTO_Public_TSV_FileList!$A$1:$A$1000,".tsv"),"")),0)),"notfound")</f>
        <v>ISBN%3A9783764353704_Table5.tsv</v>
      </c>
      <c r="M42" s="3" t="s">
        <v>196</v>
      </c>
      <c r="N42" s="5" t="s">
        <v>35</v>
      </c>
      <c r="O42" s="4"/>
      <c r="P42" s="3" t="s">
        <v>36</v>
      </c>
      <c r="Q42" s="3"/>
      <c r="R42" s="3"/>
      <c r="S42" s="3" t="s">
        <v>136</v>
      </c>
      <c r="T42" s="3" t="s">
        <v>137</v>
      </c>
      <c r="U42" s="3"/>
      <c r="V42" s="4"/>
      <c r="W42" s="3" t="s">
        <v>138</v>
      </c>
      <c r="X42" s="3" t="s">
        <v>197</v>
      </c>
      <c r="Y42" s="3" t="s">
        <v>197</v>
      </c>
      <c r="Z42" s="3"/>
      <c r="AA42" s="3"/>
      <c r="AB42" s="3" t="s">
        <v>198</v>
      </c>
      <c r="AC42" s="3" t="s">
        <v>119</v>
      </c>
      <c r="AD42" s="3" t="s">
        <v>119</v>
      </c>
      <c r="AE42" s="3" t="s">
        <v>66</v>
      </c>
      <c r="AF42" s="3"/>
      <c r="AG42" s="3" t="s">
        <v>199</v>
      </c>
    </row>
    <row r="43" spans="1:33" ht="17.100000000000001" customHeight="1">
      <c r="A43" s="17" t="s">
        <v>131</v>
      </c>
      <c r="C43" s="1" t="s">
        <v>132</v>
      </c>
      <c r="D43" s="16" t="s">
        <v>200</v>
      </c>
      <c r="E43" s="13" t="str">
        <f t="shared" si="0"/>
        <v>Baron</v>
      </c>
      <c r="F43" s="13" t="str">
        <f t="array" ref="F43">_xlfn.LET(
 _xlpm.authors,_xlfn.TEXTBEFORE(A43," ("&amp;G43&amp;")"),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 s="13" t="str">
        <f t="shared" si="1"/>
        <v>1996</v>
      </c>
      <c r="H43" s="13" t="str">
        <f t="shared" si="2"/>
        <v>Baron_etal_1996</v>
      </c>
      <c r="I43" s="13" t="str">
        <f t="shared" si="7"/>
        <v>ISBN%3A9783764353704</v>
      </c>
      <c r="J43" s="13" t="str">
        <f t="shared" si="3"/>
        <v>Baron_etal_1996_Table51</v>
      </c>
      <c r="K43" s="13" t="str">
        <f t="shared" si="6"/>
        <v>ISBN%3A9783764353704_Table51</v>
      </c>
      <c r="L43" s="13" t="str">
        <f t="array" ref="L43">IFERROR(INDEX(AUTO_Public_TSV_FileList!$A$1:$A$1000,MATCH(TRUE(),EXACT(K43,IFERROR(_xlfn.TEXTBEFORE(AUTO_Public_TSV_FileList!$A$1:$A$1000,".tsv"),"")),0)),"notfound")</f>
        <v>ISBN%3A9783764353704_Table51.tsv</v>
      </c>
      <c r="M43" s="3" t="s">
        <v>201</v>
      </c>
      <c r="N43" s="5" t="s">
        <v>35</v>
      </c>
      <c r="O43" s="4"/>
      <c r="P43" s="3" t="s">
        <v>36</v>
      </c>
      <c r="Q43" s="3"/>
      <c r="R43" s="3"/>
      <c r="S43" s="3" t="s">
        <v>136</v>
      </c>
      <c r="T43" s="3" t="s">
        <v>176</v>
      </c>
      <c r="U43" s="3"/>
      <c r="V43" s="4"/>
      <c r="W43" s="3" t="s">
        <v>138</v>
      </c>
      <c r="X43" s="3" t="s">
        <v>202</v>
      </c>
      <c r="Y43" s="3"/>
      <c r="Z43" s="3" t="s">
        <v>83</v>
      </c>
      <c r="AA43" s="3" t="s">
        <v>130</v>
      </c>
      <c r="AB43" s="3" t="s">
        <v>90</v>
      </c>
      <c r="AC43" s="4"/>
      <c r="AD43" s="3"/>
      <c r="AE43" s="3" t="s">
        <v>179</v>
      </c>
      <c r="AF43" s="3"/>
      <c r="AG43" s="3" t="s">
        <v>203</v>
      </c>
    </row>
    <row r="44" spans="1:33" ht="17.100000000000001" customHeight="1">
      <c r="A44" s="17" t="s">
        <v>131</v>
      </c>
      <c r="C44" s="1" t="s">
        <v>132</v>
      </c>
      <c r="D44" s="16" t="s">
        <v>204</v>
      </c>
      <c r="E44" s="13" t="str">
        <f t="shared" si="0"/>
        <v>Baron</v>
      </c>
      <c r="F44" s="13" t="str">
        <f t="array" ref="F44">_xlfn.LET(
 _xlpm.authors,_xlfn.TEXTBEFORE(A44," ("&amp;G44&amp;")"),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 s="13" t="str">
        <f t="shared" si="1"/>
        <v>1996</v>
      </c>
      <c r="H44" s="13" t="str">
        <f t="shared" si="2"/>
        <v>Baron_etal_1996</v>
      </c>
      <c r="I44" s="13" t="str">
        <f t="shared" si="7"/>
        <v>ISBN%3A9783764353704</v>
      </c>
      <c r="J44" s="13" t="str">
        <f t="shared" si="3"/>
        <v>Baron_etal_1996_Table8</v>
      </c>
      <c r="K44" s="13" t="str">
        <f t="shared" si="6"/>
        <v>ISBN%3A9783764353704_Table8</v>
      </c>
      <c r="L44" s="13" t="str">
        <f t="array" ref="L44">IFERROR(INDEX(AUTO_Public_TSV_FileList!$A$1:$A$1000,MATCH(TRUE(),EXACT(K44,IFERROR(_xlfn.TEXTBEFORE(AUTO_Public_TSV_FileList!$A$1:$A$1000,".tsv"),"")),0)),"notfound")</f>
        <v>ISBN%3A9783764353704_Table8.tsv</v>
      </c>
      <c r="M44" s="3" t="s">
        <v>205</v>
      </c>
      <c r="N44" s="5" t="s">
        <v>35</v>
      </c>
      <c r="O44" s="3" t="s">
        <v>206</v>
      </c>
      <c r="P44" s="3" t="s">
        <v>36</v>
      </c>
      <c r="Q44" s="3"/>
      <c r="R44" s="3"/>
      <c r="S44" s="3" t="s">
        <v>136</v>
      </c>
      <c r="T44" s="3" t="s">
        <v>137</v>
      </c>
      <c r="U44" s="3"/>
      <c r="V44" s="4"/>
      <c r="W44" s="3" t="s">
        <v>138</v>
      </c>
      <c r="X44" s="3" t="s">
        <v>207</v>
      </c>
      <c r="Y44" s="3" t="s">
        <v>207</v>
      </c>
      <c r="Z44" s="3" t="s">
        <v>83</v>
      </c>
      <c r="AA44" s="3"/>
      <c r="AB44" s="3" t="s">
        <v>90</v>
      </c>
      <c r="AC44" s="3" t="s">
        <v>119</v>
      </c>
      <c r="AD44" s="3" t="s">
        <v>119</v>
      </c>
      <c r="AE44" s="3" t="s">
        <v>66</v>
      </c>
      <c r="AF44" s="3"/>
      <c r="AG44" s="3" t="s">
        <v>208</v>
      </c>
    </row>
    <row r="45" spans="1:33" ht="17.100000000000001" customHeight="1">
      <c r="A45" s="1" t="s">
        <v>209</v>
      </c>
      <c r="D45" s="1" t="s">
        <v>81</v>
      </c>
      <c r="E45" s="13" t="str">
        <f t="shared" si="0"/>
        <v>Bauernfeind</v>
      </c>
      <c r="F45" s="13" t="str">
        <f t="array" ref="F45">_xlfn.LET(
 _xlpm.authors,_xlfn.TEXTBEFORE(A45," ("&amp;G45&amp;")"),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 s="13" t="str">
        <f t="shared" si="1"/>
        <v>2013</v>
      </c>
      <c r="H45" s="13" t="str">
        <f t="shared" si="2"/>
        <v>Bauernfeind_etal_2013</v>
      </c>
      <c r="I45" s="13" t="str">
        <f t="shared" si="7"/>
        <v>10.1016%2Fj.jhevol.2012.12.003</v>
      </c>
      <c r="J45" s="13" t="str">
        <f t="shared" si="3"/>
        <v>Bauernfeind_etal_2013_Table1</v>
      </c>
      <c r="K45" s="13" t="str">
        <f t="shared" si="6"/>
        <v>10.1016%2Fj.jhevol.2012.12.003_Table1</v>
      </c>
      <c r="L45" s="13" t="str">
        <f t="array" ref="L45">IFERROR(INDEX(AUTO_Public_TSV_FileList!$A$1:$A$1000,MATCH(TRUE(),EXACT(K45,IFERROR(_xlfn.TEXTBEFORE(AUTO_Public_TSV_FileList!$A$1:$A$1000,".tsv"),"")),0)),"notfound")</f>
        <v>10.1016%2Fj.jhevol.2012.12.003_Table1.tsv</v>
      </c>
      <c r="M45" s="5" t="s">
        <v>210</v>
      </c>
      <c r="N45" s="5" t="s">
        <v>35</v>
      </c>
      <c r="O45" s="4"/>
      <c r="P45" s="5" t="s">
        <v>36</v>
      </c>
      <c r="Q45" s="4"/>
      <c r="R45" s="4"/>
      <c r="S45" s="4"/>
      <c r="T45" s="4"/>
      <c r="U45" s="4"/>
      <c r="V45" s="4"/>
      <c r="W45" s="5" t="s">
        <v>100</v>
      </c>
      <c r="X45" s="5" t="s">
        <v>211</v>
      </c>
      <c r="Y45" s="4"/>
      <c r="Z45" s="5" t="s">
        <v>83</v>
      </c>
      <c r="AA45" s="5" t="s">
        <v>130</v>
      </c>
      <c r="AB45" s="5" t="s">
        <v>90</v>
      </c>
      <c r="AC45" s="5" t="s">
        <v>212</v>
      </c>
      <c r="AD45" s="4"/>
      <c r="AE45" s="5" t="s">
        <v>66</v>
      </c>
      <c r="AF45" s="5"/>
      <c r="AG45" s="4"/>
    </row>
    <row r="46" spans="1:33" ht="17.100000000000001" customHeight="1">
      <c r="A46" s="1" t="s">
        <v>209</v>
      </c>
      <c r="D46" s="1" t="s">
        <v>70</v>
      </c>
      <c r="E46" s="13" t="str">
        <f t="shared" si="0"/>
        <v>Bauernfeind</v>
      </c>
      <c r="F46" s="13" t="str">
        <f t="array" ref="F46">_xlfn.LET(
 _xlpm.authors,_xlfn.TEXTBEFORE(A46," ("&amp;G46&amp;")"),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 s="13" t="str">
        <f t="shared" si="1"/>
        <v>2013</v>
      </c>
      <c r="H46" s="13" t="str">
        <f t="shared" si="2"/>
        <v>Bauernfeind_etal_2013</v>
      </c>
      <c r="I46" s="13" t="str">
        <f t="shared" si="7"/>
        <v>10.1016%2Fj.jhevol.2012.12.003</v>
      </c>
      <c r="J46" s="13" t="str">
        <f t="shared" si="3"/>
        <v>Bauernfeind_etal_2013_Table2</v>
      </c>
      <c r="K46" s="13" t="str">
        <f t="shared" si="6"/>
        <v>10.1016%2Fj.jhevol.2012.12.003_Table2</v>
      </c>
      <c r="L46" s="13" t="str">
        <f t="array" ref="L46">IFERROR(INDEX(AUTO_Public_TSV_FileList!$A$1:$A$1000,MATCH(TRUE(),EXACT(K46,IFERROR(_xlfn.TEXTBEFORE(AUTO_Public_TSV_FileList!$A$1:$A$1000,".tsv"),"")),0)),"notfound")</f>
        <v>10.1016%2Fj.jhevol.2012.12.003_Table2.tsv</v>
      </c>
      <c r="M46" s="4"/>
      <c r="N46" s="5" t="s">
        <v>35</v>
      </c>
      <c r="O46" s="4"/>
      <c r="P46" s="5" t="s">
        <v>36</v>
      </c>
      <c r="Q46" s="4"/>
      <c r="R46" s="4"/>
      <c r="S46" s="4"/>
      <c r="T46" s="4"/>
      <c r="U46" s="4"/>
      <c r="V46" s="4"/>
      <c r="W46" s="5" t="s">
        <v>100</v>
      </c>
      <c r="X46" s="5" t="s">
        <v>211</v>
      </c>
      <c r="Y46" s="4"/>
      <c r="Z46" s="5" t="s">
        <v>83</v>
      </c>
      <c r="AA46" s="5" t="s">
        <v>130</v>
      </c>
      <c r="AB46" s="5" t="s">
        <v>90</v>
      </c>
      <c r="AC46" s="5" t="s">
        <v>212</v>
      </c>
      <c r="AD46" s="4"/>
      <c r="AE46" s="5" t="s">
        <v>66</v>
      </c>
      <c r="AF46" s="5"/>
      <c r="AG46" s="4"/>
    </row>
    <row r="47" spans="1:33" ht="17.100000000000001" customHeight="1">
      <c r="A47" s="1" t="s">
        <v>209</v>
      </c>
      <c r="D47" s="1" t="s">
        <v>72</v>
      </c>
      <c r="E47" s="13" t="str">
        <f t="shared" si="0"/>
        <v>Bauernfeind</v>
      </c>
      <c r="F47" s="13" t="str">
        <f t="array" ref="F47">_xlfn.LET(
 _xlpm.authors,_xlfn.TEXTBEFORE(A47," ("&amp;G47&amp;")"),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 s="13" t="str">
        <f t="shared" si="1"/>
        <v>2013</v>
      </c>
      <c r="H47" s="13" t="str">
        <f t="shared" si="2"/>
        <v>Bauernfeind_etal_2013</v>
      </c>
      <c r="I47" s="13" t="str">
        <f t="shared" si="7"/>
        <v>10.1016%2Fj.jhevol.2012.12.003</v>
      </c>
      <c r="J47" s="13" t="str">
        <f t="shared" si="3"/>
        <v>Bauernfeind_etal_2013_Table3</v>
      </c>
      <c r="K47" s="13" t="str">
        <f t="shared" si="6"/>
        <v>10.1016%2Fj.jhevol.2012.12.003_Table3</v>
      </c>
      <c r="L47" s="13" t="str">
        <f t="array" ref="L47">IFERROR(INDEX(AUTO_Public_TSV_FileList!$A$1:$A$1000,MATCH(TRUE(),EXACT(K47,IFERROR(_xlfn.TEXTBEFORE(AUTO_Public_TSV_FileList!$A$1:$A$1000,".tsv"),"")),0)),"notfound")</f>
        <v>10.1016%2Fj.jhevol.2012.12.003_Table3.tsv</v>
      </c>
      <c r="M47" s="4"/>
      <c r="N47" s="5" t="s">
        <v>35</v>
      </c>
      <c r="O47" s="4"/>
      <c r="P47" s="5" t="s">
        <v>36</v>
      </c>
      <c r="Q47" s="4"/>
      <c r="R47" s="4"/>
      <c r="S47" s="4"/>
      <c r="T47" s="4"/>
      <c r="U47" s="4"/>
      <c r="V47" s="4"/>
      <c r="W47" s="5" t="s">
        <v>100</v>
      </c>
      <c r="X47" s="5" t="s">
        <v>211</v>
      </c>
      <c r="Y47" s="4"/>
      <c r="Z47" s="5" t="s">
        <v>83</v>
      </c>
      <c r="AA47" s="5" t="s">
        <v>130</v>
      </c>
      <c r="AB47" s="5" t="s">
        <v>90</v>
      </c>
      <c r="AC47" s="5" t="s">
        <v>212</v>
      </c>
      <c r="AD47" s="4"/>
      <c r="AE47" s="5" t="s">
        <v>66</v>
      </c>
      <c r="AF47" s="5"/>
      <c r="AG47" s="4"/>
    </row>
    <row r="48" spans="1:33" ht="17.100000000000001" customHeight="1">
      <c r="A48" s="16" t="s">
        <v>213</v>
      </c>
      <c r="B48" s="16"/>
      <c r="C48" s="16"/>
      <c r="D48" s="16" t="s">
        <v>81</v>
      </c>
      <c r="E48" s="13" t="str">
        <f t="shared" si="0"/>
        <v>Bianchi</v>
      </c>
      <c r="F48" s="13" t="str">
        <f t="array" ref="F48">_xlfn.LET(
 _xlpm.authors,_xlfn.TEXTBEFORE(A48," ("&amp;G48&amp;")"),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 s="13" t="str">
        <f t="shared" si="1"/>
        <v>2012</v>
      </c>
      <c r="H48" s="13" t="str">
        <f t="shared" si="2"/>
        <v>Bianchi_etal_2012</v>
      </c>
      <c r="I48" s="13" t="str">
        <f t="shared" si="7"/>
        <v>10.1093%2Fcercor%2Fbhs239</v>
      </c>
      <c r="J48" s="13" t="str">
        <f t="shared" si="3"/>
        <v>Bianchi_etal_2012_Table1</v>
      </c>
      <c r="K48" s="13" t="str">
        <f t="shared" si="6"/>
        <v>10.1093%2Fcercor%2Fbhs239_Table1</v>
      </c>
      <c r="L48" s="13" t="str">
        <f t="array" ref="L48">IFERROR(INDEX(AUTO_Public_TSV_FileList!$A$1:$A$1000,MATCH(TRUE(),EXACT(K48,IFERROR(_xlfn.TEXTBEFORE(AUTO_Public_TSV_FileList!$A$1:$A$1000,".tsv"),"")),0)),"notfound")</f>
        <v>10.1093%2Fcercor%2Fbhs239_Table1.tsv</v>
      </c>
      <c r="M48" s="3" t="s">
        <v>214</v>
      </c>
      <c r="N48" s="3" t="s">
        <v>215</v>
      </c>
      <c r="O48" s="4"/>
      <c r="P48" s="3" t="s">
        <v>36</v>
      </c>
      <c r="Q48" s="3"/>
      <c r="R48" s="3" t="s">
        <v>216</v>
      </c>
      <c r="S48" s="3"/>
      <c r="T48" s="3" t="s">
        <v>217</v>
      </c>
      <c r="U48" s="3"/>
      <c r="V48" s="3" t="s">
        <v>218</v>
      </c>
      <c r="W48" s="3" t="s">
        <v>100</v>
      </c>
      <c r="X48" s="3" t="s">
        <v>219</v>
      </c>
      <c r="Y48" s="3" t="s">
        <v>220</v>
      </c>
      <c r="Z48" s="3"/>
      <c r="AA48" s="3" t="s">
        <v>221</v>
      </c>
      <c r="AB48" s="3" t="s">
        <v>222</v>
      </c>
      <c r="AC48" s="3"/>
      <c r="AD48" s="3"/>
      <c r="AE48" s="3" t="s">
        <v>66</v>
      </c>
      <c r="AF48" s="3"/>
      <c r="AG48" s="3" t="s">
        <v>223</v>
      </c>
    </row>
    <row r="49" spans="1:33" ht="17.100000000000001" customHeight="1">
      <c r="A49" s="16" t="s">
        <v>213</v>
      </c>
      <c r="B49" s="16"/>
      <c r="C49" s="16"/>
      <c r="D49" s="16" t="s">
        <v>70</v>
      </c>
      <c r="E49" s="13" t="str">
        <f t="shared" si="0"/>
        <v>Bianchi</v>
      </c>
      <c r="F49" s="13" t="str">
        <f t="array" ref="F49">_xlfn.LET(
 _xlpm.authors,_xlfn.TEXTBEFORE(A49," ("&amp;G49&amp;")"),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 s="13" t="str">
        <f t="shared" si="1"/>
        <v>2012</v>
      </c>
      <c r="H49" s="13" t="str">
        <f t="shared" si="2"/>
        <v>Bianchi_etal_2012</v>
      </c>
      <c r="I49" s="13" t="str">
        <f t="shared" si="7"/>
        <v>10.1093%2Fcercor%2Fbhs239</v>
      </c>
      <c r="J49" s="13" t="str">
        <f t="shared" si="3"/>
        <v>Bianchi_etal_2012_Table2</v>
      </c>
      <c r="K49" s="13" t="str">
        <f t="shared" si="6"/>
        <v>10.1093%2Fcercor%2Fbhs239_Table2</v>
      </c>
      <c r="L49" s="13" t="str">
        <f t="array" ref="L49">IFERROR(INDEX(AUTO_Public_TSV_FileList!$A$1:$A$1000,MATCH(TRUE(),EXACT(K49,IFERROR(_xlfn.TEXTBEFORE(AUTO_Public_TSV_FileList!$A$1:$A$1000,".tsv"),"")),0)),"notfound")</f>
        <v>10.1093%2Fcercor%2Fbhs239_Table2.tsv</v>
      </c>
      <c r="M49" s="3" t="s">
        <v>224</v>
      </c>
      <c r="N49" s="3" t="s">
        <v>215</v>
      </c>
      <c r="O49" s="4"/>
      <c r="P49" s="3" t="s">
        <v>36</v>
      </c>
      <c r="Q49" s="3"/>
      <c r="R49" s="3" t="s">
        <v>216</v>
      </c>
      <c r="S49" s="3"/>
      <c r="T49" s="3" t="s">
        <v>217</v>
      </c>
      <c r="U49" s="3"/>
      <c r="V49" s="3" t="s">
        <v>218</v>
      </c>
      <c r="W49" s="3" t="s">
        <v>100</v>
      </c>
      <c r="X49" s="3" t="s">
        <v>219</v>
      </c>
      <c r="Y49" s="3" t="s">
        <v>225</v>
      </c>
      <c r="Z49" s="3"/>
      <c r="AA49" s="3" t="s">
        <v>221</v>
      </c>
      <c r="AB49" s="3" t="s">
        <v>222</v>
      </c>
      <c r="AC49" s="3"/>
      <c r="AD49" s="3"/>
      <c r="AE49" s="3" t="s">
        <v>226</v>
      </c>
      <c r="AF49" s="3"/>
      <c r="AG49" s="3" t="s">
        <v>227</v>
      </c>
    </row>
    <row r="50" spans="1:33" ht="17.100000000000001" customHeight="1">
      <c r="A50" s="16" t="s">
        <v>228</v>
      </c>
      <c r="B50" s="15"/>
      <c r="C50" s="15"/>
      <c r="D50" s="16" t="s">
        <v>229</v>
      </c>
      <c r="E50" s="13" t="str">
        <f t="shared" si="0"/>
        <v>Boddy</v>
      </c>
      <c r="F50" s="13" t="str">
        <f t="array" ref="F50">_xlfn.LET(
 _xlpm.authors,_xlfn.TEXTBEFORE(A50," ("&amp;G50&amp;")"),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 s="13" t="str">
        <f t="shared" si="1"/>
        <v>2012</v>
      </c>
      <c r="H50" s="13" t="str">
        <f t="shared" si="2"/>
        <v>Boddy_etal_2012</v>
      </c>
      <c r="I50" s="13" t="str">
        <f t="shared" si="7"/>
        <v>10.1111%2Fj.1420-9101.2012.02491.x</v>
      </c>
      <c r="J50" s="13" t="str">
        <f t="shared" si="3"/>
        <v>Boddy_etal_2012_brainbodydatabasev2.txt</v>
      </c>
      <c r="K50" s="13" t="str">
        <f t="shared" si="6"/>
        <v>10.1111%2Fj.1420-9101.2012.02491.x_brainbodydatabasev2.txt</v>
      </c>
      <c r="L50" s="13" t="str">
        <f t="array" ref="L50">IFERROR(INDEX(AUTO_Public_TSV_FileList!$A$1:$A$1000,MATCH(TRUE(),EXACT(K50,IFERROR(_xlfn.TEXTBEFORE(AUTO_Public_TSV_FileList!$A$1:$A$1000,".tsv"),"")),0)),"notfound")</f>
        <v>notfound</v>
      </c>
      <c r="M50" s="3"/>
      <c r="N50" s="3" t="s">
        <v>230</v>
      </c>
      <c r="O50" s="4"/>
      <c r="P50" s="3" t="s">
        <v>36</v>
      </c>
      <c r="Q50" s="3"/>
      <c r="R50" s="3"/>
      <c r="S50" s="3"/>
      <c r="T50" s="3"/>
      <c r="U50" s="3"/>
      <c r="V50" s="3"/>
      <c r="W50" s="3"/>
      <c r="X50" s="3"/>
      <c r="Y50" s="3"/>
      <c r="Z50" s="3"/>
      <c r="AA50" s="3"/>
      <c r="AB50" s="3"/>
      <c r="AC50" s="3"/>
      <c r="AD50" s="3"/>
      <c r="AE50" s="3"/>
      <c r="AF50" s="3"/>
      <c r="AG50" s="3"/>
    </row>
    <row r="51" spans="1:33" ht="17.100000000000001" customHeight="1">
      <c r="A51" s="16" t="s">
        <v>228</v>
      </c>
      <c r="B51" s="15"/>
      <c r="C51" s="15"/>
      <c r="D51" s="16" t="s">
        <v>231</v>
      </c>
      <c r="E51" s="13" t="str">
        <f t="shared" si="0"/>
        <v>Boddy</v>
      </c>
      <c r="F51" s="13" t="str">
        <f t="array" ref="F51">_xlfn.LET(
 _xlpm.authors,_xlfn.TEXTBEFORE(A51," ("&amp;G51&amp;")"),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 s="13" t="str">
        <f t="shared" si="1"/>
        <v>2012</v>
      </c>
      <c r="H51" s="13" t="str">
        <f t="shared" si="2"/>
        <v>Boddy_etal_2012</v>
      </c>
      <c r="I51" s="13" t="str">
        <f t="shared" si="7"/>
        <v>10.1111%2Fj.1420-9101.2012.02491.x</v>
      </c>
      <c r="J51" s="13" t="str">
        <f t="shared" si="3"/>
        <v>Boddy_etal_2012_TableS1</v>
      </c>
      <c r="K51" s="13" t="str">
        <f t="shared" si="6"/>
        <v>10.1111%2Fj.1420-9101.2012.02491.x_TableS1</v>
      </c>
      <c r="L51" s="13" t="str">
        <f t="array" ref="L51">IFERROR(INDEX(AUTO_Public_TSV_FileList!$A$1:$A$1000,MATCH(TRUE(),EXACT(K51,IFERROR(_xlfn.TEXTBEFORE(AUTO_Public_TSV_FileList!$A$1:$A$1000,".tsv"),"")),0)),"notfound")</f>
        <v>10.1111%2Fj.1420-9101.2012.02491.x_TableS1.tsv</v>
      </c>
      <c r="M51" s="3"/>
      <c r="N51" s="3" t="s">
        <v>232</v>
      </c>
      <c r="O51" s="4"/>
      <c r="P51" s="3" t="s">
        <v>36</v>
      </c>
      <c r="Q51" s="3"/>
      <c r="R51" s="3"/>
      <c r="S51" s="3"/>
      <c r="T51" s="3"/>
      <c r="U51" s="3"/>
      <c r="V51" s="3"/>
      <c r="W51" s="3"/>
      <c r="X51" s="3"/>
      <c r="Y51" s="3"/>
      <c r="Z51" s="3"/>
      <c r="AA51" s="3"/>
      <c r="AB51" s="3"/>
      <c r="AC51" s="3"/>
      <c r="AD51" s="3"/>
      <c r="AE51" s="3"/>
      <c r="AF51" s="3"/>
      <c r="AG51" s="3"/>
    </row>
    <row r="52" spans="1:33" ht="17.100000000000001" customHeight="1">
      <c r="A52" s="1" t="s">
        <v>233</v>
      </c>
      <c r="D52" s="1" t="s">
        <v>81</v>
      </c>
      <c r="E52" s="13" t="str">
        <f t="shared" si="0"/>
        <v>Bortoff</v>
      </c>
      <c r="F52" s="13" t="str">
        <f t="array" ref="F52">_xlfn.LET(
 _xlpm.authors,_xlfn.TEXTBEFORE(A52," ("&amp;G52&amp;")"),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Strick</v>
      </c>
      <c r="G52" s="13" t="str">
        <f t="shared" si="1"/>
        <v>1993</v>
      </c>
      <c r="H52" s="13" t="str">
        <f t="shared" si="2"/>
        <v>Bortoff_Strick_1993</v>
      </c>
      <c r="I52" s="13" t="str">
        <f t="shared" si="7"/>
        <v>10.1523%2FJNEUROSCI.13-12-05105.1993</v>
      </c>
      <c r="J52" s="13" t="str">
        <f t="shared" si="3"/>
        <v>Bortoff_Strick_1993_Table1</v>
      </c>
      <c r="K52" s="13" t="str">
        <f t="shared" si="6"/>
        <v>10.1523%2FJNEUROSCI.13-12-05105.1993_Table1</v>
      </c>
      <c r="L52" s="13" t="str">
        <f t="array" ref="L52">IFERROR(INDEX(AUTO_Public_TSV_FileList!$A$1:$A$1000,MATCH(TRUE(),EXACT(K52,IFERROR(_xlfn.TEXTBEFORE(AUTO_Public_TSV_FileList!$A$1:$A$1000,".tsv"),"")),0)),"notfound")</f>
        <v>10.1523%2FJNEUROSCI.13-12-05105.1993_Table1.tsv</v>
      </c>
      <c r="M52" s="5" t="s">
        <v>234</v>
      </c>
      <c r="N52" s="5" t="s">
        <v>35</v>
      </c>
      <c r="O52" s="4"/>
      <c r="P52" s="5" t="s">
        <v>36</v>
      </c>
      <c r="Q52" s="5"/>
      <c r="R52" s="5" t="s">
        <v>235</v>
      </c>
      <c r="S52" s="4"/>
      <c r="T52" s="4"/>
      <c r="U52" s="4"/>
      <c r="V52" s="5" t="s">
        <v>236</v>
      </c>
      <c r="W52" s="5" t="s">
        <v>237</v>
      </c>
      <c r="X52" s="5" t="s">
        <v>238</v>
      </c>
      <c r="Y52" s="5" t="s">
        <v>239</v>
      </c>
      <c r="Z52" s="4"/>
      <c r="AA52" s="5" t="s">
        <v>240</v>
      </c>
      <c r="AB52" s="5" t="s">
        <v>241</v>
      </c>
      <c r="AC52" s="5" t="s">
        <v>242</v>
      </c>
      <c r="AD52" s="4"/>
      <c r="AE52" s="5" t="s">
        <v>66</v>
      </c>
      <c r="AF52" s="5"/>
      <c r="AG52" s="5" t="s">
        <v>243</v>
      </c>
    </row>
    <row r="53" spans="1:33" ht="17.100000000000001" customHeight="1">
      <c r="A53" s="1" t="s">
        <v>244</v>
      </c>
      <c r="D53" s="1" t="s">
        <v>81</v>
      </c>
      <c r="E53" s="13" t="str">
        <f t="shared" si="0"/>
        <v>Boyer</v>
      </c>
      <c r="F53" s="13" t="str">
        <f t="array" ref="F53">_xlfn.LET(
 _xlpm.authors,_xlfn.TEXTBEFORE(A53," ("&amp;G53&amp;")"),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Harrington</v>
      </c>
      <c r="G53" s="13" t="str">
        <f t="shared" si="1"/>
        <v>2018</v>
      </c>
      <c r="H53" s="13" t="str">
        <f t="shared" si="2"/>
        <v>Boyer_Harrington_2018</v>
      </c>
      <c r="I53" s="13" t="str">
        <f t="shared" si="7"/>
        <v>10.1016%2Fj.jhevol.2017.09.003</v>
      </c>
      <c r="J53" s="13" t="str">
        <f t="shared" si="3"/>
        <v>Boyer_Harrington_2018_Table1</v>
      </c>
      <c r="K53" s="13" t="str">
        <f t="shared" si="6"/>
        <v>10.1016%2Fj.jhevol.2017.09.003_Table1</v>
      </c>
      <c r="L53" s="13" t="str">
        <f t="array" ref="L53">IFERROR(INDEX(AUTO_Public_TSV_FileList!$A$1:$A$1000,MATCH(TRUE(),EXACT(K53,IFERROR(_xlfn.TEXTBEFORE(AUTO_Public_TSV_FileList!$A$1:$A$1000,".tsv"),"")),0)),"notfound")</f>
        <v>10.1016%2Fj.jhevol.2017.09.003_Table1.tsv</v>
      </c>
      <c r="M53" s="5" t="s">
        <v>245</v>
      </c>
      <c r="N53" s="4"/>
      <c r="O53" s="4"/>
      <c r="P53" s="5" t="s">
        <v>36</v>
      </c>
      <c r="Q53" s="4"/>
      <c r="R53" s="4"/>
      <c r="S53" s="4"/>
      <c r="T53" s="4"/>
      <c r="U53" s="4"/>
      <c r="V53" s="4"/>
      <c r="W53" s="4"/>
      <c r="X53" s="4"/>
      <c r="Y53" s="4"/>
      <c r="Z53" s="4"/>
      <c r="AA53" s="4"/>
      <c r="AB53" s="4"/>
      <c r="AC53" s="4"/>
      <c r="AD53" s="4"/>
      <c r="AE53" s="4"/>
      <c r="AF53" s="4"/>
      <c r="AG53" s="4"/>
    </row>
    <row r="54" spans="1:33" ht="17.100000000000001" customHeight="1">
      <c r="A54" s="1" t="s">
        <v>246</v>
      </c>
      <c r="D54" s="1" t="s">
        <v>247</v>
      </c>
      <c r="E54" s="13" t="str">
        <f t="shared" si="0"/>
        <v>Boyer</v>
      </c>
      <c r="F54" s="13" t="str">
        <f t="array" ref="F54">_xlfn.LET(
 _xlpm.authors,_xlfn.TEXTBEFORE(A54," ("&amp;G54&amp;")"),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Harrington</v>
      </c>
      <c r="G54" s="13" t="str">
        <f t="shared" si="1"/>
        <v>2019</v>
      </c>
      <c r="H54" s="13" t="str">
        <f t="shared" si="2"/>
        <v>Boyer_Harrington_2019</v>
      </c>
      <c r="I54" s="13" t="str">
        <f t="shared" si="7"/>
        <v>10.1016%2Fj.jhevol.2018.10.002</v>
      </c>
      <c r="J54" s="13" t="str">
        <f t="shared" si="3"/>
        <v>Boyer_Harrington_2019_SOMTableS6</v>
      </c>
      <c r="K54" s="13" t="str">
        <f t="shared" si="6"/>
        <v>10.1016%2Fj.jhevol.2018.10.002_SOMTableS6</v>
      </c>
      <c r="L54" s="13" t="str">
        <f t="array" ref="L54">IFERROR(INDEX(AUTO_Public_TSV_FileList!$A$1:$A$1000,MATCH(TRUE(),EXACT(K54,IFERROR(_xlfn.TEXTBEFORE(AUTO_Public_TSV_FileList!$A$1:$A$1000,".tsv"),"")),0)),"notfound")</f>
        <v>10.1016%2Fj.jhevol.2018.10.002_SOMTableS6.tsv</v>
      </c>
      <c r="M54" s="4"/>
      <c r="N54" s="4"/>
      <c r="O54" s="4"/>
      <c r="P54" s="5" t="s">
        <v>36</v>
      </c>
      <c r="Q54" s="4"/>
      <c r="R54" s="4"/>
      <c r="S54" s="4"/>
      <c r="T54" s="4"/>
      <c r="U54" s="4"/>
      <c r="V54" s="4"/>
      <c r="W54" s="4"/>
      <c r="X54" s="4"/>
      <c r="Y54" s="4"/>
      <c r="Z54" s="4"/>
      <c r="AA54" s="4"/>
      <c r="AB54" s="4"/>
      <c r="AC54" s="4"/>
      <c r="AD54" s="4"/>
      <c r="AE54" s="4"/>
      <c r="AF54" s="4"/>
      <c r="AG54" s="4"/>
    </row>
    <row r="55" spans="1:33" ht="17.100000000000001" customHeight="1">
      <c r="A55" s="17" t="s">
        <v>248</v>
      </c>
      <c r="C55" s="1" t="s">
        <v>249</v>
      </c>
      <c r="D55" s="1" t="s">
        <v>81</v>
      </c>
      <c r="E55" s="13" t="str">
        <f t="shared" si="0"/>
        <v>Brodmann</v>
      </c>
      <c r="F55" s="13" t="str">
        <f t="array" ref="F55">_xlfn.LET(
 _xlpm.authors,_xlfn.TEXTBEFORE(A55," ("&amp;G55&amp;")"),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5" s="13" t="str">
        <f t="shared" si="1"/>
        <v>1913</v>
      </c>
      <c r="H55" s="13" t="str">
        <f t="shared" si="2"/>
        <v>Brodmann__1913</v>
      </c>
      <c r="I55" s="13" t="str">
        <f t="shared" si="7"/>
        <v>OCLC%3A8777719</v>
      </c>
      <c r="J55" s="13" t="str">
        <f t="shared" si="3"/>
        <v>Brodmann__1913_Table1</v>
      </c>
      <c r="K55" s="13" t="str">
        <f t="shared" si="6"/>
        <v>OCLC%3A8777719_Table1</v>
      </c>
      <c r="L55" s="13" t="str">
        <f t="array" ref="L55">IFERROR(INDEX(AUTO_Public_TSV_FileList!$A$1:$A$1000,MATCH(TRUE(),EXACT(K55,IFERROR(_xlfn.TEXTBEFORE(AUTO_Public_TSV_FileList!$A$1:$A$1000,".tsv"),"")),0)),"notfound")</f>
        <v>OCLC%3A8777719_Table1.tsv</v>
      </c>
      <c r="M55" s="5" t="s">
        <v>250</v>
      </c>
      <c r="N55" s="4"/>
      <c r="O55" s="4"/>
      <c r="P55" s="5" t="s">
        <v>36</v>
      </c>
      <c r="Q55" s="4"/>
      <c r="R55" s="4"/>
      <c r="S55" s="4"/>
      <c r="T55" s="4"/>
      <c r="U55" s="4"/>
      <c r="V55" s="4"/>
      <c r="W55" s="5" t="s">
        <v>251</v>
      </c>
      <c r="X55" s="5" t="s">
        <v>252</v>
      </c>
      <c r="Y55" s="4"/>
      <c r="Z55" s="4"/>
      <c r="AA55" s="4"/>
      <c r="AB55" s="5" t="s">
        <v>253</v>
      </c>
      <c r="AC55" s="4"/>
      <c r="AD55" s="4"/>
      <c r="AE55" s="5" t="s">
        <v>66</v>
      </c>
      <c r="AF55" s="5"/>
      <c r="AG55" s="4"/>
    </row>
    <row r="56" spans="1:33" ht="17.100000000000001" customHeight="1">
      <c r="A56" s="1" t="s">
        <v>254</v>
      </c>
      <c r="C56" s="1" t="s">
        <v>255</v>
      </c>
      <c r="D56" s="1" t="s">
        <v>256</v>
      </c>
      <c r="E56" s="13" t="str">
        <f t="shared" si="0"/>
        <v>Brodmann</v>
      </c>
      <c r="F56" s="13" t="str">
        <f t="array" ref="F56">_xlfn.LET(
 _xlpm.authors,_xlfn.TEXTBEFORE(A56," ("&amp;G56&amp;")"),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6" s="13" t="str">
        <f t="shared" si="1"/>
        <v>1913</v>
      </c>
      <c r="H56" s="13" t="str">
        <f t="shared" si="2"/>
        <v>Brodmann__1913</v>
      </c>
      <c r="I56" s="13" t="str">
        <f t="shared" si="7"/>
        <v>10.0000%2Fplaceholder</v>
      </c>
      <c r="J56" s="13" t="str">
        <f t="shared" si="3"/>
        <v>Brodmann__1913_Tabelle1</v>
      </c>
      <c r="K56" s="13" t="str">
        <f t="shared" si="6"/>
        <v>10.0000%2Fplaceholder_Tabelle1</v>
      </c>
      <c r="L56" s="13" t="str">
        <f t="array" ref="L56">IFERROR(INDEX(AUTO_Public_TSV_FileList!$A$1:$A$1000,MATCH(TRUE(),EXACT(K56,IFERROR(_xlfn.TEXTBEFORE(AUTO_Public_TSV_FileList!$A$1:$A$1000,".tsv"),"")),0)),"notfound")</f>
        <v>notfound</v>
      </c>
      <c r="M56" s="4"/>
      <c r="N56" s="4"/>
      <c r="O56" s="4" t="s">
        <v>257</v>
      </c>
      <c r="P56" s="4" t="s">
        <v>36</v>
      </c>
      <c r="Q56" s="4"/>
      <c r="R56" s="4"/>
      <c r="S56" s="4"/>
      <c r="T56" s="4"/>
      <c r="U56" s="4"/>
      <c r="V56" s="4"/>
      <c r="W56" s="5" t="s">
        <v>258</v>
      </c>
      <c r="X56" s="5" t="s">
        <v>178</v>
      </c>
      <c r="Y56" s="4"/>
      <c r="Z56" s="4"/>
      <c r="AA56" s="4"/>
      <c r="AB56" s="5" t="s">
        <v>178</v>
      </c>
      <c r="AC56" s="4"/>
      <c r="AD56" s="4"/>
      <c r="AE56" s="5" t="s">
        <v>66</v>
      </c>
      <c r="AF56" s="5"/>
      <c r="AG56" s="4"/>
    </row>
    <row r="57" spans="1:33" ht="17.100000000000001" customHeight="1">
      <c r="A57" s="1" t="s">
        <v>259</v>
      </c>
      <c r="D57" s="1" t="s">
        <v>260</v>
      </c>
      <c r="E57" s="13" t="str">
        <f t="shared" si="0"/>
        <v>Burger</v>
      </c>
      <c r="F57" s="13" t="str">
        <f t="array" ref="F57">_xlfn.LET(
 _xlpm.authors,_xlfn.TEXTBEFORE(A57," ("&amp;G57&amp;")"),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 s="13" t="str">
        <f t="shared" si="1"/>
        <v>2019</v>
      </c>
      <c r="H57" s="13" t="str">
        <f t="shared" si="2"/>
        <v>Burger_etal_2019</v>
      </c>
      <c r="I57" s="13" t="str">
        <f t="shared" si="7"/>
        <v>10.1093%2Fjmammal%2Fgyz043</v>
      </c>
      <c r="J57" s="13" t="str">
        <f t="shared" si="3"/>
        <v>Burger_etal_2019_SupplementaryDataSD1</v>
      </c>
      <c r="K57" s="13" t="str">
        <f t="shared" si="6"/>
        <v>10.1093%2Fjmammal%2Fgyz043_SupplementaryDataSD1</v>
      </c>
      <c r="L57" s="13" t="str">
        <f t="array" ref="L57">IFERROR(INDEX(AUTO_Public_TSV_FileList!$A$1:$A$1000,MATCH(TRUE(),EXACT(K57,IFERROR(_xlfn.TEXTBEFORE(AUTO_Public_TSV_FileList!$A$1:$A$1000,".tsv"),"")),0)),"notfound")</f>
        <v>10.1093%2Fjmammal%2Fgyz043_SupplementaryDataSD1.tsv</v>
      </c>
      <c r="M57" s="5" t="s">
        <v>261</v>
      </c>
      <c r="N57" s="5" t="s">
        <v>35</v>
      </c>
      <c r="O57" s="4"/>
      <c r="P57" s="5" t="s">
        <v>36</v>
      </c>
      <c r="Q57" s="5" t="s">
        <v>262</v>
      </c>
      <c r="R57" s="4"/>
      <c r="S57" s="4"/>
      <c r="T57" s="4"/>
      <c r="U57" s="4"/>
      <c r="V57" s="5"/>
      <c r="W57" s="5" t="s">
        <v>138</v>
      </c>
      <c r="X57" s="5" t="s">
        <v>263</v>
      </c>
      <c r="Y57" s="4"/>
      <c r="Z57" s="4"/>
      <c r="AA57" s="4"/>
      <c r="AB57" s="5" t="s">
        <v>264</v>
      </c>
      <c r="AC57" s="4"/>
      <c r="AD57" s="4"/>
      <c r="AE57" s="5" t="s">
        <v>179</v>
      </c>
      <c r="AF57" s="5"/>
      <c r="AG57" s="5" t="s">
        <v>265</v>
      </c>
    </row>
    <row r="58" spans="1:33" ht="17.100000000000001" customHeight="1">
      <c r="A58" s="1" t="s">
        <v>266</v>
      </c>
      <c r="D58" s="1" t="s">
        <v>267</v>
      </c>
      <c r="E58" s="13" t="str">
        <f t="shared" si="0"/>
        <v>Burish</v>
      </c>
      <c r="F58" s="13" t="str">
        <f t="array" ref="F58">_xlfn.LET(
 _xlpm.authors,_xlfn.TEXTBEFORE(A58," ("&amp;G58&amp;")"),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8" s="13" t="str">
        <f t="shared" si="1"/>
        <v>2010</v>
      </c>
      <c r="H58" s="13" t="str">
        <f t="shared" si="2"/>
        <v>Burish_etal_2010</v>
      </c>
      <c r="I58" s="13" t="str">
        <f t="shared" si="7"/>
        <v>10.1159%2F000319019</v>
      </c>
      <c r="J58" s="13" t="str">
        <f t="shared" si="3"/>
        <v>Burish_etal_2010_SupplementaryTable1</v>
      </c>
      <c r="K58" s="13" t="str">
        <f t="shared" si="6"/>
        <v>10.1159%2F000319019_SupplementaryTable1</v>
      </c>
      <c r="L58" s="13" t="str">
        <f t="array" ref="L58">IFERROR(INDEX(AUTO_Public_TSV_FileList!$A$1:$A$1000,MATCH(TRUE(),EXACT(K58,IFERROR(_xlfn.TEXTBEFORE(AUTO_Public_TSV_FileList!$A$1:$A$1000,".tsv"),"")),0)),"notfound")</f>
        <v>10.1159%2F000319019_SupplementaryTable1.tsv</v>
      </c>
      <c r="M58" s="5" t="s">
        <v>268</v>
      </c>
      <c r="N58" s="4"/>
      <c r="O58" s="4"/>
      <c r="P58" s="5" t="s">
        <v>36</v>
      </c>
      <c r="Q58" s="5"/>
      <c r="R58" s="4"/>
      <c r="S58" s="4"/>
      <c r="T58" s="4"/>
      <c r="U58" s="4"/>
      <c r="V58" s="5"/>
      <c r="W58" s="4" t="s">
        <v>269</v>
      </c>
      <c r="X58" s="5" t="s">
        <v>270</v>
      </c>
      <c r="Y58" s="4"/>
      <c r="Z58" s="4"/>
      <c r="AA58" s="5" t="s">
        <v>63</v>
      </c>
      <c r="AB58" s="5"/>
      <c r="AC58" s="5" t="s">
        <v>65</v>
      </c>
      <c r="AD58" s="5" t="s">
        <v>65</v>
      </c>
      <c r="AE58" s="5"/>
      <c r="AF58" s="5"/>
      <c r="AG58" s="4"/>
    </row>
    <row r="59" spans="1:33" ht="17.100000000000001" customHeight="1">
      <c r="A59" s="1" t="s">
        <v>266</v>
      </c>
      <c r="D59" s="1" t="s">
        <v>81</v>
      </c>
      <c r="E59" s="13" t="str">
        <f t="shared" si="0"/>
        <v>Burish</v>
      </c>
      <c r="F59" s="13" t="str">
        <f t="array" ref="F59">_xlfn.LET(
 _xlpm.authors,_xlfn.TEXTBEFORE(A59," ("&amp;G59&amp;")"),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9" s="13" t="str">
        <f t="shared" si="1"/>
        <v>2010</v>
      </c>
      <c r="H59" s="13" t="str">
        <f t="shared" si="2"/>
        <v>Burish_etal_2010</v>
      </c>
      <c r="I59" s="13" t="str">
        <f t="shared" si="7"/>
        <v>10.1159%2F000319019</v>
      </c>
      <c r="J59" s="13" t="str">
        <f t="shared" si="3"/>
        <v>Burish_etal_2010_Table1</v>
      </c>
      <c r="K59" s="13" t="str">
        <f t="shared" si="6"/>
        <v>10.1159%2F000319019_Table1</v>
      </c>
      <c r="L59" s="13" t="str">
        <f t="array" ref="L59">IFERROR(INDEX(AUTO_Public_TSV_FileList!$A$1:$A$1000,MATCH(TRUE(),EXACT(K59,IFERROR(_xlfn.TEXTBEFORE(AUTO_Public_TSV_FileList!$A$1:$A$1000,".tsv"),"")),0)),"notfound")</f>
        <v>10.1159%2F000319019_Table1.tsv</v>
      </c>
      <c r="M59" s="5" t="s">
        <v>271</v>
      </c>
      <c r="N59" s="5" t="s">
        <v>35</v>
      </c>
      <c r="O59" s="4"/>
      <c r="P59" s="5" t="s">
        <v>36</v>
      </c>
      <c r="Q59" s="5"/>
      <c r="R59" s="5" t="s">
        <v>272</v>
      </c>
      <c r="S59" s="5" t="s">
        <v>273</v>
      </c>
      <c r="T59" s="4"/>
      <c r="U59" s="4"/>
      <c r="V59" s="4"/>
      <c r="W59" s="5" t="s">
        <v>269</v>
      </c>
      <c r="X59" s="5" t="s">
        <v>270</v>
      </c>
      <c r="Y59" s="4"/>
      <c r="Z59" s="4"/>
      <c r="AA59" s="5" t="s">
        <v>63</v>
      </c>
      <c r="AB59" s="5"/>
      <c r="AC59" s="5" t="s">
        <v>65</v>
      </c>
      <c r="AD59" s="5" t="s">
        <v>65</v>
      </c>
      <c r="AE59" s="5"/>
      <c r="AF59" s="5"/>
      <c r="AG59" s="4"/>
    </row>
    <row r="60" spans="1:33" ht="17.100000000000001" customHeight="1">
      <c r="A60" s="1" t="s">
        <v>274</v>
      </c>
      <c r="D60" s="1" t="s">
        <v>81</v>
      </c>
      <c r="E60" s="13" t="str">
        <f t="shared" si="0"/>
        <v>Bush</v>
      </c>
      <c r="F60" s="13" t="str">
        <f t="array" ref="F60">_xlfn.LET(
 _xlpm.authors,_xlfn.TEXTBEFORE(A60," ("&amp;G60&amp;")"),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0" s="13" t="str">
        <f t="shared" si="1"/>
        <v>2003</v>
      </c>
      <c r="H60" s="13" t="str">
        <f t="shared" si="2"/>
        <v>Bush_Allman_2003</v>
      </c>
      <c r="I60" s="13" t="str">
        <f t="shared" si="7"/>
        <v>10.1159%2F000068880</v>
      </c>
      <c r="J60" s="13" t="str">
        <f t="shared" si="3"/>
        <v>Bush_Allman_2003_Table1</v>
      </c>
      <c r="K60" s="13" t="str">
        <f t="shared" si="6"/>
        <v>10.1159%2F000068880_Table1</v>
      </c>
      <c r="L60" s="13" t="str">
        <f t="array" ref="L60">IFERROR(INDEX(AUTO_Public_TSV_FileList!$A$1:$A$1000,MATCH(TRUE(),EXACT(K60,IFERROR(_xlfn.TEXTBEFORE(AUTO_Public_TSV_FileList!$A$1:$A$1000,".tsv"),"")),0)),"notfound")</f>
        <v>10.1159%2F000068880_Table1.tsv</v>
      </c>
      <c r="M60" s="5"/>
      <c r="N60" s="4"/>
      <c r="O60" s="4"/>
      <c r="P60" s="5" t="s">
        <v>36</v>
      </c>
      <c r="Q60" s="4"/>
      <c r="R60" s="4"/>
      <c r="S60" s="4"/>
      <c r="T60" s="4"/>
      <c r="U60" s="4"/>
      <c r="V60" s="4"/>
      <c r="W60" s="4"/>
      <c r="X60" s="4"/>
      <c r="Y60" s="4"/>
      <c r="Z60" s="4"/>
      <c r="AA60" s="4"/>
      <c r="AB60" s="4"/>
      <c r="AC60" s="5" t="s">
        <v>275</v>
      </c>
      <c r="AD60" s="5" t="s">
        <v>276</v>
      </c>
      <c r="AE60" s="4"/>
      <c r="AF60" s="4"/>
      <c r="AG60" s="4"/>
    </row>
    <row r="61" spans="1:33" ht="17.100000000000001" customHeight="1">
      <c r="A61" s="1" t="s">
        <v>277</v>
      </c>
      <c r="B61" s="1" t="s">
        <v>278</v>
      </c>
      <c r="D61" s="1" t="s">
        <v>70</v>
      </c>
      <c r="E61" s="13" t="str">
        <f t="shared" si="0"/>
        <v>Bush</v>
      </c>
      <c r="F61" s="13" t="str">
        <f t="array" ref="F61">_xlfn.LET(
 _xlpm.authors,_xlfn.TEXTBEFORE(A61," ("&amp;G61&amp;")"),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1" s="13" t="str">
        <f t="shared" si="1"/>
        <v>2004</v>
      </c>
      <c r="H61" s="13" t="str">
        <f t="shared" si="2"/>
        <v>Bush_Allman_2004_a</v>
      </c>
      <c r="I61" s="13" t="str">
        <f t="shared" si="7"/>
        <v>10.1073%2Fpnas.0305760101</v>
      </c>
      <c r="J61" s="13" t="str">
        <f t="shared" si="3"/>
        <v>Bush_Allman_2004_a_Table2</v>
      </c>
      <c r="K61" s="13" t="str">
        <f t="shared" si="6"/>
        <v>10.1073%2Fpnas.0305760101_Table2</v>
      </c>
      <c r="L61" s="13" t="str">
        <f t="array" ref="L61">IFERROR(INDEX(AUTO_Public_TSV_FileList!$A$1:$A$1000,MATCH(TRUE(),EXACT(K61,IFERROR(_xlfn.TEXTBEFORE(AUTO_Public_TSV_FileList!$A$1:$A$1000,".tsv"),"")),0)),"notfound")</f>
        <v>10.1073%2Fpnas.0305760101_Table2.tsv</v>
      </c>
      <c r="M61" s="5" t="s">
        <v>279</v>
      </c>
      <c r="N61" s="5" t="s">
        <v>35</v>
      </c>
      <c r="O61" s="4"/>
      <c r="P61" s="5" t="s">
        <v>36</v>
      </c>
      <c r="Q61" s="5"/>
      <c r="R61" s="4"/>
      <c r="S61" s="4"/>
      <c r="T61" s="4"/>
      <c r="U61" s="4"/>
      <c r="V61" s="4"/>
      <c r="W61" s="5" t="s">
        <v>280</v>
      </c>
      <c r="X61" s="5" t="s">
        <v>281</v>
      </c>
      <c r="Y61" s="4"/>
      <c r="Z61" s="5" t="s">
        <v>83</v>
      </c>
      <c r="AA61" s="5" t="s">
        <v>130</v>
      </c>
      <c r="AB61" s="4"/>
      <c r="AC61" s="5" t="s">
        <v>275</v>
      </c>
      <c r="AD61" s="5" t="s">
        <v>276</v>
      </c>
      <c r="AE61" s="4"/>
      <c r="AF61" s="4"/>
      <c r="AG61" s="4"/>
    </row>
    <row r="62" spans="1:33" ht="17.100000000000001" customHeight="1">
      <c r="A62" s="1" t="s">
        <v>282</v>
      </c>
      <c r="B62" s="1" t="s">
        <v>283</v>
      </c>
      <c r="D62" s="1" t="s">
        <v>58</v>
      </c>
      <c r="E62" s="13" t="str">
        <f t="shared" si="0"/>
        <v>Bush</v>
      </c>
      <c r="F62" s="13" t="str">
        <f t="array" ref="F62">_xlfn.LET(
 _xlpm.authors,_xlfn.TEXTBEFORE(A62," ("&amp;G62&amp;")"),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2" s="13" t="str">
        <f t="shared" si="1"/>
        <v>2004</v>
      </c>
      <c r="H62" s="13" t="str">
        <f t="shared" si="2"/>
        <v>Bush_Allman_2004_b</v>
      </c>
      <c r="I62" s="13" t="str">
        <f t="shared" si="7"/>
        <v>10.1002%2Far.a.20114</v>
      </c>
      <c r="J62" s="13" t="str">
        <f t="shared" si="3"/>
        <v>Bush_Allman_2004_b_TABLE1</v>
      </c>
      <c r="K62" s="13" t="str">
        <f t="shared" si="6"/>
        <v>10.1002%2Far.a.20114_TABLE1</v>
      </c>
      <c r="L62" s="13" t="str">
        <f t="array" ref="L62">IFERROR(INDEX(AUTO_Public_TSV_FileList!$A$1:$A$1000,MATCH(TRUE(),EXACT(K62,IFERROR(_xlfn.TEXTBEFORE(AUTO_Public_TSV_FileList!$A$1:$A$1000,".tsv"),"")),0)),"notfound")</f>
        <v>10.1002%2Far.a.20114_TABLE1.tsv</v>
      </c>
      <c r="M62" s="5" t="s">
        <v>284</v>
      </c>
      <c r="N62" s="5" t="s">
        <v>35</v>
      </c>
      <c r="O62" s="4"/>
      <c r="P62" s="5" t="s">
        <v>36</v>
      </c>
      <c r="Q62" s="5"/>
      <c r="R62" s="4"/>
      <c r="S62" s="4"/>
      <c r="T62" s="4"/>
      <c r="U62" s="4"/>
      <c r="V62" s="4"/>
      <c r="W62" s="5" t="s">
        <v>100</v>
      </c>
      <c r="X62" s="5" t="s">
        <v>285</v>
      </c>
      <c r="Y62" s="4"/>
      <c r="Z62" s="5" t="s">
        <v>83</v>
      </c>
      <c r="AA62" s="5" t="s">
        <v>286</v>
      </c>
      <c r="AB62" s="4"/>
      <c r="AC62" s="5" t="s">
        <v>275</v>
      </c>
      <c r="AD62" s="5" t="s">
        <v>276</v>
      </c>
      <c r="AE62" s="4"/>
      <c r="AF62" s="4"/>
      <c r="AG62" s="4"/>
    </row>
    <row r="63" spans="1:33" ht="17.100000000000001" customHeight="1">
      <c r="A63" s="1" t="s">
        <v>282</v>
      </c>
      <c r="B63" s="1" t="s">
        <v>283</v>
      </c>
      <c r="D63" s="1" t="s">
        <v>110</v>
      </c>
      <c r="E63" s="13" t="str">
        <f t="shared" si="0"/>
        <v>Bush</v>
      </c>
      <c r="F63" s="13" t="str">
        <f t="array" ref="F63">_xlfn.LET(
 _xlpm.authors,_xlfn.TEXTBEFORE(A63," ("&amp;G63&amp;")"),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3" s="13" t="str">
        <f t="shared" si="1"/>
        <v>2004</v>
      </c>
      <c r="H63" s="13" t="str">
        <f t="shared" si="2"/>
        <v>Bush_Allman_2004_b</v>
      </c>
      <c r="I63" s="13" t="str">
        <f t="shared" si="7"/>
        <v>10.1002%2Far.a.20114</v>
      </c>
      <c r="J63" s="13" t="str">
        <f t="shared" si="3"/>
        <v>Bush_Allman_2004_b_TABLE2</v>
      </c>
      <c r="K63" s="13" t="str">
        <f t="shared" si="6"/>
        <v>10.1002%2Far.a.20114_TABLE2</v>
      </c>
      <c r="L63" s="13" t="str">
        <f t="array" ref="L63">IFERROR(INDEX(AUTO_Public_TSV_FileList!$A$1:$A$1000,MATCH(TRUE(),EXACT(K63,IFERROR(_xlfn.TEXTBEFORE(AUTO_Public_TSV_FileList!$A$1:$A$1000,".tsv"),"")),0)),"notfound")</f>
        <v>10.1002%2Far.a.20114_TABLE2.tsv</v>
      </c>
      <c r="M63" s="5"/>
      <c r="N63" s="5"/>
      <c r="O63" s="4"/>
      <c r="P63" s="5" t="s">
        <v>36</v>
      </c>
      <c r="Q63" s="5"/>
      <c r="R63" s="4"/>
      <c r="S63" s="4"/>
      <c r="T63" s="4"/>
      <c r="U63" s="4"/>
      <c r="V63" s="4"/>
      <c r="W63" s="5"/>
      <c r="X63" s="5"/>
      <c r="Y63" s="4"/>
      <c r="Z63" s="5"/>
      <c r="AA63" s="5"/>
      <c r="AB63" s="4"/>
      <c r="AC63" s="5"/>
      <c r="AD63" s="5"/>
      <c r="AE63" s="4"/>
      <c r="AF63" s="4"/>
      <c r="AG63" s="4"/>
    </row>
    <row r="64" spans="1:33" ht="17.100000000000001" customHeight="1">
      <c r="A64" s="1" t="s">
        <v>282</v>
      </c>
      <c r="B64" s="1" t="s">
        <v>283</v>
      </c>
      <c r="D64" s="1" t="s">
        <v>287</v>
      </c>
      <c r="E64" s="13" t="str">
        <f t="shared" si="0"/>
        <v>Bush</v>
      </c>
      <c r="F64" s="13" t="str">
        <f t="array" ref="F64">_xlfn.LET(
 _xlpm.authors,_xlfn.TEXTBEFORE(A64," ("&amp;G64&amp;")"),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Allman</v>
      </c>
      <c r="G64" s="13" t="str">
        <f t="shared" si="1"/>
        <v>2004</v>
      </c>
      <c r="H64" s="13" t="str">
        <f t="shared" si="2"/>
        <v>Bush_Allman_2004_b</v>
      </c>
      <c r="I64" s="13" t="str">
        <f t="shared" si="7"/>
        <v>10.1002%2Far.a.20114</v>
      </c>
      <c r="J64" s="13" t="str">
        <f t="shared" si="3"/>
        <v>Bush_Allman_2004_b_TABLE3</v>
      </c>
      <c r="K64" s="13" t="str">
        <f t="shared" si="6"/>
        <v>10.1002%2Far.a.20114_TABLE3</v>
      </c>
      <c r="L64" s="13" t="str">
        <f t="array" ref="L64">IFERROR(INDEX(AUTO_Public_TSV_FileList!$A$1:$A$1000,MATCH(TRUE(),EXACT(K64,IFERROR(_xlfn.TEXTBEFORE(AUTO_Public_TSV_FileList!$A$1:$A$1000,".tsv"),"")),0)),"notfound")</f>
        <v>10.1002%2Far.a.20114_TABLE3.tsv</v>
      </c>
      <c r="M64" s="5"/>
      <c r="N64" s="5"/>
      <c r="O64" s="4"/>
      <c r="P64" s="5" t="s">
        <v>36</v>
      </c>
      <c r="Q64" s="5"/>
      <c r="R64" s="4"/>
      <c r="S64" s="4"/>
      <c r="T64" s="4"/>
      <c r="U64" s="4"/>
      <c r="V64" s="4"/>
      <c r="W64" s="5"/>
      <c r="X64" s="5"/>
      <c r="Y64" s="4"/>
      <c r="Z64" s="5"/>
      <c r="AA64" s="5"/>
      <c r="AB64" s="4"/>
      <c r="AC64" s="5"/>
      <c r="AD64" s="5"/>
      <c r="AE64" s="4"/>
      <c r="AF64" s="4"/>
      <c r="AG64" s="4"/>
    </row>
    <row r="65" spans="1:33" ht="17.100000000000001" customHeight="1">
      <c r="A65" s="1" t="s">
        <v>288</v>
      </c>
      <c r="B65" s="6"/>
      <c r="D65" s="1" t="s">
        <v>81</v>
      </c>
      <c r="E65" s="13" t="str">
        <f t="shared" si="0"/>
        <v>Butti</v>
      </c>
      <c r="F65" s="13" t="str">
        <f t="array" ref="F65">_xlfn.LET(
 _xlpm.authors,_xlfn.TEXTBEFORE(A65," ("&amp;G65&amp;")"),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5" s="13" t="str">
        <f t="shared" si="1"/>
        <v>2009</v>
      </c>
      <c r="H65" s="13" t="str">
        <f t="shared" si="2"/>
        <v>Butti_etal_2009</v>
      </c>
      <c r="I65" s="13" t="str">
        <f t="shared" si="7"/>
        <v>10.1002%2Fcne.22055</v>
      </c>
      <c r="J65" s="13" t="str">
        <f t="shared" si="3"/>
        <v>Butti_etal_2009_Table1</v>
      </c>
      <c r="K65" s="13" t="str">
        <f t="shared" si="6"/>
        <v>10.1002%2Fcne.22055_Table1</v>
      </c>
      <c r="L65" s="13" t="str">
        <f t="array" ref="L65">IFERROR(INDEX(AUTO_Public_TSV_FileList!$A$1:$A$1000,MATCH(TRUE(),EXACT(K65,IFERROR(_xlfn.TEXTBEFORE(AUTO_Public_TSV_FileList!$A$1:$A$1000,".tsv"),"")),0)),"notfound")</f>
        <v>10.1002%2Fcne.22055_Table1.tsv</v>
      </c>
      <c r="M65" s="5"/>
      <c r="N65" s="5"/>
      <c r="O65" s="4"/>
      <c r="P65" s="5" t="s">
        <v>36</v>
      </c>
      <c r="Q65" s="5"/>
      <c r="R65" s="4"/>
      <c r="S65" s="4"/>
      <c r="T65" s="4"/>
      <c r="U65" s="4"/>
      <c r="V65" s="4"/>
      <c r="W65" s="5"/>
      <c r="X65" s="5"/>
      <c r="Y65" s="4"/>
      <c r="Z65" s="5"/>
      <c r="AA65" s="5"/>
      <c r="AB65" s="4"/>
      <c r="AC65" s="5"/>
      <c r="AD65" s="5"/>
      <c r="AE65" s="4"/>
      <c r="AF65" s="4"/>
      <c r="AG65" s="4"/>
    </row>
    <row r="66" spans="1:33" ht="17.100000000000001" customHeight="1">
      <c r="A66" s="1" t="s">
        <v>288</v>
      </c>
      <c r="B66" s="6"/>
      <c r="D66" s="1" t="s">
        <v>74</v>
      </c>
      <c r="E66" s="13" t="str">
        <f t="shared" ref="E66:E129" si="8">SUBSTITUTE(SUBSTITUTE(_xlfn.TEXTBEFORE(A66,","), "-", ""), " ", "")</f>
        <v>Butti</v>
      </c>
      <c r="F66" s="13" t="str">
        <f t="array" ref="F66">_xlfn.LET(
 _xlpm.authors,_xlfn.TEXTBEFORE(A66," ("&amp;G66&amp;")"),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6" s="13" t="str">
        <f t="shared" ref="G66:G129" si="9">_xlfn.TEXTBEFORE(_xlfn.TEXTAFTER(A66, "("), ")")</f>
        <v>2009</v>
      </c>
      <c r="H66" s="13" t="str">
        <f t="shared" ref="H66:H129" si="10">E66 &amp; IF(F66&lt;&gt;"", "_" &amp; F66, "_") &amp; IF(G66&lt;&gt;"", "_" &amp; G66, "_") &amp; IF(B66&lt;&gt;"", "_" &amp; B66, "")</f>
        <v>Butti_etal_2009</v>
      </c>
      <c r="I66" s="13" t="str">
        <f t="shared" si="7"/>
        <v>10.1002%2Fcne.22055</v>
      </c>
      <c r="J66" s="13" t="str">
        <f t="shared" ref="J66:J129" si="11">TRIM(_xlfn.TEXTJOIN("_",FALSE(),H66,(SUBSTITUTE(SUBSTITUTE(D66," ",""), "_", ""))))</f>
        <v>Butti_etal_2009_Table5</v>
      </c>
      <c r="K66" s="13" t="str">
        <f t="shared" ref="K66:K97" si="12">I66 &amp; "_" &amp; SUBSTITUTE(SUBSTITUTE(SUBSTITUTE(D66,CHAR(160),"")," ",""),"_","")</f>
        <v>10.1002%2Fcne.22055_Table5</v>
      </c>
      <c r="L66" s="13" t="str">
        <f t="array" ref="L66">IFERROR(INDEX(AUTO_Public_TSV_FileList!$A$1:$A$1000,MATCH(TRUE(),EXACT(K66,IFERROR(_xlfn.TEXTBEFORE(AUTO_Public_TSV_FileList!$A$1:$A$1000,".tsv"),"")),0)),"notfound")</f>
        <v>10.1002%2Fcne.22055_Table5.tsv</v>
      </c>
      <c r="M66" s="5"/>
      <c r="N66" s="5"/>
      <c r="O66" s="4"/>
      <c r="P66" s="5" t="s">
        <v>36</v>
      </c>
      <c r="Q66" s="5"/>
      <c r="R66" s="4"/>
      <c r="S66" s="4"/>
      <c r="T66" s="4"/>
      <c r="U66" s="4"/>
      <c r="V66" s="4"/>
      <c r="W66" s="5"/>
      <c r="X66" s="5"/>
      <c r="Y66" s="4"/>
      <c r="Z66" s="5"/>
      <c r="AA66" s="5"/>
      <c r="AB66" s="4"/>
      <c r="AC66" s="5"/>
      <c r="AD66" s="5"/>
      <c r="AE66" s="4"/>
      <c r="AF66" s="4"/>
      <c r="AG66" s="4"/>
    </row>
    <row r="67" spans="1:33" ht="17.100000000000001" customHeight="1">
      <c r="A67" s="1" t="s">
        <v>288</v>
      </c>
      <c r="B67" s="6"/>
      <c r="D67" s="1" t="s">
        <v>289</v>
      </c>
      <c r="E67" s="13" t="str">
        <f t="shared" si="8"/>
        <v>Butti</v>
      </c>
      <c r="F67" s="13" t="str">
        <f t="array" ref="F67">_xlfn.LET(
 _xlpm.authors,_xlfn.TEXTBEFORE(A67," ("&amp;G67&amp;")"),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7" s="13" t="str">
        <f t="shared" si="9"/>
        <v>2009</v>
      </c>
      <c r="H67" s="13" t="str">
        <f t="shared" si="10"/>
        <v>Butti_etal_2009</v>
      </c>
      <c r="I67" s="13" t="str">
        <f t="shared" si="7"/>
        <v>10.1002%2Fcne.22055</v>
      </c>
      <c r="J67" s="13" t="str">
        <f t="shared" si="11"/>
        <v>Butti_etal_2009_Table6</v>
      </c>
      <c r="K67" s="13" t="str">
        <f t="shared" si="12"/>
        <v>10.1002%2Fcne.22055_Table6</v>
      </c>
      <c r="L67" s="13" t="str">
        <f t="array" ref="L67">IFERROR(INDEX(AUTO_Public_TSV_FileList!$A$1:$A$1000,MATCH(TRUE(),EXACT(K67,IFERROR(_xlfn.TEXTBEFORE(AUTO_Public_TSV_FileList!$A$1:$A$1000,".tsv"),"")),0)),"notfound")</f>
        <v>10.1002%2Fcne.22055_Table6.tsv</v>
      </c>
      <c r="M67" s="5"/>
      <c r="N67" s="5"/>
      <c r="O67" s="4"/>
      <c r="P67" s="5" t="s">
        <v>36</v>
      </c>
      <c r="Q67" s="5"/>
      <c r="R67" s="4"/>
      <c r="S67" s="4"/>
      <c r="T67" s="4"/>
      <c r="U67" s="4"/>
      <c r="V67" s="4"/>
      <c r="W67" s="5"/>
      <c r="X67" s="5"/>
      <c r="Y67" s="4"/>
      <c r="Z67" s="5"/>
      <c r="AA67" s="5"/>
      <c r="AB67" s="4"/>
      <c r="AC67" s="5"/>
      <c r="AD67" s="5"/>
      <c r="AE67" s="4"/>
      <c r="AF67" s="4"/>
      <c r="AG67" s="4"/>
    </row>
    <row r="68" spans="1:33" ht="17.100000000000001" customHeight="1">
      <c r="A68" s="17" t="s">
        <v>290</v>
      </c>
      <c r="D68" s="17" t="s">
        <v>81</v>
      </c>
      <c r="E68" s="12" t="str">
        <f t="shared" si="8"/>
        <v>Campos</v>
      </c>
      <c r="F68" s="13" t="str">
        <f t="array" ref="F68">_xlfn.LET(
 _xlpm.authors,_xlfn.TEXTBEFORE(A68," ("&amp;G68&amp;")"),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Welker</v>
      </c>
      <c r="G68" s="13" t="str">
        <f t="shared" si="9"/>
        <v>1976</v>
      </c>
      <c r="H68" s="12" t="str">
        <f t="shared" si="10"/>
        <v>Campos_Welker_1976</v>
      </c>
      <c r="I68" s="12" t="str">
        <f>_xlfn.LET(_xlpm.doi,IF(C68&lt;&gt;"",C68,_xlfn.TEXTAFTER(A68,"https://doi.org/")),SUBSTITUTE(SUBSTITUTE(SUBSTITUTE(SUBSTITUTE(_xlpm.doi,"/","%2F"),":","%3A"),"&lt;","%3C"),"&gt;","%3E"))</f>
        <v>10.1159%2F000123814</v>
      </c>
      <c r="J68" s="12" t="str">
        <f t="shared" si="11"/>
        <v>Campos_Welker_1976_Table1</v>
      </c>
      <c r="K68" s="12" t="str">
        <f t="shared" si="12"/>
        <v>10.1159%2F000123814_Table1</v>
      </c>
      <c r="L68" s="13" t="str">
        <f t="array" ref="L68">IFERROR(INDEX(AUTO_Public_TSV_FileList!$A$1:$A$1000,MATCH(TRUE(),EXACT(K68,IFERROR(_xlfn.TEXTBEFORE(AUTO_Public_TSV_FileList!$A$1:$A$1000,".tsv"),"")),0)),"notfound")</f>
        <v>10.1159%2F000123814_Table1.tsv</v>
      </c>
      <c r="M68" s="4" t="s">
        <v>291</v>
      </c>
      <c r="N68" s="4" t="s">
        <v>35</v>
      </c>
      <c r="O68" s="4"/>
      <c r="P68" s="4" t="s">
        <v>36</v>
      </c>
      <c r="Q68" s="4"/>
      <c r="R68" s="4" t="s">
        <v>292</v>
      </c>
      <c r="S68" s="4"/>
      <c r="T68" s="4" t="s">
        <v>293</v>
      </c>
      <c r="U68" s="4"/>
      <c r="V68" s="4" t="s">
        <v>294</v>
      </c>
      <c r="W68" s="4" t="s">
        <v>295</v>
      </c>
      <c r="X68" s="4" t="s">
        <v>296</v>
      </c>
      <c r="Y68" s="4" t="s">
        <v>297</v>
      </c>
      <c r="Z68" s="4"/>
      <c r="AA68" s="4" t="s">
        <v>298</v>
      </c>
      <c r="AB68" s="4" t="s">
        <v>299</v>
      </c>
      <c r="AC68" s="4" t="s">
        <v>300</v>
      </c>
      <c r="AD68" s="4" t="s">
        <v>301</v>
      </c>
      <c r="AE68" s="4" t="s">
        <v>66</v>
      </c>
      <c r="AF68" s="4"/>
      <c r="AG68" s="4"/>
    </row>
    <row r="69" spans="1:33" ht="17.100000000000001" customHeight="1">
      <c r="A69" s="1" t="s">
        <v>302</v>
      </c>
      <c r="D69" s="1" t="s">
        <v>303</v>
      </c>
      <c r="E69" s="13" t="str">
        <f t="shared" si="8"/>
        <v>Capellini</v>
      </c>
      <c r="F69" s="13" t="str">
        <f t="array" ref="F69">_xlfn.LET(
 _xlpm.authors,_xlfn.TEXTBEFORE(A69," ("&amp;G69&amp;")"),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69" s="13" t="str">
        <f t="shared" si="9"/>
        <v>2008</v>
      </c>
      <c r="H69" s="13" t="str">
        <f t="shared" si="10"/>
        <v>Capellini_etal_2008</v>
      </c>
      <c r="I69" s="13" t="str">
        <f t="shared" ref="I69:I86" si="13">_xlfn.LET(
_xlpm.doi,IF(C69&lt;&gt;"",C69,_xlfn.TEXTAFTER(A69,"https://doi.org/")),
SUBSTITUTE(
SUBSTITUTE(
SUBSTITUTE(
SUBSTITUTE(
_xlpm.doi,
"/","%2F"),
":","%3A"),
"&lt;","%3C"),
"&gt;","%3E")
)</f>
        <v>10.1111%2Fj.1558-5646.2008.00392.x</v>
      </c>
      <c r="J69" s="13" t="str">
        <f t="shared" si="11"/>
        <v>Capellini_etal_2008_sleep-dataFemale</v>
      </c>
      <c r="K69" s="13" t="str">
        <f t="shared" si="12"/>
        <v>10.1111%2Fj.1558-5646.2008.00392.x_sleep-dataFemale</v>
      </c>
      <c r="L69" s="13" t="str">
        <f t="array" ref="L69">IFERROR(INDEX(AUTO_Public_TSV_FileList!$A$1:$A$1000,MATCH(TRUE(),EXACT(K69,IFERROR(_xlfn.TEXTBEFORE(AUTO_Public_TSV_FileList!$A$1:$A$1000,".tsv"),"")),0)),"notfound")</f>
        <v>10.1111%2Fj.1558-5646.2008.00392.x_sleep-dataFemale.tsv</v>
      </c>
      <c r="M69" s="4"/>
      <c r="N69" s="5" t="s">
        <v>35</v>
      </c>
      <c r="O69" s="5" t="s">
        <v>304</v>
      </c>
      <c r="P69" s="5" t="s">
        <v>36</v>
      </c>
      <c r="Q69" s="5" t="s">
        <v>305</v>
      </c>
      <c r="R69" s="4"/>
      <c r="S69" s="4"/>
      <c r="T69" s="4"/>
      <c r="U69" s="4"/>
      <c r="V69" s="4"/>
      <c r="W69" s="5" t="s">
        <v>138</v>
      </c>
      <c r="X69" s="5" t="s">
        <v>306</v>
      </c>
      <c r="Y69" s="4"/>
      <c r="Z69" s="4"/>
      <c r="AA69" s="4"/>
      <c r="AB69" s="5" t="s">
        <v>307</v>
      </c>
      <c r="AC69" s="5" t="s">
        <v>308</v>
      </c>
      <c r="AD69" s="4"/>
      <c r="AE69" s="5" t="s">
        <v>179</v>
      </c>
      <c r="AF69" s="5"/>
      <c r="AG69" s="5" t="s">
        <v>309</v>
      </c>
    </row>
    <row r="70" spans="1:33" ht="17.100000000000001" customHeight="1">
      <c r="A70" s="1" t="s">
        <v>302</v>
      </c>
      <c r="D70" s="1" t="s">
        <v>310</v>
      </c>
      <c r="E70" s="13" t="str">
        <f t="shared" si="8"/>
        <v>Capellini</v>
      </c>
      <c r="F70" s="13" t="str">
        <f t="array" ref="F70">_xlfn.LET(
 _xlpm.authors,_xlfn.TEXTBEFORE(A70," ("&amp;G70&amp;")"),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0" s="13" t="str">
        <f t="shared" si="9"/>
        <v>2008</v>
      </c>
      <c r="H70" s="13" t="str">
        <f t="shared" si="10"/>
        <v>Capellini_etal_2008</v>
      </c>
      <c r="I70" s="13" t="str">
        <f t="shared" si="13"/>
        <v>10.1111%2Fj.1558-5646.2008.00392.x</v>
      </c>
      <c r="J70" s="13" t="str">
        <f t="shared" si="11"/>
        <v>Capellini_etal_2008_sleep-dataMale</v>
      </c>
      <c r="K70" s="13" t="str">
        <f t="shared" si="12"/>
        <v>10.1111%2Fj.1558-5646.2008.00392.x_sleep-dataMale</v>
      </c>
      <c r="L70" s="13" t="str">
        <f t="array" ref="L70">IFERROR(INDEX(AUTO_Public_TSV_FileList!$A$1:$A$1000,MATCH(TRUE(),EXACT(K70,IFERROR(_xlfn.TEXTBEFORE(AUTO_Public_TSV_FileList!$A$1:$A$1000,".tsv"),"")),0)),"notfound")</f>
        <v>10.1111%2Fj.1558-5646.2008.00392.x_sleep-dataMale.tsv</v>
      </c>
      <c r="M70" s="4"/>
      <c r="N70" s="5" t="s">
        <v>35</v>
      </c>
      <c r="O70" s="5" t="s">
        <v>311</v>
      </c>
      <c r="P70" s="5" t="s">
        <v>36</v>
      </c>
      <c r="Q70" s="5" t="s">
        <v>312</v>
      </c>
      <c r="R70" s="4"/>
      <c r="S70" s="4"/>
      <c r="T70" s="4"/>
      <c r="U70" s="4"/>
      <c r="V70" s="4"/>
      <c r="W70" s="5" t="s">
        <v>138</v>
      </c>
      <c r="X70" s="5" t="s">
        <v>306</v>
      </c>
      <c r="Y70" s="4"/>
      <c r="Z70" s="4"/>
      <c r="AA70" s="4"/>
      <c r="AB70" s="5" t="s">
        <v>307</v>
      </c>
      <c r="AC70" s="5" t="s">
        <v>308</v>
      </c>
      <c r="AD70" s="4"/>
      <c r="AE70" s="5" t="s">
        <v>179</v>
      </c>
      <c r="AF70" s="5"/>
      <c r="AG70" s="5" t="s">
        <v>309</v>
      </c>
    </row>
    <row r="71" spans="1:33" ht="17.100000000000001" customHeight="1">
      <c r="A71" s="1" t="s">
        <v>302</v>
      </c>
      <c r="D71" s="1" t="s">
        <v>313</v>
      </c>
      <c r="E71" s="13" t="str">
        <f t="shared" si="8"/>
        <v>Capellini</v>
      </c>
      <c r="F71" s="13" t="str">
        <f t="array" ref="F71">_xlfn.LET(
 _xlpm.authors,_xlfn.TEXTBEFORE(A71," ("&amp;G71&amp;")"),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1" s="13" t="str">
        <f t="shared" si="9"/>
        <v>2008</v>
      </c>
      <c r="H71" s="13" t="str">
        <f t="shared" si="10"/>
        <v>Capellini_etal_2008</v>
      </c>
      <c r="I71" s="13" t="str">
        <f t="shared" si="13"/>
        <v>10.1111%2Fj.1558-5646.2008.00392.x</v>
      </c>
      <c r="J71" s="13" t="str">
        <f t="shared" si="11"/>
        <v>Capellini_etal_2008_sleep-dataMixed</v>
      </c>
      <c r="K71" s="13" t="str">
        <f t="shared" si="12"/>
        <v>10.1111%2Fj.1558-5646.2008.00392.x_sleep-dataMixed</v>
      </c>
      <c r="L71" s="13" t="str">
        <f t="array" ref="L71">IFERROR(INDEX(AUTO_Public_TSV_FileList!$A$1:$A$1000,MATCH(TRUE(),EXACT(K71,IFERROR(_xlfn.TEXTBEFORE(AUTO_Public_TSV_FileList!$A$1:$A$1000,".tsv"),"")),0)),"notfound")</f>
        <v>10.1111%2Fj.1558-5646.2008.00392.x_sleep-dataMixed.tsv</v>
      </c>
      <c r="M71" s="4"/>
      <c r="N71" s="5" t="s">
        <v>35</v>
      </c>
      <c r="O71" s="5" t="s">
        <v>314</v>
      </c>
      <c r="P71" s="5" t="s">
        <v>36</v>
      </c>
      <c r="Q71" s="5" t="s">
        <v>315</v>
      </c>
      <c r="R71" s="4"/>
      <c r="S71" s="4"/>
      <c r="T71" s="4"/>
      <c r="U71" s="4"/>
      <c r="V71" s="4"/>
      <c r="W71" s="5" t="s">
        <v>138</v>
      </c>
      <c r="X71" s="5" t="s">
        <v>306</v>
      </c>
      <c r="Y71" s="4"/>
      <c r="Z71" s="4"/>
      <c r="AA71" s="4"/>
      <c r="AB71" s="5" t="s">
        <v>307</v>
      </c>
      <c r="AC71" s="5" t="s">
        <v>308</v>
      </c>
      <c r="AD71" s="4"/>
      <c r="AE71" s="5" t="s">
        <v>179</v>
      </c>
      <c r="AF71" s="5"/>
      <c r="AG71" s="5" t="s">
        <v>309</v>
      </c>
    </row>
    <row r="72" spans="1:33" ht="17.100000000000001" customHeight="1">
      <c r="A72" s="1" t="s">
        <v>316</v>
      </c>
      <c r="D72" s="1" t="s">
        <v>317</v>
      </c>
      <c r="E72" s="13" t="str">
        <f t="shared" si="8"/>
        <v>Caspar</v>
      </c>
      <c r="F72" s="13" t="str">
        <f t="array" ref="F72">_xlfn.LET(
 _xlpm.authors,_xlfn.TEXTBEFORE(A72," ("&amp;G72&amp;")"),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2" s="13" t="str">
        <f t="shared" si="9"/>
        <v>2022</v>
      </c>
      <c r="H72" s="13" t="str">
        <f t="shared" si="10"/>
        <v>Caspar_etal_2022</v>
      </c>
      <c r="I72" s="13" t="str">
        <f t="shared" si="13"/>
        <v>10.7554%2FeLife.77875</v>
      </c>
      <c r="J72" s="13" t="str">
        <f t="shared" si="11"/>
        <v>Caspar_etal_2022_Supplementaryfile3</v>
      </c>
      <c r="K72" s="13" t="str">
        <f t="shared" si="12"/>
        <v>10.7554%2FeLife.77875_Supplementaryfile3</v>
      </c>
      <c r="L72" s="13" t="str">
        <f t="array" ref="L72">IFERROR(INDEX(AUTO_Public_TSV_FileList!$A$1:$A$1000,MATCH(TRUE(),EXACT(K72,IFERROR(_xlfn.TEXTBEFORE(AUTO_Public_TSV_FileList!$A$1:$A$1000,".tsv"),"")),0)),"notfound")</f>
        <v>10.7554%2FeLife.77875_Supplementaryfile3.tsv</v>
      </c>
      <c r="M72" s="5" t="s">
        <v>318</v>
      </c>
      <c r="N72" s="5" t="s">
        <v>35</v>
      </c>
      <c r="O72" s="4"/>
      <c r="P72" s="5" t="s">
        <v>36</v>
      </c>
      <c r="Q72" s="5" t="s">
        <v>319</v>
      </c>
      <c r="R72" s="5" t="s">
        <v>320</v>
      </c>
      <c r="S72" s="4"/>
      <c r="T72" s="4"/>
      <c r="U72" s="4"/>
      <c r="V72" s="4"/>
      <c r="W72" s="5" t="s">
        <v>100</v>
      </c>
      <c r="X72" s="5" t="s">
        <v>321</v>
      </c>
      <c r="Y72" s="4"/>
      <c r="Z72" s="4"/>
      <c r="AA72" s="4"/>
      <c r="AB72" s="5" t="s">
        <v>322</v>
      </c>
      <c r="AC72" s="4"/>
      <c r="AD72" s="4"/>
      <c r="AE72" s="5" t="s">
        <v>179</v>
      </c>
      <c r="AF72" s="5"/>
      <c r="AG72" s="4"/>
    </row>
    <row r="73" spans="1:33" ht="17.100000000000001" customHeight="1">
      <c r="A73" s="1" t="s">
        <v>316</v>
      </c>
      <c r="D73" s="1" t="s">
        <v>81</v>
      </c>
      <c r="E73" s="13" t="str">
        <f t="shared" si="8"/>
        <v>Caspar</v>
      </c>
      <c r="F73" s="13" t="str">
        <f t="array" ref="F73">_xlfn.LET(
 _xlpm.authors,_xlfn.TEXTBEFORE(A73," ("&amp;G73&amp;")"),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3" s="13" t="str">
        <f t="shared" si="9"/>
        <v>2022</v>
      </c>
      <c r="H73" s="13" t="str">
        <f t="shared" si="10"/>
        <v>Caspar_etal_2022</v>
      </c>
      <c r="I73" s="13" t="str">
        <f t="shared" si="13"/>
        <v>10.7554%2FeLife.77875</v>
      </c>
      <c r="J73" s="13" t="str">
        <f t="shared" si="11"/>
        <v>Caspar_etal_2022_Table1</v>
      </c>
      <c r="K73" s="13" t="str">
        <f t="shared" si="12"/>
        <v>10.7554%2FeLife.77875_Table1</v>
      </c>
      <c r="L73" s="13" t="str">
        <f t="array" ref="L73">IFERROR(INDEX(AUTO_Public_TSV_FileList!$A$1:$A$1000,MATCH(TRUE(),EXACT(K73,IFERROR(_xlfn.TEXTBEFORE(AUTO_Public_TSV_FileList!$A$1:$A$1000,".tsv"),"")),0)),"notfound")</f>
        <v>10.7554%2FeLife.77875_Table1.tsv</v>
      </c>
      <c r="M73" s="5" t="s">
        <v>323</v>
      </c>
      <c r="N73" s="5" t="s">
        <v>35</v>
      </c>
      <c r="O73" s="4"/>
      <c r="P73" s="5" t="s">
        <v>36</v>
      </c>
      <c r="Q73" s="5"/>
      <c r="R73" s="5" t="s">
        <v>324</v>
      </c>
      <c r="S73" s="4"/>
      <c r="T73" s="4"/>
      <c r="U73" s="4"/>
      <c r="V73" s="4"/>
      <c r="W73" s="5" t="s">
        <v>100</v>
      </c>
      <c r="X73" s="5" t="s">
        <v>325</v>
      </c>
      <c r="Y73" s="4"/>
      <c r="Z73" s="4"/>
      <c r="AA73" s="4"/>
      <c r="AB73" s="5" t="s">
        <v>326</v>
      </c>
      <c r="AC73" s="4"/>
      <c r="AD73" s="4"/>
      <c r="AE73" s="5" t="s">
        <v>179</v>
      </c>
      <c r="AF73" s="5"/>
      <c r="AG73" s="5" t="s">
        <v>327</v>
      </c>
    </row>
    <row r="74" spans="1:33" ht="17.100000000000001" customHeight="1">
      <c r="A74" s="1" t="s">
        <v>328</v>
      </c>
      <c r="D74" s="1" t="s">
        <v>231</v>
      </c>
      <c r="E74" s="13" t="str">
        <f t="shared" si="8"/>
        <v>Caves</v>
      </c>
      <c r="F74" s="13" t="str">
        <f t="array" ref="F74">_xlfn.LET(
 _xlpm.authors,_xlfn.TEXTBEFORE(A74," ("&amp;G74&amp;")"),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74" s="13" t="str">
        <f t="shared" si="9"/>
        <v>2018</v>
      </c>
      <c r="H74" s="13" t="str">
        <f t="shared" si="10"/>
        <v>Caves_etal_2018</v>
      </c>
      <c r="I74" s="13" t="str">
        <f t="shared" si="13"/>
        <v>10.1016%2Fj.tree.2018.03.001</v>
      </c>
      <c r="J74" s="13" t="str">
        <f t="shared" si="11"/>
        <v>Caves_etal_2018_TableS1</v>
      </c>
      <c r="K74" s="13" t="str">
        <f t="shared" si="12"/>
        <v>10.1016%2Fj.tree.2018.03.001_TableS1</v>
      </c>
      <c r="L74" s="13" t="str">
        <f t="array" ref="L74">IFERROR(INDEX(AUTO_Public_TSV_FileList!$A$1:$A$1000,MATCH(TRUE(),EXACT(K74,IFERROR(_xlfn.TEXTBEFORE(AUTO_Public_TSV_FileList!$A$1:$A$1000,".tsv"),"")),0)),"notfound")</f>
        <v>10.1016%2Fj.tree.2018.03.001_TableS1.tsv</v>
      </c>
      <c r="M74" s="4"/>
      <c r="N74" s="4"/>
      <c r="O74" s="4"/>
      <c r="P74" s="5" t="s">
        <v>36</v>
      </c>
      <c r="Q74" s="4"/>
      <c r="R74" s="4"/>
      <c r="S74" s="4"/>
      <c r="T74" s="4"/>
      <c r="U74" s="4"/>
      <c r="V74" s="4"/>
      <c r="W74" s="4"/>
      <c r="X74" s="4"/>
      <c r="Y74" s="4"/>
      <c r="Z74" s="4"/>
      <c r="AA74" s="4"/>
      <c r="AB74" s="4"/>
      <c r="AC74" s="4"/>
      <c r="AD74" s="4"/>
      <c r="AE74" s="4"/>
      <c r="AF74" s="4"/>
      <c r="AG74" s="4"/>
    </row>
    <row r="75" spans="1:33" ht="17.100000000000001" customHeight="1">
      <c r="A75" s="1" t="s">
        <v>329</v>
      </c>
      <c r="D75" s="1" t="s">
        <v>330</v>
      </c>
      <c r="E75" s="13" t="str">
        <f t="shared" si="8"/>
        <v>Changizi</v>
      </c>
      <c r="F75" s="13" t="str">
        <f t="array" ref="F75">_xlfn.LET(
 _xlpm.authors,_xlfn.TEXTBEFORE(A75," ("&amp;G75&amp;")"),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75" s="13" t="str">
        <f t="shared" si="9"/>
        <v>2001</v>
      </c>
      <c r="H75" s="13" t="str">
        <f t="shared" si="10"/>
        <v>Changizi__2001</v>
      </c>
      <c r="I75" s="13" t="str">
        <f t="shared" si="13"/>
        <v>10.1007%2Fs004220000205</v>
      </c>
      <c r="J75" s="13" t="str">
        <f t="shared" si="11"/>
        <v>Changizi__2001_Figure3</v>
      </c>
      <c r="K75" s="13" t="str">
        <f t="shared" si="12"/>
        <v>10.1007%2Fs004220000205_Figure3</v>
      </c>
      <c r="L75" s="13" t="str">
        <f t="array" ref="L75">IFERROR(INDEX(AUTO_Public_TSV_FileList!$A$1:$A$1000,MATCH(TRUE(),EXACT(K75,IFERROR(_xlfn.TEXTBEFORE(AUTO_Public_TSV_FileList!$A$1:$A$1000,".tsv"),"")),0)),"notfound")</f>
        <v>10.1007%2Fs004220000205_Figure3.tsv</v>
      </c>
      <c r="M75" s="4"/>
      <c r="N75" s="5" t="s">
        <v>331</v>
      </c>
      <c r="O75" s="4"/>
      <c r="P75" s="5" t="s">
        <v>36</v>
      </c>
      <c r="Q75" s="5"/>
      <c r="R75" s="4"/>
      <c r="S75" s="4"/>
      <c r="T75" s="4"/>
      <c r="U75" s="4"/>
      <c r="V75" s="4"/>
      <c r="W75" s="5" t="s">
        <v>138</v>
      </c>
      <c r="X75" s="5" t="s">
        <v>332</v>
      </c>
      <c r="Y75" s="4"/>
      <c r="Z75" s="4"/>
      <c r="AA75" s="4"/>
      <c r="AB75" s="5" t="s">
        <v>333</v>
      </c>
      <c r="AC75" s="4"/>
      <c r="AD75" s="4"/>
      <c r="AE75" s="5" t="s">
        <v>179</v>
      </c>
      <c r="AF75" s="5"/>
      <c r="AG75" s="5" t="s">
        <v>334</v>
      </c>
    </row>
    <row r="76" spans="1:33" ht="17.100000000000001" customHeight="1">
      <c r="A76" s="2" t="s">
        <v>335</v>
      </c>
      <c r="B76" s="16"/>
      <c r="C76" s="16"/>
      <c r="D76" s="2" t="s">
        <v>81</v>
      </c>
      <c r="E76" s="13" t="str">
        <f t="shared" si="8"/>
        <v>Changizi</v>
      </c>
      <c r="F76" s="13" t="str">
        <f t="array" ref="F76">_xlfn.LET(
 _xlpm.authors,_xlfn.TEXTBEFORE(A76," ("&amp;G76&amp;")"),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76" s="13" t="str">
        <f t="shared" si="9"/>
        <v>2003</v>
      </c>
      <c r="H76" s="13" t="str">
        <f t="shared" si="10"/>
        <v>Changizi__2003</v>
      </c>
      <c r="I76" s="13" t="str">
        <f t="shared" si="13"/>
        <v>10.1006%2Fjtbi.2003.3125</v>
      </c>
      <c r="J76" s="13" t="str">
        <f t="shared" si="11"/>
        <v>Changizi__2003_Table1</v>
      </c>
      <c r="K76" s="13" t="str">
        <f t="shared" si="12"/>
        <v>10.1006%2Fjtbi.2003.3125_Table1</v>
      </c>
      <c r="L76" s="13" t="str">
        <f t="array" ref="L76">IFERROR(INDEX(AUTO_Public_TSV_FileList!$A$1:$A$1000,MATCH(TRUE(),EXACT(K76,IFERROR(_xlfn.TEXTBEFORE(AUTO_Public_TSV_FileList!$A$1:$A$1000,".tsv"),"")),0)),"notfound")</f>
        <v>10.1006%2Fjtbi.2003.3125_Table1.tsv</v>
      </c>
      <c r="M76" s="3" t="s">
        <v>336</v>
      </c>
      <c r="N76" s="5" t="s">
        <v>35</v>
      </c>
      <c r="O76" s="3"/>
      <c r="P76" s="4" t="s">
        <v>36</v>
      </c>
      <c r="Q76" s="3"/>
      <c r="R76" s="3" t="s">
        <v>337</v>
      </c>
      <c r="S76" s="3" t="s">
        <v>338</v>
      </c>
      <c r="T76" s="3" t="s">
        <v>339</v>
      </c>
      <c r="U76" s="3"/>
      <c r="V76" s="3" t="s">
        <v>340</v>
      </c>
      <c r="W76" s="7" t="s">
        <v>138</v>
      </c>
      <c r="X76" s="3" t="s">
        <v>341</v>
      </c>
      <c r="Y76" s="3" t="s">
        <v>341</v>
      </c>
      <c r="Z76" s="3"/>
      <c r="AA76" s="3"/>
      <c r="AB76" s="7" t="s">
        <v>342</v>
      </c>
      <c r="AC76" s="4"/>
      <c r="AD76" s="3"/>
      <c r="AE76" s="7" t="s">
        <v>51</v>
      </c>
      <c r="AF76" s="7"/>
      <c r="AG76" s="4" t="s">
        <v>343</v>
      </c>
    </row>
    <row r="77" spans="1:33" ht="17.100000000000001" customHeight="1">
      <c r="A77" s="1" t="s">
        <v>344</v>
      </c>
      <c r="D77" s="1" t="s">
        <v>81</v>
      </c>
      <c r="E77" s="13" t="str">
        <f t="shared" si="8"/>
        <v>Changizi</v>
      </c>
      <c r="F77" s="13" t="str">
        <f t="array" ref="F77">_xlfn.LET(
 _xlpm.authors,_xlfn.TEXTBEFORE(A77," ("&amp;G77&amp;")"),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77" s="13" t="str">
        <f t="shared" si="9"/>
        <v>2005</v>
      </c>
      <c r="H77" s="13" t="str">
        <f t="shared" si="10"/>
        <v>Changizi_Shimojo_2005</v>
      </c>
      <c r="I77" s="13" t="str">
        <f t="shared" si="13"/>
        <v>10.1159%2F000085942</v>
      </c>
      <c r="J77" s="13" t="str">
        <f t="shared" si="11"/>
        <v>Changizi_Shimojo_2005_Table1</v>
      </c>
      <c r="K77" s="13" t="str">
        <f t="shared" si="12"/>
        <v>10.1159%2F000085942_Table1</v>
      </c>
      <c r="L77" s="13" t="str">
        <f t="array" ref="L77">IFERROR(INDEX(AUTO_Public_TSV_FileList!$A$1:$A$1000,MATCH(TRUE(),EXACT(K77,IFERROR(_xlfn.TEXTBEFORE(AUTO_Public_TSV_FileList!$A$1:$A$1000,".tsv"),"")),0)),"notfound")</f>
        <v>10.1159%2F000085942_Table1.tsv</v>
      </c>
      <c r="M77" s="4"/>
      <c r="N77" s="5" t="s">
        <v>35</v>
      </c>
      <c r="O77" s="4"/>
      <c r="P77" s="5" t="s">
        <v>36</v>
      </c>
      <c r="Q77" s="5"/>
      <c r="R77" s="4"/>
      <c r="S77" s="4"/>
      <c r="T77" s="4"/>
      <c r="U77" s="4"/>
      <c r="V77" s="4"/>
      <c r="W77" s="5" t="s">
        <v>138</v>
      </c>
      <c r="X77" s="5" t="s">
        <v>345</v>
      </c>
      <c r="Y77" s="4"/>
      <c r="Z77" s="4"/>
      <c r="AA77" s="4"/>
      <c r="AB77" s="5" t="s">
        <v>346</v>
      </c>
      <c r="AC77" s="5" t="s">
        <v>347</v>
      </c>
      <c r="AD77" s="4"/>
      <c r="AE77" s="5" t="s">
        <v>51</v>
      </c>
      <c r="AF77" s="5"/>
      <c r="AG77" s="5" t="s">
        <v>348</v>
      </c>
    </row>
    <row r="78" spans="1:33" ht="17.100000000000001" customHeight="1">
      <c r="A78" s="1" t="s">
        <v>344</v>
      </c>
      <c r="D78" s="1" t="s">
        <v>70</v>
      </c>
      <c r="E78" s="13" t="str">
        <f t="shared" si="8"/>
        <v>Changizi</v>
      </c>
      <c r="F78" s="13" t="str">
        <f t="array" ref="F78">_xlfn.LET(
 _xlpm.authors,_xlfn.TEXTBEFORE(A78," ("&amp;G78&amp;")"),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78" s="13" t="str">
        <f t="shared" si="9"/>
        <v>2005</v>
      </c>
      <c r="H78" s="13" t="str">
        <f t="shared" si="10"/>
        <v>Changizi_Shimojo_2005</v>
      </c>
      <c r="I78" s="13" t="str">
        <f t="shared" si="13"/>
        <v>10.1159%2F000085942</v>
      </c>
      <c r="J78" s="13" t="str">
        <f t="shared" si="11"/>
        <v>Changizi_Shimojo_2005_Table2</v>
      </c>
      <c r="K78" s="13" t="str">
        <f t="shared" si="12"/>
        <v>10.1159%2F000085942_Table2</v>
      </c>
      <c r="L78" s="13" t="str">
        <f t="array" ref="L78">IFERROR(INDEX(AUTO_Public_TSV_FileList!$A$1:$A$1000,MATCH(TRUE(),EXACT(K78,IFERROR(_xlfn.TEXTBEFORE(AUTO_Public_TSV_FileList!$A$1:$A$1000,".tsv"),"")),0)),"notfound")</f>
        <v>10.1159%2F000085942_Table2.tsv</v>
      </c>
      <c r="M78" s="4"/>
      <c r="N78" s="5" t="s">
        <v>35</v>
      </c>
      <c r="O78" s="4"/>
      <c r="P78" s="5" t="s">
        <v>36</v>
      </c>
      <c r="Q78" s="5"/>
      <c r="R78" s="4"/>
      <c r="S78" s="4"/>
      <c r="T78" s="4"/>
      <c r="U78" s="4"/>
      <c r="V78" s="4"/>
      <c r="W78" s="5" t="s">
        <v>138</v>
      </c>
      <c r="X78" s="5" t="s">
        <v>349</v>
      </c>
      <c r="Y78" s="4"/>
      <c r="Z78" s="4"/>
      <c r="AA78" s="4"/>
      <c r="AB78" s="5" t="s">
        <v>350</v>
      </c>
      <c r="AC78" s="5" t="s">
        <v>347</v>
      </c>
      <c r="AD78" s="4"/>
      <c r="AE78" s="5" t="s">
        <v>66</v>
      </c>
      <c r="AF78" s="5"/>
      <c r="AG78" s="5" t="s">
        <v>351</v>
      </c>
    </row>
    <row r="79" spans="1:33" ht="17.100000000000001" customHeight="1">
      <c r="A79" s="1" t="s">
        <v>344</v>
      </c>
      <c r="D79" s="1" t="s">
        <v>72</v>
      </c>
      <c r="E79" s="13" t="str">
        <f t="shared" si="8"/>
        <v>Changizi</v>
      </c>
      <c r="F79" s="13" t="str">
        <f t="array" ref="F79">_xlfn.LET(
 _xlpm.authors,_xlfn.TEXTBEFORE(A79," ("&amp;G79&amp;")"),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79" s="13" t="str">
        <f t="shared" si="9"/>
        <v>2005</v>
      </c>
      <c r="H79" s="13" t="str">
        <f t="shared" si="10"/>
        <v>Changizi_Shimojo_2005</v>
      </c>
      <c r="I79" s="13" t="str">
        <f t="shared" si="13"/>
        <v>10.1159%2F000085942</v>
      </c>
      <c r="J79" s="13" t="str">
        <f t="shared" si="11"/>
        <v>Changizi_Shimojo_2005_Table3</v>
      </c>
      <c r="K79" s="13" t="str">
        <f t="shared" si="12"/>
        <v>10.1159%2F000085942_Table3</v>
      </c>
      <c r="L79" s="13" t="str">
        <f t="array" ref="L79">IFERROR(INDEX(AUTO_Public_TSV_FileList!$A$1:$A$1000,MATCH(TRUE(),EXACT(K79,IFERROR(_xlfn.TEXTBEFORE(AUTO_Public_TSV_FileList!$A$1:$A$1000,".tsv"),"")),0)),"notfound")</f>
        <v>10.1159%2F000085942_Table3.tsv</v>
      </c>
      <c r="M79" s="4"/>
      <c r="N79" s="5" t="s">
        <v>35</v>
      </c>
      <c r="O79" s="4"/>
      <c r="P79" s="5" t="s">
        <v>36</v>
      </c>
      <c r="Q79" s="5"/>
      <c r="R79" s="4"/>
      <c r="S79" s="4"/>
      <c r="T79" s="4"/>
      <c r="U79" s="4"/>
      <c r="V79" s="4"/>
      <c r="W79" s="5" t="s">
        <v>138</v>
      </c>
      <c r="X79" s="5" t="s">
        <v>352</v>
      </c>
      <c r="Y79" s="4"/>
      <c r="Z79" s="4"/>
      <c r="AA79" s="4"/>
      <c r="AB79" s="5" t="s">
        <v>353</v>
      </c>
      <c r="AC79" s="5" t="s">
        <v>347</v>
      </c>
      <c r="AD79" s="4"/>
      <c r="AE79" s="5" t="s">
        <v>179</v>
      </c>
      <c r="AF79" s="5"/>
      <c r="AG79" s="5" t="s">
        <v>354</v>
      </c>
    </row>
    <row r="80" spans="1:33" ht="17.100000000000001" customHeight="1">
      <c r="A80" s="1" t="s">
        <v>344</v>
      </c>
      <c r="D80" s="1" t="s">
        <v>34</v>
      </c>
      <c r="E80" s="13" t="str">
        <f t="shared" si="8"/>
        <v>Changizi</v>
      </c>
      <c r="F80" s="13" t="str">
        <f t="array" ref="F80">_xlfn.LET(
 _xlpm.authors,_xlfn.TEXTBEFORE(A80," ("&amp;G80&amp;")"),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80" s="13" t="str">
        <f t="shared" si="9"/>
        <v>2005</v>
      </c>
      <c r="H80" s="13" t="str">
        <f t="shared" si="10"/>
        <v>Changizi_Shimojo_2005</v>
      </c>
      <c r="I80" s="13" t="str">
        <f t="shared" si="13"/>
        <v>10.1159%2F000085942</v>
      </c>
      <c r="J80" s="13" t="str">
        <f t="shared" si="11"/>
        <v>Changizi_Shimojo_2005_Table4</v>
      </c>
      <c r="K80" s="13" t="str">
        <f t="shared" si="12"/>
        <v>10.1159%2F000085942_Table4</v>
      </c>
      <c r="L80" s="13" t="str">
        <f t="array" ref="L80">IFERROR(INDEX(AUTO_Public_TSV_FileList!$A$1:$A$1000,MATCH(TRUE(),EXACT(K80,IFERROR(_xlfn.TEXTBEFORE(AUTO_Public_TSV_FileList!$A$1:$A$1000,".tsv"),"")),0)),"notfound")</f>
        <v>10.1159%2F000085942_Table4.tsv</v>
      </c>
      <c r="M80" s="4"/>
      <c r="N80" s="5" t="s">
        <v>35</v>
      </c>
      <c r="O80" s="4"/>
      <c r="P80" s="5" t="s">
        <v>36</v>
      </c>
      <c r="Q80" s="5"/>
      <c r="R80" s="4"/>
      <c r="S80" s="4"/>
      <c r="T80" s="4"/>
      <c r="U80" s="4"/>
      <c r="V80" s="4"/>
      <c r="W80" s="5" t="s">
        <v>138</v>
      </c>
      <c r="X80" s="5" t="s">
        <v>355</v>
      </c>
      <c r="Y80" s="4"/>
      <c r="Z80" s="4"/>
      <c r="AA80" s="4"/>
      <c r="AB80" s="5" t="s">
        <v>356</v>
      </c>
      <c r="AC80" s="5" t="s">
        <v>347</v>
      </c>
      <c r="AD80" s="4"/>
      <c r="AE80" s="5" t="s">
        <v>179</v>
      </c>
      <c r="AF80" s="5"/>
      <c r="AG80" s="5" t="s">
        <v>357</v>
      </c>
    </row>
    <row r="81" spans="1:33" ht="17.100000000000001" customHeight="1">
      <c r="A81" s="1" t="s">
        <v>344</v>
      </c>
      <c r="D81" s="1" t="s">
        <v>74</v>
      </c>
      <c r="E81" s="13" t="str">
        <f t="shared" si="8"/>
        <v>Changizi</v>
      </c>
      <c r="F81" s="13" t="str">
        <f t="array" ref="F81">_xlfn.LET(
 _xlpm.authors,_xlfn.TEXTBEFORE(A81," ("&amp;G81&amp;")"),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Shimojo</v>
      </c>
      <c r="G81" s="13" t="str">
        <f t="shared" si="9"/>
        <v>2005</v>
      </c>
      <c r="H81" s="13" t="str">
        <f t="shared" si="10"/>
        <v>Changizi_Shimojo_2005</v>
      </c>
      <c r="I81" s="13" t="str">
        <f t="shared" si="13"/>
        <v>10.1159%2F000085942</v>
      </c>
      <c r="J81" s="13" t="str">
        <f t="shared" si="11"/>
        <v>Changizi_Shimojo_2005_Table5</v>
      </c>
      <c r="K81" s="13" t="str">
        <f t="shared" si="12"/>
        <v>10.1159%2F000085942_Table5</v>
      </c>
      <c r="L81" s="13" t="str">
        <f t="array" ref="L81">IFERROR(INDEX(AUTO_Public_TSV_FileList!$A$1:$A$1000,MATCH(TRUE(),EXACT(K81,IFERROR(_xlfn.TEXTBEFORE(AUTO_Public_TSV_FileList!$A$1:$A$1000,".tsv"),"")),0)),"notfound")</f>
        <v>10.1159%2F000085942_Table5.tsv</v>
      </c>
      <c r="M81" s="4"/>
      <c r="N81" s="5" t="s">
        <v>35</v>
      </c>
      <c r="O81" s="4"/>
      <c r="P81" s="5" t="s">
        <v>36</v>
      </c>
      <c r="Q81" s="5"/>
      <c r="R81" s="4"/>
      <c r="S81" s="4"/>
      <c r="T81" s="4"/>
      <c r="U81" s="4"/>
      <c r="V81" s="4"/>
      <c r="W81" s="5" t="s">
        <v>138</v>
      </c>
      <c r="X81" s="5" t="s">
        <v>358</v>
      </c>
      <c r="Y81" s="4"/>
      <c r="Z81" s="4"/>
      <c r="AA81" s="4"/>
      <c r="AB81" s="5" t="s">
        <v>359</v>
      </c>
      <c r="AC81" s="5" t="s">
        <v>347</v>
      </c>
      <c r="AD81" s="4"/>
      <c r="AE81" s="5" t="s">
        <v>179</v>
      </c>
      <c r="AF81" s="5"/>
      <c r="AG81" s="5" t="s">
        <v>360</v>
      </c>
    </row>
    <row r="82" spans="1:33" ht="17.100000000000001" customHeight="1">
      <c r="A82" s="17" t="s">
        <v>361</v>
      </c>
      <c r="D82" s="17" t="s">
        <v>362</v>
      </c>
      <c r="E82" s="13" t="str">
        <f t="shared" si="8"/>
        <v>Chaplin</v>
      </c>
      <c r="F82" s="13" t="str">
        <f t="array" ref="F82">_xlfn.LET(
 _xlpm.authors,_xlfn.TEXTBEFORE(A82," ("&amp;G82&amp;")"),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2" s="13" t="str">
        <f t="shared" si="9"/>
        <v>2013</v>
      </c>
      <c r="H82" s="13" t="str">
        <f t="shared" si="10"/>
        <v>Chaplin_etal_2013</v>
      </c>
      <c r="I82" s="13" t="str">
        <f t="shared" si="13"/>
        <v>10.1523%2FJNEUROSCI.2909-13.2013</v>
      </c>
      <c r="J82" s="13" t="str">
        <f t="shared" si="11"/>
        <v>Chaplin_etal_2013_ResultsText</v>
      </c>
      <c r="K82" s="13" t="str">
        <f t="shared" si="12"/>
        <v>10.1523%2FJNEUROSCI.2909-13.2013_ResultsText</v>
      </c>
      <c r="L82" s="13" t="str">
        <f t="array" ref="L82">IFERROR(INDEX(AUTO_Public_TSV_FileList!$A$1:$A$1000,MATCH(TRUE(),EXACT(K82,IFERROR(_xlfn.TEXTBEFORE(AUTO_Public_TSV_FileList!$A$1:$A$1000,".tsv"),"")),0)),"notfound")</f>
        <v>10.1523%2FJNEUROSCI.2909-13.2013_ResultsText.tsv</v>
      </c>
      <c r="M82" s="3" t="s">
        <v>363</v>
      </c>
      <c r="N82" s="3" t="s">
        <v>364</v>
      </c>
      <c r="O82" s="4"/>
      <c r="P82" s="3" t="s">
        <v>36</v>
      </c>
      <c r="Q82" s="3"/>
      <c r="R82" s="3" t="s">
        <v>365</v>
      </c>
      <c r="S82" s="3" t="s">
        <v>366</v>
      </c>
      <c r="T82" s="3" t="s">
        <v>367</v>
      </c>
      <c r="U82" s="3"/>
      <c r="V82" s="4"/>
      <c r="W82" s="3" t="s">
        <v>100</v>
      </c>
      <c r="X82" s="3" t="s">
        <v>178</v>
      </c>
      <c r="Y82" s="3" t="s">
        <v>368</v>
      </c>
      <c r="Z82" s="3"/>
      <c r="AA82" s="3" t="s">
        <v>369</v>
      </c>
      <c r="AB82" s="3" t="s">
        <v>178</v>
      </c>
      <c r="AC82" s="3"/>
      <c r="AD82" s="3"/>
      <c r="AE82" s="3" t="s">
        <v>66</v>
      </c>
      <c r="AF82" s="3"/>
      <c r="AG82" s="3" t="s">
        <v>370</v>
      </c>
    </row>
    <row r="83" spans="1:33" ht="17.100000000000001" customHeight="1">
      <c r="A83" s="1" t="s">
        <v>371</v>
      </c>
      <c r="D83" s="1" t="s">
        <v>372</v>
      </c>
      <c r="E83" s="13" t="str">
        <f t="shared" si="8"/>
        <v>Chen</v>
      </c>
      <c r="F83" s="13" t="str">
        <f t="array" ref="F83">_xlfn.LET(
 _xlpm.authors,_xlfn.TEXTBEFORE(A83," ("&amp;G83&amp;")"),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Wiens</v>
      </c>
      <c r="G83" s="13" t="str">
        <f t="shared" si="9"/>
        <v>2020</v>
      </c>
      <c r="H83" s="13" t="str">
        <f t="shared" si="10"/>
        <v>Chen_Wiens_2020</v>
      </c>
      <c r="I83" s="13" t="str">
        <f t="shared" si="13"/>
        <v>10.1038%2Fs41467-020-14356-3</v>
      </c>
      <c r="J83" s="13" t="str">
        <f t="shared" si="11"/>
        <v>Chen_Wiens_2020_SupplementaryData3</v>
      </c>
      <c r="K83" s="13" t="str">
        <f t="shared" si="12"/>
        <v>10.1038%2Fs41467-020-14356-3_SupplementaryData3</v>
      </c>
      <c r="L83" s="13" t="str">
        <f t="array" ref="L83">IFERROR(INDEX(AUTO_Public_TSV_FileList!$A$1:$A$1000,MATCH(TRUE(),EXACT(K83,IFERROR(_xlfn.TEXTBEFORE(AUTO_Public_TSV_FileList!$A$1:$A$1000,".tsv"),"")),0)),"notfound")</f>
        <v>10.1038%2Fs41467-020-14356-3_SupplementaryData3.tsv</v>
      </c>
      <c r="M83" s="4"/>
      <c r="N83" s="5" t="s">
        <v>35</v>
      </c>
      <c r="O83" s="4"/>
      <c r="P83" s="5" t="s">
        <v>36</v>
      </c>
      <c r="Q83" s="5" t="s">
        <v>373</v>
      </c>
      <c r="R83" s="5" t="s">
        <v>374</v>
      </c>
      <c r="S83" s="4"/>
      <c r="T83" s="4"/>
      <c r="U83" s="4"/>
      <c r="V83" s="4"/>
      <c r="W83" s="5" t="s">
        <v>375</v>
      </c>
      <c r="X83" s="5" t="s">
        <v>376</v>
      </c>
      <c r="Y83" s="5" t="s">
        <v>377</v>
      </c>
      <c r="Z83" s="4"/>
      <c r="AA83" s="4"/>
      <c r="AB83" s="5" t="s">
        <v>378</v>
      </c>
      <c r="AC83" s="4"/>
      <c r="AD83" s="4"/>
      <c r="AE83" s="5" t="s">
        <v>179</v>
      </c>
      <c r="AF83" s="5"/>
      <c r="AG83" s="4"/>
    </row>
    <row r="84" spans="1:33" ht="17.100000000000001" customHeight="1">
      <c r="A84" s="1" t="s">
        <v>379</v>
      </c>
      <c r="D84" s="1" t="s">
        <v>380</v>
      </c>
      <c r="E84" s="13" t="str">
        <f t="shared" si="8"/>
        <v>Collins</v>
      </c>
      <c r="F84" s="13" t="str">
        <f t="array" ref="F84">_xlfn.LET(
 _xlpm.authors,_xlfn.TEXTBEFORE(A84," ("&amp;G84&amp;")"),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4" s="13" t="str">
        <f t="shared" si="9"/>
        <v>2010</v>
      </c>
      <c r="H84" s="13" t="str">
        <f t="shared" si="10"/>
        <v>Collins_etal_2010</v>
      </c>
      <c r="I84" s="13" t="str">
        <f t="shared" si="13"/>
        <v>10.1073%2Fpnas.1010356107</v>
      </c>
      <c r="J84" s="13" t="str">
        <f t="shared" si="11"/>
        <v>Collins_etal_2010_DatasetS1</v>
      </c>
      <c r="K84" s="13" t="str">
        <f t="shared" si="12"/>
        <v>10.1073%2Fpnas.1010356107_DatasetS1</v>
      </c>
      <c r="L84" s="13" t="str">
        <f t="array" ref="L84">IFERROR(INDEX(AUTO_Public_TSV_FileList!$A$1:$A$1000,MATCH(TRUE(),EXACT(K84,IFERROR(_xlfn.TEXTBEFORE(AUTO_Public_TSV_FileList!$A$1:$A$1000,".tsv"),"")),0)),"notfound")</f>
        <v>10.1073%2Fpnas.1010356107_DatasetS1.tsv</v>
      </c>
      <c r="M84" s="4"/>
      <c r="N84" s="4"/>
      <c r="O84" s="4"/>
      <c r="P84" s="5" t="s">
        <v>36</v>
      </c>
      <c r="Q84" s="4"/>
      <c r="R84" s="4"/>
      <c r="S84" s="4"/>
      <c r="T84" s="4"/>
      <c r="U84" s="4"/>
      <c r="V84" s="4"/>
      <c r="W84" s="5" t="s">
        <v>100</v>
      </c>
      <c r="X84" s="5" t="s">
        <v>381</v>
      </c>
      <c r="Y84" s="4"/>
      <c r="Z84" s="4"/>
      <c r="AA84" s="4"/>
      <c r="AB84" s="5" t="s">
        <v>178</v>
      </c>
      <c r="AC84" s="5" t="s">
        <v>382</v>
      </c>
      <c r="AD84" s="4"/>
      <c r="AE84" s="5" t="s">
        <v>66</v>
      </c>
      <c r="AF84" s="5"/>
      <c r="AG84" s="4"/>
    </row>
    <row r="85" spans="1:33" ht="17.100000000000001" customHeight="1">
      <c r="A85" s="1" t="s">
        <v>383</v>
      </c>
      <c r="D85" s="1" t="s">
        <v>81</v>
      </c>
      <c r="E85" s="13" t="str">
        <f t="shared" si="8"/>
        <v>Collins</v>
      </c>
      <c r="F85" s="13" t="str">
        <f t="array" ref="F85">_xlfn.LET(
 _xlpm.authors,_xlfn.TEXTBEFORE(A85," ("&amp;G85&amp;")"),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5" s="13" t="str">
        <f t="shared" si="9"/>
        <v>2016</v>
      </c>
      <c r="H85" s="13" t="str">
        <f t="shared" si="10"/>
        <v>Collins_etal_2016</v>
      </c>
      <c r="I85" s="13" t="str">
        <f t="shared" si="13"/>
        <v>10.1073%2Fpnas.1524208113</v>
      </c>
      <c r="J85" s="13" t="str">
        <f t="shared" si="11"/>
        <v>Collins_etal_2016_Table1</v>
      </c>
      <c r="K85" s="13" t="str">
        <f t="shared" si="12"/>
        <v>10.1073%2Fpnas.1524208113_Table1</v>
      </c>
      <c r="L85" s="13" t="str">
        <f t="array" ref="L85">IFERROR(INDEX(AUTO_Public_TSV_FileList!$A$1:$A$1000,MATCH(TRUE(),EXACT(K85,IFERROR(_xlfn.TEXTBEFORE(AUTO_Public_TSV_FileList!$A$1:$A$1000,".tsv"),"")),0)),"notfound")</f>
        <v>10.1073%2Fpnas.1524208113_Table1.tsv</v>
      </c>
      <c r="M85" s="5" t="s">
        <v>384</v>
      </c>
      <c r="N85" s="5" t="s">
        <v>35</v>
      </c>
      <c r="O85" s="4"/>
      <c r="P85" s="5" t="s">
        <v>36</v>
      </c>
      <c r="Q85" s="4"/>
      <c r="R85" s="4"/>
      <c r="S85" s="4"/>
      <c r="T85" s="4"/>
      <c r="U85" s="4"/>
      <c r="V85" s="4"/>
      <c r="W85" s="5" t="s">
        <v>100</v>
      </c>
      <c r="X85" s="5" t="s">
        <v>385</v>
      </c>
      <c r="Y85" s="4"/>
      <c r="Z85" s="4"/>
      <c r="AA85" s="5" t="s">
        <v>63</v>
      </c>
      <c r="AB85" s="5" t="s">
        <v>386</v>
      </c>
      <c r="AC85" s="5" t="s">
        <v>382</v>
      </c>
      <c r="AD85" s="5" t="s">
        <v>65</v>
      </c>
      <c r="AE85" s="5" t="s">
        <v>66</v>
      </c>
      <c r="AF85" s="5"/>
      <c r="AG85" s="4"/>
    </row>
    <row r="86" spans="1:33" ht="17.100000000000001" customHeight="1">
      <c r="A86" s="1" t="s">
        <v>387</v>
      </c>
      <c r="D86" s="1" t="s">
        <v>81</v>
      </c>
      <c r="E86" s="13" t="str">
        <f t="shared" si="8"/>
        <v>deJager</v>
      </c>
      <c r="F86" s="13" t="str">
        <f t="array" ref="F86">_xlfn.LET(
 _xlpm.authors,_xlfn.TEXTBEFORE(A86," ("&amp;G86&amp;")"),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6" s="13" t="str">
        <f t="shared" si="9"/>
        <v>2022</v>
      </c>
      <c r="H86" s="13" t="str">
        <f t="shared" si="10"/>
        <v>deJager_etal_2022</v>
      </c>
      <c r="I86" s="13" t="str">
        <f t="shared" si="13"/>
        <v>10.1111%2Fjoa.13681</v>
      </c>
      <c r="J86" s="13" t="str">
        <f t="shared" si="11"/>
        <v>deJager_etal_2022_Table1</v>
      </c>
      <c r="K86" s="13" t="str">
        <f t="shared" si="12"/>
        <v>10.1111%2Fjoa.13681_Table1</v>
      </c>
      <c r="L86" s="13" t="str">
        <f t="array" ref="L86">IFERROR(INDEX(AUTO_Public_TSV_FileList!$A$1:$A$1000,MATCH(TRUE(),EXACT(K86,IFERROR(_xlfn.TEXTBEFORE(AUTO_Public_TSV_FileList!$A$1:$A$1000,".tsv"),"")),0)),"notfound")</f>
        <v>10.1111%2Fjoa.13681_Table1.tsv</v>
      </c>
      <c r="M86" s="4"/>
      <c r="N86" s="4"/>
      <c r="O86" s="4"/>
      <c r="P86" s="5" t="s">
        <v>36</v>
      </c>
      <c r="Q86" s="4"/>
      <c r="R86" s="4"/>
      <c r="S86" s="4"/>
      <c r="T86" s="4"/>
      <c r="U86" s="4"/>
      <c r="V86" s="4"/>
      <c r="W86" s="4"/>
      <c r="X86" s="4"/>
      <c r="Y86" s="4"/>
      <c r="Z86" s="4"/>
      <c r="AA86" s="4"/>
      <c r="AB86" s="4"/>
      <c r="AC86" s="4"/>
      <c r="AD86" s="4"/>
      <c r="AE86" s="4"/>
      <c r="AF86" s="4"/>
      <c r="AG86" s="4"/>
    </row>
    <row r="87" spans="1:33" ht="17.100000000000001" customHeight="1">
      <c r="A87" s="17" t="s">
        <v>388</v>
      </c>
      <c r="D87" s="17" t="s">
        <v>389</v>
      </c>
      <c r="E87" s="12" t="str">
        <f t="shared" si="8"/>
        <v>deMagalhães</v>
      </c>
      <c r="F87" s="13" t="str">
        <f t="array" ref="F87">_xlfn.LET(
 _xlpm.authors,_xlfn.TEXTBEFORE(A87," ("&amp;G87&amp;")"),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87" s="13" t="str">
        <f t="shared" si="9"/>
        <v>2024</v>
      </c>
      <c r="H87" s="12" t="str">
        <f t="shared" si="10"/>
        <v>deMagalhães_etal_2024</v>
      </c>
      <c r="I87" s="12" t="str">
        <f>_xlfn.LET(_xlpm.doi,IF(C87&lt;&gt;"",C87,_xlfn.TEXTAFTER(A87,"https://doi.org/")),SUBSTITUTE(SUBSTITUTE(SUBSTITUTE(SUBSTITUTE(_xlpm.doi,"/","%2F"),":","%3A"),"&lt;","%3C"),"&gt;","%3E"))</f>
        <v>10.1093%2Fnar%2Fgkad927</v>
      </c>
      <c r="J87" s="12" t="str">
        <f t="shared" si="11"/>
        <v>deMagalhães_etal_2024_anagedata.txt</v>
      </c>
      <c r="K87" s="13" t="str">
        <f t="shared" si="12"/>
        <v>10.1093%2Fnar%2Fgkad927_anagedata.txt</v>
      </c>
      <c r="L87" s="13" t="str">
        <f t="array" ref="L87">IFERROR(INDEX(AUTO_Public_TSV_FileList!$A$1:$A$1000,MATCH(TRUE(),EXACT(K87,IFERROR(_xlfn.TEXTBEFORE(AUTO_Public_TSV_FileList!$A$1:$A$1000,".tsv"),"")),0)),"notfound")</f>
        <v>10.1093%2Fnar%2Fgkad927_anagedata.txt.tsv</v>
      </c>
      <c r="M87" s="4" t="s">
        <v>390</v>
      </c>
      <c r="N87" s="4" t="s">
        <v>391</v>
      </c>
      <c r="O87" s="4" t="s">
        <v>392</v>
      </c>
      <c r="P87" s="4" t="s">
        <v>36</v>
      </c>
      <c r="Q87" s="4"/>
      <c r="R87" s="4" t="s">
        <v>393</v>
      </c>
      <c r="S87" s="4"/>
      <c r="T87" s="4" t="s">
        <v>394</v>
      </c>
      <c r="U87" s="4"/>
      <c r="V87" s="4" t="s">
        <v>395</v>
      </c>
      <c r="W87" s="4" t="s">
        <v>396</v>
      </c>
      <c r="X87" s="4" t="s">
        <v>397</v>
      </c>
      <c r="Y87" s="4" t="s">
        <v>398</v>
      </c>
      <c r="Z87" s="4"/>
      <c r="AA87" s="4" t="s">
        <v>399</v>
      </c>
      <c r="AB87" s="4" t="s">
        <v>400</v>
      </c>
      <c r="AC87" s="4"/>
      <c r="AD87" s="4"/>
      <c r="AE87" s="4" t="s">
        <v>179</v>
      </c>
      <c r="AF87" s="4" t="s">
        <v>401</v>
      </c>
      <c r="AG87" s="4" t="s">
        <v>402</v>
      </c>
    </row>
    <row r="88" spans="1:33" ht="17.100000000000001" customHeight="1">
      <c r="A88" s="17" t="s">
        <v>403</v>
      </c>
      <c r="C88" t="s">
        <v>404</v>
      </c>
      <c r="D88" s="17" t="s">
        <v>405</v>
      </c>
      <c r="E88" s="12" t="str">
        <f t="shared" si="8"/>
        <v>deSousa</v>
      </c>
      <c r="F88" s="13" t="str">
        <f t="array" ref="F88">_xlfn.LET(
 _xlpm.authors,_xlfn.TEXTBEFORE(A88," ("&amp;G88&amp;")"),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88" s="13" t="str">
        <f t="shared" si="9"/>
        <v>2008</v>
      </c>
      <c r="H88" s="12" t="str">
        <f t="shared" si="10"/>
        <v>deSousa__2008</v>
      </c>
      <c r="I88" s="12" t="str">
        <f>_xlfn.LET(_xlpm.doi,IF(C88&lt;&gt;"",C88,_xlfn.TEXTAFTER(A88,"https://doi.org/")),SUBSTITUTE(SUBSTITUTE(SUBSTITUTE(SUBSTITUTE(_xlpm.doi,"/","%2F"),":","%3A"),"&lt;","%3C"),"&gt;","%3E"))</f>
        <v>UMI%3A3311323</v>
      </c>
      <c r="J88" s="12" t="str">
        <f t="shared" si="11"/>
        <v>deSousa__2008_Suppl.Table5.2</v>
      </c>
      <c r="K88" s="13" t="str">
        <f t="shared" si="12"/>
        <v>UMI%3A3311323_Suppl.Table5.2</v>
      </c>
      <c r="L88" s="13" t="str">
        <f t="array" ref="L88">IFERROR(INDEX(AUTO_Public_TSV_FileList!$A$1:$A$1000,MATCH(TRUE(),EXACT(K88,IFERROR(_xlfn.TEXTBEFORE(AUTO_Public_TSV_FileList!$A$1:$A$1000,".tsv"),"")),0)),"notfound")</f>
        <v>UMI%3A3311323_Suppl.Table5.2.tsv</v>
      </c>
      <c r="M88" s="4" t="s">
        <v>406</v>
      </c>
      <c r="N88" s="4"/>
      <c r="O88" s="4"/>
      <c r="P88" s="4"/>
      <c r="Q88" s="4"/>
      <c r="R88" s="4"/>
      <c r="S88" s="4"/>
      <c r="T88" s="4"/>
      <c r="U88" s="4"/>
      <c r="V88" s="4"/>
      <c r="W88" s="4"/>
      <c r="X88" s="4"/>
      <c r="Y88" s="4"/>
      <c r="Z88" s="4"/>
      <c r="AA88" s="4"/>
      <c r="AB88" s="4"/>
      <c r="AC88" s="4"/>
      <c r="AD88" s="4"/>
      <c r="AE88" s="4"/>
      <c r="AF88" s="4"/>
      <c r="AG88" s="4"/>
    </row>
    <row r="89" spans="1:33" ht="17.100000000000001" customHeight="1">
      <c r="A89" s="17" t="s">
        <v>403</v>
      </c>
      <c r="C89" t="s">
        <v>404</v>
      </c>
      <c r="D89" s="17" t="s">
        <v>407</v>
      </c>
      <c r="E89" s="12" t="str">
        <f t="shared" si="8"/>
        <v>deSousa</v>
      </c>
      <c r="F89" s="13" t="str">
        <f t="array" ref="F89">_xlfn.LET(
 _xlpm.authors,_xlfn.TEXTBEFORE(A89," ("&amp;G89&amp;")"),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89" s="13" t="str">
        <f t="shared" si="9"/>
        <v>2008</v>
      </c>
      <c r="H89" s="12" t="str">
        <f t="shared" si="10"/>
        <v>deSousa__2008</v>
      </c>
      <c r="I89" s="12" t="str">
        <f>_xlfn.LET(_xlpm.doi,IF(C89&lt;&gt;"",C89,_xlfn.TEXTAFTER(A89,"https://doi.org/")),SUBSTITUTE(SUBSTITUTE(SUBSTITUTE(SUBSTITUTE(_xlpm.doi,"/","%2F"),":","%3A"),"&lt;","%3C"),"&gt;","%3E"))</f>
        <v>UMI%3A3311323</v>
      </c>
      <c r="J89" s="12" t="str">
        <f t="shared" si="11"/>
        <v>deSousa__2008_Table4.1</v>
      </c>
      <c r="K89" s="13" t="str">
        <f t="shared" si="12"/>
        <v>UMI%3A3311323_Table4.1</v>
      </c>
      <c r="L89" s="13" t="str">
        <f t="array" ref="L89">IFERROR(INDEX(AUTO_Public_TSV_FileList!$A$1:$A$1000,MATCH(TRUE(),EXACT(K89,IFERROR(_xlfn.TEXTBEFORE(AUTO_Public_TSV_FileList!$A$1:$A$1000,".tsv"),"")),0)),"notfound")</f>
        <v>UMI%3A3311323_Table4.1.tsv</v>
      </c>
      <c r="M89" s="4" t="s">
        <v>408</v>
      </c>
      <c r="N89" s="4"/>
      <c r="O89" s="4"/>
      <c r="P89" s="4"/>
      <c r="Q89" s="4"/>
      <c r="R89" s="4"/>
      <c r="S89" s="4"/>
      <c r="T89" s="4"/>
      <c r="U89" s="4"/>
      <c r="V89" s="4"/>
      <c r="W89" s="4"/>
      <c r="X89" s="4"/>
      <c r="Y89" s="4"/>
      <c r="Z89" s="4"/>
      <c r="AA89" s="4"/>
      <c r="AB89" s="4"/>
      <c r="AC89" s="4"/>
      <c r="AD89" s="4"/>
      <c r="AE89" s="4"/>
      <c r="AF89" s="4"/>
      <c r="AG89" s="4"/>
    </row>
    <row r="90" spans="1:33" ht="17.100000000000001" customHeight="1">
      <c r="A90" s="17" t="s">
        <v>403</v>
      </c>
      <c r="C90" t="s">
        <v>404</v>
      </c>
      <c r="D90" s="17" t="s">
        <v>409</v>
      </c>
      <c r="E90" s="12" t="str">
        <f t="shared" si="8"/>
        <v>deSousa</v>
      </c>
      <c r="F90" s="13" t="str">
        <f t="array" ref="F90">_xlfn.LET(
 _xlpm.authors,_xlfn.TEXTBEFORE(A90," ("&amp;G90&amp;")"),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90" s="13" t="str">
        <f t="shared" si="9"/>
        <v>2008</v>
      </c>
      <c r="H90" s="12" t="str">
        <f t="shared" si="10"/>
        <v>deSousa__2008</v>
      </c>
      <c r="I90" s="12" t="str">
        <f>_xlfn.LET(_xlpm.doi,IF(C90&lt;&gt;"",C90,_xlfn.TEXTAFTER(A90,"https://doi.org/")),SUBSTITUTE(SUBSTITUTE(SUBSTITUTE(SUBSTITUTE(_xlpm.doi,"/","%2F"),":","%3A"),"&lt;","%3C"),"&gt;","%3E"))</f>
        <v>UMI%3A3311323</v>
      </c>
      <c r="J90" s="12" t="str">
        <f t="shared" si="11"/>
        <v>deSousa__2008_Table5.1</v>
      </c>
      <c r="K90" s="13" t="str">
        <f t="shared" si="12"/>
        <v>UMI%3A3311323_Table5.1</v>
      </c>
      <c r="L90" s="13" t="str">
        <f t="array" ref="L90">IFERROR(INDEX(AUTO_Public_TSV_FileList!$A$1:$A$1000,MATCH(TRUE(),EXACT(K90,IFERROR(_xlfn.TEXTBEFORE(AUTO_Public_TSV_FileList!$A$1:$A$1000,".tsv"),"")),0)),"notfound")</f>
        <v>UMI%3A3311323_Table5.1.tsv</v>
      </c>
      <c r="M90" s="4" t="s">
        <v>410</v>
      </c>
      <c r="N90" s="4"/>
      <c r="O90" s="4"/>
      <c r="P90" s="4"/>
      <c r="Q90" s="4"/>
      <c r="R90" s="4"/>
      <c r="S90" s="4"/>
      <c r="T90" s="4"/>
      <c r="U90" s="4"/>
      <c r="V90" s="4"/>
      <c r="W90" s="4"/>
      <c r="X90" s="4"/>
      <c r="Y90" s="4"/>
      <c r="Z90" s="4"/>
      <c r="AA90" s="4"/>
      <c r="AB90" s="4"/>
      <c r="AC90" s="4"/>
      <c r="AD90" s="4"/>
      <c r="AE90" s="4"/>
      <c r="AF90" s="4"/>
      <c r="AG90" s="4"/>
    </row>
    <row r="91" spans="1:33" ht="17.100000000000001" customHeight="1">
      <c r="A91" s="17" t="s">
        <v>403</v>
      </c>
      <c r="C91" t="s">
        <v>404</v>
      </c>
      <c r="D91" s="17" t="s">
        <v>411</v>
      </c>
      <c r="E91" s="12" t="str">
        <f t="shared" si="8"/>
        <v>deSousa</v>
      </c>
      <c r="F91" s="13" t="str">
        <f t="array" ref="F91">_xlfn.LET(
 _xlpm.authors,_xlfn.TEXTBEFORE(A91," ("&amp;G91&amp;")"),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91" s="13" t="str">
        <f t="shared" si="9"/>
        <v>2008</v>
      </c>
      <c r="H91" s="12" t="str">
        <f t="shared" si="10"/>
        <v>deSousa__2008</v>
      </c>
      <c r="I91" s="12" t="str">
        <f>_xlfn.LET(_xlpm.doi,IF(C91&lt;&gt;"",C91,_xlfn.TEXTAFTER(A91,"https://doi.org/")),SUBSTITUTE(SUBSTITUTE(SUBSTITUTE(SUBSTITUTE(_xlpm.doi,"/","%2F"),":","%3A"),"&lt;","%3C"),"&gt;","%3E"))</f>
        <v>UMI%3A3311323</v>
      </c>
      <c r="J91" s="12" t="str">
        <f t="shared" si="11"/>
        <v>deSousa__2008_Table5.6</v>
      </c>
      <c r="K91" s="13" t="str">
        <f t="shared" si="12"/>
        <v>UMI%3A3311323_Table5.6</v>
      </c>
      <c r="L91" s="13" t="str">
        <f t="array" ref="L91">IFERROR(INDEX(AUTO_Public_TSV_FileList!$A$1:$A$1000,MATCH(TRUE(),EXACT(K91,IFERROR(_xlfn.TEXTBEFORE(AUTO_Public_TSV_FileList!$A$1:$A$1000,".tsv"),"")),0)),"notfound")</f>
        <v>UMI%3A3311323_Table5.6.tsv</v>
      </c>
      <c r="M91" s="4" t="s">
        <v>412</v>
      </c>
      <c r="N91" s="4"/>
      <c r="O91" s="4"/>
      <c r="P91" s="4"/>
      <c r="Q91" s="4"/>
      <c r="R91" s="4"/>
      <c r="S91" s="4"/>
      <c r="T91" s="4"/>
      <c r="U91" s="4"/>
      <c r="V91" s="4"/>
      <c r="W91" s="4"/>
      <c r="X91" s="4"/>
      <c r="Y91" s="4"/>
      <c r="Z91" s="4"/>
      <c r="AA91" s="4"/>
      <c r="AB91" s="4"/>
      <c r="AC91" s="4"/>
      <c r="AD91" s="4"/>
      <c r="AE91" s="4"/>
      <c r="AF91" s="4"/>
      <c r="AG91" s="4"/>
    </row>
    <row r="92" spans="1:33" ht="17.100000000000001" customHeight="1">
      <c r="A92" s="1" t="s">
        <v>413</v>
      </c>
      <c r="D92" s="1" t="s">
        <v>81</v>
      </c>
      <c r="E92" s="13" t="str">
        <f t="shared" si="8"/>
        <v>deSousa</v>
      </c>
      <c r="F92" s="13" t="str">
        <f t="array" ref="F92">_xlfn.LET(
 _xlpm.authors,_xlfn.TEXTBEFORE(A92," ("&amp;G92&amp;")"),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2" s="13" t="str">
        <f t="shared" si="9"/>
        <v>2013</v>
      </c>
      <c r="H92" s="13" t="str">
        <f t="shared" si="10"/>
        <v>deSousa_etal_2013</v>
      </c>
      <c r="I92" s="13" t="str">
        <f t="shared" ref="I92:I112" si="14">_xlfn.LET(
_xlpm.doi,IF(C92&lt;&gt;"",C92,_xlfn.TEXTAFTER(A92,"https://doi.org/")),
SUBSTITUTE(
SUBSTITUTE(
SUBSTITUTE(
SUBSTITUTE(
_xlpm.doi,
"/","%2F"),
":","%3A"),
"&lt;","%3C"),
"&gt;","%3E")
)</f>
        <v>10.1159%2F000346495</v>
      </c>
      <c r="J92" s="13" t="str">
        <f t="shared" si="11"/>
        <v>deSousa_etal_2013_Table1</v>
      </c>
      <c r="K92" s="13" t="str">
        <f t="shared" si="12"/>
        <v>10.1159%2F000346495_Table1</v>
      </c>
      <c r="L92" s="13" t="str">
        <f t="array" ref="L92">IFERROR(INDEX(AUTO_Public_TSV_FileList!$A$1:$A$1000,MATCH(TRUE(),EXACT(K92,IFERROR(_xlfn.TEXTBEFORE(AUTO_Public_TSV_FileList!$A$1:$A$1000,".tsv"),"")),0)),"notfound")</f>
        <v>10.1159%2F000346495_Table1.tsv</v>
      </c>
      <c r="M92" s="5" t="s">
        <v>414</v>
      </c>
      <c r="N92" s="5" t="s">
        <v>35</v>
      </c>
      <c r="O92" s="4"/>
      <c r="P92" s="5" t="s">
        <v>36</v>
      </c>
      <c r="Q92" s="5"/>
      <c r="R92" s="4"/>
      <c r="S92" s="4"/>
      <c r="T92" s="4"/>
      <c r="U92" s="4"/>
      <c r="V92" s="4"/>
      <c r="W92" s="5" t="s">
        <v>415</v>
      </c>
      <c r="X92" s="5" t="s">
        <v>416</v>
      </c>
      <c r="Y92" s="4"/>
      <c r="Z92" s="5" t="s">
        <v>83</v>
      </c>
      <c r="AA92" s="5" t="s">
        <v>130</v>
      </c>
      <c r="AB92" s="5" t="s">
        <v>90</v>
      </c>
      <c r="AC92" s="5" t="s">
        <v>417</v>
      </c>
      <c r="AD92" s="5" t="s">
        <v>418</v>
      </c>
      <c r="AE92" s="5" t="s">
        <v>66</v>
      </c>
      <c r="AF92" s="5"/>
      <c r="AG92" s="4"/>
    </row>
    <row r="93" spans="1:33" ht="17.100000000000001" customHeight="1">
      <c r="A93" s="1" t="s">
        <v>419</v>
      </c>
      <c r="D93" s="1" t="s">
        <v>420</v>
      </c>
      <c r="E93" s="13" t="str">
        <f t="shared" si="8"/>
        <v>deSousa</v>
      </c>
      <c r="F93" s="13" t="str">
        <f t="array" ref="F93">_xlfn.LET(
 _xlpm.authors,_xlfn.TEXTBEFORE(A93," ("&amp;G93&amp;")"),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3" s="13" t="str">
        <f t="shared" si="9"/>
        <v>2010</v>
      </c>
      <c r="H93" s="13" t="str">
        <f t="shared" si="10"/>
        <v>deSousa_etal_2010</v>
      </c>
      <c r="I93" s="13" t="str">
        <f t="shared" si="14"/>
        <v>10.1016%2Fj.jhevol.2009.11.011</v>
      </c>
      <c r="J93" s="12" t="str">
        <f t="shared" si="11"/>
        <v>deSousa_etal_2010_SupTable2</v>
      </c>
      <c r="K93" s="13" t="str">
        <f t="shared" si="12"/>
        <v>10.1016%2Fj.jhevol.2009.11.011_SupTable2</v>
      </c>
      <c r="L93" s="13" t="str">
        <f t="array" ref="L93">IFERROR(INDEX(AUTO_Public_TSV_FileList!$A$1:$A$1000,MATCH(TRUE(),EXACT(K93,IFERROR(_xlfn.TEXTBEFORE(AUTO_Public_TSV_FileList!$A$1:$A$1000,".tsv"),"")),0)),"notfound")</f>
        <v>10.1016%2Fj.jhevol.2009.11.011_SupTable2.tsv</v>
      </c>
      <c r="M93" s="5" t="s">
        <v>421</v>
      </c>
      <c r="N93" s="5" t="s">
        <v>35</v>
      </c>
      <c r="O93" s="5"/>
      <c r="P93" s="5" t="s">
        <v>36</v>
      </c>
      <c r="Q93" s="5"/>
      <c r="R93" s="5" t="s">
        <v>422</v>
      </c>
      <c r="S93" s="5" t="s">
        <v>423</v>
      </c>
      <c r="T93" s="5" t="s">
        <v>424</v>
      </c>
      <c r="U93" s="5" t="s">
        <v>425</v>
      </c>
      <c r="V93" s="4"/>
      <c r="W93" s="5" t="s">
        <v>426</v>
      </c>
      <c r="X93" s="5" t="s">
        <v>427</v>
      </c>
      <c r="Y93" s="4"/>
      <c r="Z93" s="5" t="s">
        <v>83</v>
      </c>
      <c r="AA93" s="5" t="s">
        <v>130</v>
      </c>
      <c r="AB93" s="5" t="s">
        <v>90</v>
      </c>
      <c r="AC93" s="5" t="s">
        <v>417</v>
      </c>
      <c r="AD93" s="5" t="s">
        <v>418</v>
      </c>
      <c r="AE93" s="5" t="s">
        <v>66</v>
      </c>
      <c r="AF93" s="5"/>
      <c r="AG93" s="5" t="s">
        <v>428</v>
      </c>
    </row>
    <row r="94" spans="1:33" ht="17.100000000000001" customHeight="1">
      <c r="A94" s="1" t="s">
        <v>419</v>
      </c>
      <c r="D94" s="1" t="s">
        <v>81</v>
      </c>
      <c r="E94" s="13" t="str">
        <f t="shared" si="8"/>
        <v>deSousa</v>
      </c>
      <c r="F94" s="13" t="str">
        <f t="array" ref="F94">_xlfn.LET(
 _xlpm.authors,_xlfn.TEXTBEFORE(A94," ("&amp;G94&amp;")"),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4" s="13" t="str">
        <f t="shared" si="9"/>
        <v>2010</v>
      </c>
      <c r="H94" s="13" t="str">
        <f t="shared" si="10"/>
        <v>deSousa_etal_2010</v>
      </c>
      <c r="I94" s="13" t="str">
        <f t="shared" si="14"/>
        <v>10.1016%2Fj.jhevol.2009.11.011</v>
      </c>
      <c r="J94" s="13" t="str">
        <f t="shared" si="11"/>
        <v>deSousa_etal_2010_Table1</v>
      </c>
      <c r="K94" s="13" t="str">
        <f t="shared" si="12"/>
        <v>10.1016%2Fj.jhevol.2009.11.011_Table1</v>
      </c>
      <c r="L94" s="13" t="str">
        <f t="array" ref="L94">IFERROR(INDEX(AUTO_Public_TSV_FileList!$A$1:$A$1000,MATCH(TRUE(),EXACT(K94,IFERROR(_xlfn.TEXTBEFORE(AUTO_Public_TSV_FileList!$A$1:$A$1000,".tsv"),"")),0)),"notfound")</f>
        <v>10.1016%2Fj.jhevol.2009.11.011_Table1.tsv</v>
      </c>
      <c r="M94" s="5" t="s">
        <v>429</v>
      </c>
      <c r="N94" s="5" t="s">
        <v>35</v>
      </c>
      <c r="O94" s="4"/>
      <c r="P94" s="5" t="s">
        <v>36</v>
      </c>
      <c r="Q94" s="4"/>
      <c r="R94" s="4"/>
      <c r="S94" s="4"/>
      <c r="T94" s="4"/>
      <c r="U94" s="4"/>
      <c r="V94" s="4"/>
      <c r="W94" s="5" t="s">
        <v>426</v>
      </c>
      <c r="X94" s="5" t="s">
        <v>430</v>
      </c>
      <c r="Y94" s="4"/>
      <c r="Z94" s="5" t="s">
        <v>431</v>
      </c>
      <c r="AA94" s="5" t="s">
        <v>130</v>
      </c>
      <c r="AB94" s="5" t="s">
        <v>90</v>
      </c>
      <c r="AC94" s="5" t="s">
        <v>417</v>
      </c>
      <c r="AD94" s="5" t="s">
        <v>418</v>
      </c>
      <c r="AE94" s="5" t="s">
        <v>66</v>
      </c>
      <c r="AF94" s="5"/>
      <c r="AG94" s="4"/>
    </row>
    <row r="95" spans="1:33" ht="17.100000000000001" customHeight="1">
      <c r="A95" s="1" t="s">
        <v>432</v>
      </c>
      <c r="D95" s="1" t="s">
        <v>81</v>
      </c>
      <c r="E95" s="13" t="str">
        <f t="shared" si="8"/>
        <v>deSousa</v>
      </c>
      <c r="F95" s="13" t="str">
        <f t="array" ref="F95">_xlfn.LET(
 _xlpm.authors,_xlfn.TEXTBEFORE(A95," ("&amp;G95&amp;")"),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5" s="13" t="str">
        <f t="shared" si="9"/>
        <v>2009</v>
      </c>
      <c r="H95" s="13" t="str">
        <f t="shared" si="10"/>
        <v>deSousa_etal_2009</v>
      </c>
      <c r="I95" s="13" t="str">
        <f t="shared" si="14"/>
        <v>10.1093%2Fcercor%2Fbhp158</v>
      </c>
      <c r="J95" s="13" t="str">
        <f t="shared" si="11"/>
        <v>deSousa_etal_2009_Table1</v>
      </c>
      <c r="K95" s="13" t="str">
        <f t="shared" si="12"/>
        <v>10.1093%2Fcercor%2Fbhp158_Table1</v>
      </c>
      <c r="L95" s="13" t="str">
        <f t="array" ref="L95">IFERROR(INDEX(AUTO_Public_TSV_FileList!$A$1:$A$1000,MATCH(TRUE(),EXACT(K95,IFERROR(_xlfn.TEXTBEFORE(AUTO_Public_TSV_FileList!$A$1:$A$1000,".tsv"),"")),0)),"notfound")</f>
        <v>10.1093%2Fcercor%2Fbhp158_Table1.tsv</v>
      </c>
      <c r="M95" s="5" t="s">
        <v>433</v>
      </c>
      <c r="N95" s="5" t="s">
        <v>35</v>
      </c>
      <c r="O95" s="4"/>
      <c r="P95" s="4" t="s">
        <v>36</v>
      </c>
      <c r="Q95" s="4"/>
      <c r="R95" s="4" t="s">
        <v>434</v>
      </c>
      <c r="S95" s="4" t="s">
        <v>435</v>
      </c>
      <c r="T95" s="4"/>
      <c r="U95" s="4" t="s">
        <v>436</v>
      </c>
      <c r="V95" s="4"/>
      <c r="W95" s="4" t="s">
        <v>437</v>
      </c>
      <c r="X95" s="5" t="s">
        <v>438</v>
      </c>
      <c r="Y95" s="4"/>
      <c r="Z95" s="5" t="s">
        <v>83</v>
      </c>
      <c r="AA95" s="5" t="s">
        <v>439</v>
      </c>
      <c r="AB95" s="5" t="s">
        <v>440</v>
      </c>
      <c r="AC95" s="5" t="s">
        <v>417</v>
      </c>
      <c r="AD95" s="5" t="s">
        <v>417</v>
      </c>
      <c r="AE95" s="5" t="s">
        <v>179</v>
      </c>
      <c r="AF95" s="5"/>
      <c r="AG95" s="4" t="s">
        <v>441</v>
      </c>
    </row>
    <row r="96" spans="1:33" ht="17.100000000000001" customHeight="1">
      <c r="A96" s="1" t="s">
        <v>432</v>
      </c>
      <c r="D96" s="1" t="s">
        <v>70</v>
      </c>
      <c r="E96" s="13" t="str">
        <f t="shared" si="8"/>
        <v>deSousa</v>
      </c>
      <c r="F96" s="13" t="str">
        <f t="array" ref="F96">_xlfn.LET(
 _xlpm.authors,_xlfn.TEXTBEFORE(A96," ("&amp;G96&amp;")"),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6" s="13" t="str">
        <f t="shared" si="9"/>
        <v>2009</v>
      </c>
      <c r="H96" s="13" t="str">
        <f t="shared" si="10"/>
        <v>deSousa_etal_2009</v>
      </c>
      <c r="I96" s="13" t="str">
        <f t="shared" si="14"/>
        <v>10.1093%2Fcercor%2Fbhp158</v>
      </c>
      <c r="J96" s="13" t="str">
        <f t="shared" si="11"/>
        <v>deSousa_etal_2009_Table2</v>
      </c>
      <c r="K96" s="13" t="str">
        <f t="shared" si="12"/>
        <v>10.1093%2Fcercor%2Fbhp158_Table2</v>
      </c>
      <c r="L96" s="13" t="str">
        <f t="array" ref="L96">IFERROR(INDEX(AUTO_Public_TSV_FileList!$A$1:$A$1000,MATCH(TRUE(),EXACT(K96,IFERROR(_xlfn.TEXTBEFORE(AUTO_Public_TSV_FileList!$A$1:$A$1000,".tsv"),"")),0)),"notfound")</f>
        <v>10.1093%2Fcercor%2Fbhp158_Table2.tsv</v>
      </c>
      <c r="M96" s="5" t="s">
        <v>442</v>
      </c>
      <c r="N96" s="5" t="s">
        <v>35</v>
      </c>
      <c r="O96" s="4"/>
      <c r="P96" s="4" t="s">
        <v>36</v>
      </c>
      <c r="Q96" s="4"/>
      <c r="R96" s="4" t="s">
        <v>434</v>
      </c>
      <c r="S96" s="4" t="s">
        <v>435</v>
      </c>
      <c r="T96" s="4"/>
      <c r="U96" s="4" t="s">
        <v>436</v>
      </c>
      <c r="V96" s="4"/>
      <c r="W96" s="4" t="s">
        <v>437</v>
      </c>
      <c r="X96" s="5" t="s">
        <v>438</v>
      </c>
      <c r="Y96" s="4"/>
      <c r="Z96" s="5" t="s">
        <v>83</v>
      </c>
      <c r="AA96" s="5" t="s">
        <v>439</v>
      </c>
      <c r="AB96" s="5" t="s">
        <v>440</v>
      </c>
      <c r="AC96" s="5" t="s">
        <v>417</v>
      </c>
      <c r="AD96" s="5" t="s">
        <v>417</v>
      </c>
      <c r="AE96" s="5" t="s">
        <v>179</v>
      </c>
      <c r="AF96" s="5"/>
      <c r="AG96" s="4" t="s">
        <v>441</v>
      </c>
    </row>
    <row r="97" spans="1:33" ht="17.100000000000001" customHeight="1">
      <c r="A97" s="17" t="s">
        <v>443</v>
      </c>
      <c r="D97" s="17" t="s">
        <v>444</v>
      </c>
      <c r="E97" s="13" t="str">
        <f t="shared" si="8"/>
        <v>deSousa</v>
      </c>
      <c r="F97" s="13" t="str">
        <f t="array" ref="F97">_xlfn.LET(
 _xlpm.authors,_xlfn.TEXTBEFORE(A97," ("&amp;G97&amp;")"),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7" s="13" t="str">
        <f t="shared" si="9"/>
        <v>2022</v>
      </c>
      <c r="H97" s="13" t="str">
        <f t="shared" si="10"/>
        <v>deSousa_etal_2022</v>
      </c>
      <c r="I97" s="13" t="str">
        <f t="shared" si="14"/>
        <v>10.1016%2Fj.neubiorev.2022.104550</v>
      </c>
      <c r="J97" s="13" t="str">
        <f t="shared" si="11"/>
        <v>deSousa_etal_2022_acuityblind.csv</v>
      </c>
      <c r="K97" s="13" t="str">
        <f t="shared" si="12"/>
        <v>10.1016%2Fj.neubiorev.2022.104550_acuityblind.csv</v>
      </c>
      <c r="L97" s="13" t="str">
        <f t="array" ref="L97">IFERROR(INDEX(AUTO_Public_TSV_FileList!$A$1:$A$1000,MATCH(TRUE(),EXACT(K97,IFERROR(_xlfn.TEXTBEFORE(AUTO_Public_TSV_FileList!$A$1:$A$1000,".tsv"),"")),0)),"notfound")</f>
        <v>10.1016%2Fj.neubiorev.2022.104550_acuityblind.csv.tsv</v>
      </c>
      <c r="M97" s="4" t="s">
        <v>444</v>
      </c>
      <c r="N97" s="4"/>
      <c r="O97" s="4"/>
      <c r="P97" s="4" t="s">
        <v>36</v>
      </c>
      <c r="Q97" s="4"/>
      <c r="R97" s="4"/>
      <c r="S97" s="4"/>
      <c r="T97" s="4"/>
      <c r="U97" s="4"/>
      <c r="V97" s="4"/>
      <c r="W97" s="4"/>
      <c r="X97" s="4"/>
      <c r="Y97" s="4"/>
      <c r="Z97" s="4"/>
      <c r="AA97" s="4"/>
      <c r="AB97" s="4"/>
      <c r="AC97" s="4"/>
      <c r="AD97" s="4"/>
      <c r="AE97" s="4"/>
      <c r="AF97" s="4"/>
      <c r="AG97" s="4"/>
    </row>
    <row r="98" spans="1:33" ht="17.100000000000001" customHeight="1">
      <c r="A98" s="2" t="s">
        <v>445</v>
      </c>
      <c r="B98" s="16"/>
      <c r="C98" s="16"/>
      <c r="D98" s="2" t="s">
        <v>81</v>
      </c>
      <c r="E98" s="13" t="str">
        <f t="shared" si="8"/>
        <v>Deaner</v>
      </c>
      <c r="F98" s="13" t="str">
        <f t="array" ref="F98">_xlfn.LET(
 _xlpm.authors,_xlfn.TEXTBEFORE(A98," ("&amp;G98&amp;")"),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98" s="13" t="str">
        <f t="shared" si="9"/>
        <v>2006</v>
      </c>
      <c r="H98" s="13" t="str">
        <f t="shared" si="10"/>
        <v>Deaner_etal_2006</v>
      </c>
      <c r="I98" s="13" t="str">
        <f t="shared" si="14"/>
        <v>10.1177%2F147470490600400114</v>
      </c>
      <c r="J98" s="13" t="str">
        <f t="shared" si="11"/>
        <v>Deaner_etal_2006_Table1</v>
      </c>
      <c r="K98" s="13" t="str">
        <f t="shared" ref="K98:K129" si="15">I98 &amp; "_" &amp; SUBSTITUTE(SUBSTITUTE(SUBSTITUTE(D98,CHAR(160),"")," ",""),"_","")</f>
        <v>10.1177%2F147470490600400114_Table1</v>
      </c>
      <c r="L98" s="13" t="str">
        <f t="array" ref="L98">IFERROR(INDEX(AUTO_Public_TSV_FileList!$A$1:$A$1000,MATCH(TRUE(),EXACT(K98,IFERROR(_xlfn.TEXTBEFORE(AUTO_Public_TSV_FileList!$A$1:$A$1000,".tsv"),"")),0)),"notfound")</f>
        <v>10.1177%2F147470490600400114_Table1.tsv</v>
      </c>
      <c r="M98" s="3" t="s">
        <v>446</v>
      </c>
      <c r="N98" s="5" t="s">
        <v>35</v>
      </c>
      <c r="O98" s="4"/>
      <c r="P98" s="4" t="s">
        <v>36</v>
      </c>
      <c r="Q98" s="3"/>
      <c r="R98" s="3"/>
      <c r="S98" s="3" t="s">
        <v>338</v>
      </c>
      <c r="T98" s="3" t="s">
        <v>339</v>
      </c>
      <c r="U98" s="3"/>
      <c r="V98" s="3" t="s">
        <v>340</v>
      </c>
      <c r="W98" s="7" t="s">
        <v>100</v>
      </c>
      <c r="X98" s="3" t="s">
        <v>447</v>
      </c>
      <c r="Y98" s="3" t="s">
        <v>447</v>
      </c>
      <c r="Z98" s="3"/>
      <c r="AA98" s="3"/>
      <c r="AB98" s="7" t="s">
        <v>448</v>
      </c>
      <c r="AC98" s="4"/>
      <c r="AD98" s="3"/>
      <c r="AE98" s="7" t="s">
        <v>66</v>
      </c>
      <c r="AF98" s="7"/>
      <c r="AG98" s="4" t="s">
        <v>449</v>
      </c>
    </row>
    <row r="99" spans="1:33" ht="17.100000000000001" customHeight="1">
      <c r="A99" s="1" t="s">
        <v>450</v>
      </c>
      <c r="D99" s="1" t="s">
        <v>451</v>
      </c>
      <c r="E99" s="13" t="str">
        <f t="shared" si="8"/>
        <v>DeCasien</v>
      </c>
      <c r="F99" s="13" t="str">
        <f t="array" ref="F99">_xlfn.LET(
 _xlpm.authors,_xlfn.TEXTBEFORE(A99," ("&amp;G99&amp;")"),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99" s="13" t="str">
        <f t="shared" si="9"/>
        <v>2019</v>
      </c>
      <c r="H99" s="13" t="str">
        <f t="shared" si="10"/>
        <v>DeCasien_Higham_2019</v>
      </c>
      <c r="I99" s="13" t="str">
        <f t="shared" si="14"/>
        <v>10.1038%2Fs41559-019-0969-0</v>
      </c>
      <c r="J99" s="13" t="str">
        <f t="shared" si="11"/>
        <v>DeCasien_Higham_2019_ActivityPeriodData</v>
      </c>
      <c r="K99" s="13" t="str">
        <f t="shared" si="15"/>
        <v>10.1038%2Fs41559-019-0969-0_ActivityPeriodData</v>
      </c>
      <c r="L99" s="13" t="str">
        <f t="array" ref="L99">IFERROR(INDEX(AUTO_Public_TSV_FileList!$A$1:$A$1000,MATCH(TRUE(),EXACT(K99,IFERROR(_xlfn.TEXTBEFORE(AUTO_Public_TSV_FileList!$A$1:$A$1000,".tsv"),"")),0)),"notfound")</f>
        <v>10.1038%2Fs41559-019-0969-0_ActivityPeriodData.tsv</v>
      </c>
      <c r="M99" s="5" t="s">
        <v>452</v>
      </c>
      <c r="N99" s="5" t="s">
        <v>35</v>
      </c>
      <c r="O99" s="4"/>
      <c r="P99" s="4" t="s">
        <v>36</v>
      </c>
      <c r="Q99" s="4"/>
      <c r="R99" s="5" t="s">
        <v>453</v>
      </c>
      <c r="S99" s="4"/>
      <c r="T99" s="4"/>
      <c r="U99" s="4"/>
      <c r="V99" s="4"/>
      <c r="W99" s="5" t="s">
        <v>100</v>
      </c>
      <c r="X99" s="5" t="s">
        <v>454</v>
      </c>
      <c r="Y99" s="4"/>
      <c r="Z99" s="5"/>
      <c r="AA99" s="4"/>
      <c r="AB99" s="5" t="s">
        <v>455</v>
      </c>
      <c r="AC99" s="4"/>
      <c r="AD99" s="4"/>
      <c r="AE99" s="5" t="s">
        <v>179</v>
      </c>
      <c r="AF99" s="5"/>
      <c r="AG99" s="4"/>
    </row>
    <row r="100" spans="1:33" ht="17.100000000000001" customHeight="1">
      <c r="A100" s="1" t="s">
        <v>450</v>
      </c>
      <c r="D100" s="1" t="s">
        <v>456</v>
      </c>
      <c r="E100" s="13" t="str">
        <f t="shared" si="8"/>
        <v>DeCasien</v>
      </c>
      <c r="F100" s="13" t="str">
        <f t="array" ref="F100">_xlfn.LET(
 _xlpm.authors,_xlfn.TEXTBEFORE(A100," ("&amp;G100&amp;")"),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0" s="13" t="str">
        <f t="shared" si="9"/>
        <v>2019</v>
      </c>
      <c r="H100" s="13" t="str">
        <f t="shared" si="10"/>
        <v>DeCasien_Higham_2019</v>
      </c>
      <c r="I100" s="13" t="str">
        <f t="shared" si="14"/>
        <v>10.1038%2Fs41559-019-0969-0</v>
      </c>
      <c r="J100" s="13" t="str">
        <f t="shared" si="11"/>
        <v>DeCasien_Higham_2019_BrainRegionDatamm3</v>
      </c>
      <c r="K100" s="13" t="str">
        <f t="shared" si="15"/>
        <v>10.1038%2Fs41559-019-0969-0_BrainRegionDatamm3</v>
      </c>
      <c r="L100" s="13" t="str">
        <f t="array" ref="L100">IFERROR(INDEX(AUTO_Public_TSV_FileList!$A$1:$A$1000,MATCH(TRUE(),EXACT(K100,IFERROR(_xlfn.TEXTBEFORE(AUTO_Public_TSV_FileList!$A$1:$A$1000,".tsv"),"")),0)),"notfound")</f>
        <v>10.1038%2Fs41559-019-0969-0_BrainRegionDatamm3.tsv</v>
      </c>
      <c r="M100" s="5" t="s">
        <v>457</v>
      </c>
      <c r="N100" s="5" t="s">
        <v>35</v>
      </c>
      <c r="O100" s="4"/>
      <c r="P100" s="4" t="s">
        <v>36</v>
      </c>
      <c r="Q100" s="4"/>
      <c r="R100" s="5" t="s">
        <v>453</v>
      </c>
      <c r="S100" s="4"/>
      <c r="T100" s="4"/>
      <c r="U100" s="4"/>
      <c r="V100" s="4"/>
      <c r="W100" s="5" t="s">
        <v>100</v>
      </c>
      <c r="X100" s="5" t="s">
        <v>458</v>
      </c>
      <c r="Y100" s="4"/>
      <c r="Z100" s="5" t="s">
        <v>83</v>
      </c>
      <c r="AA100" s="4"/>
      <c r="AB100" s="5" t="s">
        <v>90</v>
      </c>
      <c r="AC100" s="4"/>
      <c r="AD100" s="4"/>
      <c r="AE100" s="5" t="s">
        <v>459</v>
      </c>
      <c r="AF100" s="5" t="s">
        <v>460</v>
      </c>
      <c r="AG100" s="4"/>
    </row>
    <row r="101" spans="1:33" ht="17.100000000000001" customHeight="1">
      <c r="A101" s="1" t="s">
        <v>450</v>
      </c>
      <c r="D101" s="1" t="s">
        <v>461</v>
      </c>
      <c r="E101" s="13" t="str">
        <f t="shared" si="8"/>
        <v>DeCasien</v>
      </c>
      <c r="F101" s="13" t="str">
        <f t="array" ref="F101">_xlfn.LET(
 _xlpm.authors,_xlfn.TEXTBEFORE(A101," ("&amp;G101&amp;")"),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1" s="13" t="str">
        <f t="shared" si="9"/>
        <v>2019</v>
      </c>
      <c r="H101" s="13" t="str">
        <f t="shared" si="10"/>
        <v>DeCasien_Higham_2019</v>
      </c>
      <c r="I101" s="13" t="str">
        <f t="shared" si="14"/>
        <v>10.1038%2Fs41559-019-0969-0</v>
      </c>
      <c r="J101" s="13" t="str">
        <f t="shared" si="11"/>
        <v>DeCasien_Higham_2019_BrainRegionDataNotes</v>
      </c>
      <c r="K101" s="13" t="str">
        <f t="shared" si="15"/>
        <v>10.1038%2Fs41559-019-0969-0_BrainRegionDataNotes</v>
      </c>
      <c r="L101" s="13" t="str">
        <f t="array" ref="L101">IFERROR(INDEX(AUTO_Public_TSV_FileList!$A$1:$A$1000,MATCH(TRUE(),EXACT(K101,IFERROR(_xlfn.TEXTBEFORE(AUTO_Public_TSV_FileList!$A$1:$A$1000,".tsv"),"")),0)),"notfound")</f>
        <v>10.1038%2Fs41559-019-0969-0_BrainRegionDataNotes.tsv</v>
      </c>
      <c r="M101" s="5" t="s">
        <v>461</v>
      </c>
      <c r="N101" s="5" t="s">
        <v>35</v>
      </c>
      <c r="O101" s="4"/>
      <c r="P101" s="4" t="s">
        <v>36</v>
      </c>
      <c r="Q101" s="4"/>
      <c r="R101" s="5" t="s">
        <v>453</v>
      </c>
      <c r="S101" s="4"/>
      <c r="T101" s="4"/>
      <c r="U101" s="4"/>
      <c r="V101" s="4"/>
      <c r="W101" s="5" t="s">
        <v>100</v>
      </c>
      <c r="X101" s="5" t="s">
        <v>458</v>
      </c>
      <c r="Y101" s="4"/>
      <c r="Z101" s="5" t="s">
        <v>83</v>
      </c>
      <c r="AA101" s="4"/>
      <c r="AB101" s="5" t="s">
        <v>90</v>
      </c>
      <c r="AC101" s="4"/>
      <c r="AD101" s="4"/>
      <c r="AE101" s="5" t="s">
        <v>459</v>
      </c>
      <c r="AF101" s="5" t="s">
        <v>460</v>
      </c>
      <c r="AG101" s="4"/>
    </row>
    <row r="102" spans="1:33" ht="17.100000000000001" customHeight="1">
      <c r="A102" s="1" t="s">
        <v>450</v>
      </c>
      <c r="D102" s="1" t="s">
        <v>462</v>
      </c>
      <c r="E102" s="13" t="str">
        <f t="shared" si="8"/>
        <v>DeCasien</v>
      </c>
      <c r="F102" s="13" t="str">
        <f t="array" ref="F102">_xlfn.LET(
 _xlpm.authors,_xlfn.TEXTBEFORE(A102," ("&amp;G102&amp;")"),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2" s="13" t="str">
        <f t="shared" si="9"/>
        <v>2019</v>
      </c>
      <c r="H102" s="13" t="str">
        <f t="shared" si="10"/>
        <v>DeCasien_Higham_2019</v>
      </c>
      <c r="I102" s="13" t="str">
        <f t="shared" si="14"/>
        <v>10.1038%2Fs41559-019-0969-0</v>
      </c>
      <c r="J102" s="13" t="str">
        <f t="shared" si="11"/>
        <v>DeCasien_Higham_2019_DietData</v>
      </c>
      <c r="K102" s="13" t="str">
        <f t="shared" si="15"/>
        <v>10.1038%2Fs41559-019-0969-0_DietData</v>
      </c>
      <c r="L102" s="13" t="str">
        <f t="array" ref="L102">IFERROR(INDEX(AUTO_Public_TSV_FileList!$A$1:$A$1000,MATCH(TRUE(),EXACT(K102,IFERROR(_xlfn.TEXTBEFORE(AUTO_Public_TSV_FileList!$A$1:$A$1000,".tsv"),"")),0)),"notfound")</f>
        <v>10.1038%2Fs41559-019-0969-0_DietData.tsv</v>
      </c>
      <c r="M102" s="5" t="s">
        <v>463</v>
      </c>
      <c r="N102" s="5" t="s">
        <v>35</v>
      </c>
      <c r="O102" s="4"/>
      <c r="P102" s="4" t="s">
        <v>36</v>
      </c>
      <c r="Q102" s="4"/>
      <c r="R102" s="5" t="s">
        <v>453</v>
      </c>
      <c r="S102" s="4"/>
      <c r="T102" s="4"/>
      <c r="U102" s="4"/>
      <c r="V102" s="4"/>
      <c r="W102" s="5" t="s">
        <v>100</v>
      </c>
      <c r="X102" s="5" t="s">
        <v>464</v>
      </c>
      <c r="Y102" s="4"/>
      <c r="Z102" s="5"/>
      <c r="AA102" s="4"/>
      <c r="AB102" s="5" t="s">
        <v>465</v>
      </c>
      <c r="AC102" s="4"/>
      <c r="AD102" s="4"/>
      <c r="AE102" s="5" t="s">
        <v>179</v>
      </c>
      <c r="AF102" s="5"/>
      <c r="AG102" s="4"/>
    </row>
    <row r="103" spans="1:33" ht="17.100000000000001" customHeight="1">
      <c r="A103" s="1" t="s">
        <v>450</v>
      </c>
      <c r="D103" s="1" t="s">
        <v>466</v>
      </c>
      <c r="E103" s="13" t="str">
        <f t="shared" si="8"/>
        <v>DeCasien</v>
      </c>
      <c r="F103" s="13" t="str">
        <f t="array" ref="F103">_xlfn.LET(
 _xlpm.authors,_xlfn.TEXTBEFORE(A103," ("&amp;G103&amp;")"),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3" s="13" t="str">
        <f t="shared" si="9"/>
        <v>2019</v>
      </c>
      <c r="H103" s="13" t="str">
        <f t="shared" si="10"/>
        <v>DeCasien_Higham_2019</v>
      </c>
      <c r="I103" s="13" t="str">
        <f t="shared" si="14"/>
        <v>10.1038%2Fs41559-019-0969-0</v>
      </c>
      <c r="J103" s="13" t="str">
        <f t="shared" si="11"/>
        <v>DeCasien_Higham_2019_DQIdata</v>
      </c>
      <c r="K103" s="13" t="str">
        <f t="shared" si="15"/>
        <v>10.1038%2Fs41559-019-0969-0_DQIdata</v>
      </c>
      <c r="L103" s="13" t="str">
        <f t="array" ref="L103">IFERROR(INDEX(AUTO_Public_TSV_FileList!$A$1:$A$1000,MATCH(TRUE(),EXACT(K103,IFERROR(_xlfn.TEXTBEFORE(AUTO_Public_TSV_FileList!$A$1:$A$1000,".tsv"),"")),0)),"notfound")</f>
        <v>10.1038%2Fs41559-019-0969-0_DQIdata.tsv</v>
      </c>
      <c r="M103" s="5" t="s">
        <v>466</v>
      </c>
      <c r="N103" s="5" t="s">
        <v>35</v>
      </c>
      <c r="O103" s="4"/>
      <c r="P103" s="4" t="s">
        <v>36</v>
      </c>
      <c r="Q103" s="4"/>
      <c r="R103" s="5" t="s">
        <v>453</v>
      </c>
      <c r="S103" s="4"/>
      <c r="T103" s="4"/>
      <c r="U103" s="4"/>
      <c r="V103" s="4"/>
      <c r="W103" s="5" t="s">
        <v>100</v>
      </c>
      <c r="X103" s="5"/>
      <c r="Y103" s="4"/>
      <c r="Z103" s="5"/>
      <c r="AA103" s="4"/>
      <c r="AB103" s="5"/>
      <c r="AC103" s="4"/>
      <c r="AD103" s="4"/>
      <c r="AE103" s="5" t="s">
        <v>179</v>
      </c>
      <c r="AF103" s="5"/>
      <c r="AG103" s="4"/>
    </row>
    <row r="104" spans="1:33" ht="17.100000000000001" customHeight="1">
      <c r="A104" s="1" t="s">
        <v>450</v>
      </c>
      <c r="D104" s="1" t="s">
        <v>467</v>
      </c>
      <c r="E104" s="13" t="str">
        <f t="shared" si="8"/>
        <v>DeCasien</v>
      </c>
      <c r="F104" s="13" t="str">
        <f t="array" ref="F104">_xlfn.LET(
 _xlpm.authors,_xlfn.TEXTBEFORE(A104," ("&amp;G104&amp;")"),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4" s="13" t="str">
        <f t="shared" si="9"/>
        <v>2019</v>
      </c>
      <c r="H104" s="13" t="str">
        <f t="shared" si="10"/>
        <v>DeCasien_Higham_2019</v>
      </c>
      <c r="I104" s="13" t="str">
        <f t="shared" si="14"/>
        <v>10.1038%2Fs41559-019-0969-0</v>
      </c>
      <c r="J104" s="13" t="str">
        <f t="shared" si="11"/>
        <v>DeCasien_Higham_2019_GroupSizeDataaggregated</v>
      </c>
      <c r="K104" s="13" t="str">
        <f t="shared" si="15"/>
        <v>10.1038%2Fs41559-019-0969-0_GroupSizeDataaggregated</v>
      </c>
      <c r="L104" s="13" t="str">
        <f t="array" ref="L104">IFERROR(INDEX(AUTO_Public_TSV_FileList!$A$1:$A$1000,MATCH(TRUE(),EXACT(K104,IFERROR(_xlfn.TEXTBEFORE(AUTO_Public_TSV_FileList!$A$1:$A$1000,".tsv"),"")),0)),"notfound")</f>
        <v>10.1038%2Fs41559-019-0969-0_GroupSizeDataaggregated.tsv</v>
      </c>
      <c r="M104" s="5" t="s">
        <v>468</v>
      </c>
      <c r="N104" s="5" t="s">
        <v>35</v>
      </c>
      <c r="O104" s="4"/>
      <c r="P104" s="4" t="s">
        <v>36</v>
      </c>
      <c r="Q104" s="4"/>
      <c r="R104" s="5" t="s">
        <v>453</v>
      </c>
      <c r="S104" s="4"/>
      <c r="T104" s="4"/>
      <c r="U104" s="4"/>
      <c r="V104" s="4"/>
      <c r="W104" s="5" t="s">
        <v>100</v>
      </c>
      <c r="X104" s="5" t="s">
        <v>469</v>
      </c>
      <c r="Y104" s="4"/>
      <c r="Z104" s="5"/>
      <c r="AA104" s="4"/>
      <c r="AB104" s="5" t="s">
        <v>470</v>
      </c>
      <c r="AC104" s="4"/>
      <c r="AD104" s="4"/>
      <c r="AE104" s="5" t="s">
        <v>179</v>
      </c>
      <c r="AF104" s="5"/>
      <c r="AG104" s="4"/>
    </row>
    <row r="105" spans="1:33" ht="17.100000000000001" customHeight="1">
      <c r="A105" s="1" t="s">
        <v>450</v>
      </c>
      <c r="D105" s="1" t="s">
        <v>471</v>
      </c>
      <c r="E105" s="13" t="str">
        <f t="shared" si="8"/>
        <v>DeCasien</v>
      </c>
      <c r="F105" s="13" t="str">
        <f t="array" ref="F105">_xlfn.LET(
 _xlpm.authors,_xlfn.TEXTBEFORE(A105," ("&amp;G105&amp;")"),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5" s="13" t="str">
        <f t="shared" si="9"/>
        <v>2019</v>
      </c>
      <c r="H105" s="13" t="str">
        <f t="shared" si="10"/>
        <v>DeCasien_Higham_2019</v>
      </c>
      <c r="I105" s="13" t="str">
        <f t="shared" si="14"/>
        <v>10.1038%2Fs41559-019-0969-0</v>
      </c>
      <c r="J105" s="13" t="str">
        <f t="shared" si="11"/>
        <v>DeCasien_Higham_2019_GroupSizeDatafrom38</v>
      </c>
      <c r="K105" s="13" t="str">
        <f t="shared" si="15"/>
        <v>10.1038%2Fs41559-019-0969-0_GroupSizeDatafrom38</v>
      </c>
      <c r="L105" s="13" t="str">
        <f t="array" ref="L105">IFERROR(INDEX(AUTO_Public_TSV_FileList!$A$1:$A$1000,MATCH(TRUE(),EXACT(K105,IFERROR(_xlfn.TEXTBEFORE(AUTO_Public_TSV_FileList!$A$1:$A$1000,".tsv"),"")),0)),"notfound")</f>
        <v>10.1038%2Fs41559-019-0969-0_GroupSizeDatafrom38.tsv</v>
      </c>
      <c r="M105" s="5" t="s">
        <v>468</v>
      </c>
      <c r="N105" s="5" t="s">
        <v>35</v>
      </c>
      <c r="O105" s="4"/>
      <c r="P105" s="4" t="s">
        <v>36</v>
      </c>
      <c r="Q105" s="4"/>
      <c r="R105" s="5" t="s">
        <v>453</v>
      </c>
      <c r="S105" s="4"/>
      <c r="T105" s="4"/>
      <c r="U105" s="4"/>
      <c r="V105" s="4"/>
      <c r="W105" s="5" t="s">
        <v>100</v>
      </c>
      <c r="X105" s="5" t="s">
        <v>469</v>
      </c>
      <c r="Y105" s="4"/>
      <c r="Z105" s="5"/>
      <c r="AA105" s="4"/>
      <c r="AB105" s="5" t="s">
        <v>470</v>
      </c>
      <c r="AC105" s="4"/>
      <c r="AD105" s="4"/>
      <c r="AE105" s="5" t="s">
        <v>179</v>
      </c>
      <c r="AF105" s="5"/>
      <c r="AG105" s="4"/>
    </row>
    <row r="106" spans="1:33" ht="17.100000000000001" customHeight="1">
      <c r="A106" s="1" t="s">
        <v>450</v>
      </c>
      <c r="D106" s="1" t="s">
        <v>472</v>
      </c>
      <c r="E106" s="13" t="str">
        <f t="shared" si="8"/>
        <v>DeCasien</v>
      </c>
      <c r="F106" s="13" t="str">
        <f t="array" ref="F106">_xlfn.LET(
 _xlpm.authors,_xlfn.TEXTBEFORE(A106," ("&amp;G106&amp;")"),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6" s="13" t="str">
        <f t="shared" si="9"/>
        <v>2019</v>
      </c>
      <c r="H106" s="13" t="str">
        <f t="shared" si="10"/>
        <v>DeCasien_Higham_2019</v>
      </c>
      <c r="I106" s="13" t="str">
        <f t="shared" si="14"/>
        <v>10.1038%2Fs41559-019-0969-0</v>
      </c>
      <c r="J106" s="13" t="str">
        <f t="shared" si="11"/>
        <v>DeCasien_Higham_2019_referencesbraindata</v>
      </c>
      <c r="K106" s="13" t="str">
        <f t="shared" si="15"/>
        <v>10.1038%2Fs41559-019-0969-0_referencesbraindata</v>
      </c>
      <c r="L106" s="13" t="str">
        <f t="array" ref="L106">IFERROR(INDEX(AUTO_Public_TSV_FileList!$A$1:$A$1000,MATCH(TRUE(),EXACT(K106,IFERROR(_xlfn.TEXTBEFORE(AUTO_Public_TSV_FileList!$A$1:$A$1000,".tsv"),"")),0)),"notfound")</f>
        <v>10.1038%2Fs41559-019-0969-0_referencesbraindata.tsv</v>
      </c>
      <c r="M106" s="5" t="s">
        <v>472</v>
      </c>
      <c r="N106" s="5" t="s">
        <v>35</v>
      </c>
      <c r="O106" s="4"/>
      <c r="P106" s="4" t="s">
        <v>36</v>
      </c>
      <c r="Q106" s="4"/>
      <c r="R106" s="5" t="s">
        <v>453</v>
      </c>
      <c r="S106" s="4"/>
      <c r="T106" s="4"/>
      <c r="U106" s="4"/>
      <c r="V106" s="4"/>
      <c r="W106" s="5" t="s">
        <v>100</v>
      </c>
      <c r="X106" s="5"/>
      <c r="Y106" s="4"/>
      <c r="Z106" s="5"/>
      <c r="AA106" s="4"/>
      <c r="AB106" s="5"/>
      <c r="AC106" s="4"/>
      <c r="AD106" s="4"/>
      <c r="AE106" s="5" t="s">
        <v>179</v>
      </c>
      <c r="AF106" s="5"/>
      <c r="AG106" s="4"/>
    </row>
    <row r="107" spans="1:33" ht="17.100000000000001" customHeight="1">
      <c r="A107" s="1" t="s">
        <v>450</v>
      </c>
      <c r="D107" s="1" t="s">
        <v>473</v>
      </c>
      <c r="E107" s="13" t="str">
        <f t="shared" si="8"/>
        <v>DeCasien</v>
      </c>
      <c r="F107" s="13" t="str">
        <f t="array" ref="F107">_xlfn.LET(
 _xlpm.authors,_xlfn.TEXTBEFORE(A107," ("&amp;G107&amp;")"),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7" s="13" t="str">
        <f t="shared" si="9"/>
        <v>2019</v>
      </c>
      <c r="H107" s="13" t="str">
        <f t="shared" si="10"/>
        <v>DeCasien_Higham_2019</v>
      </c>
      <c r="I107" s="13" t="str">
        <f t="shared" si="14"/>
        <v>10.1038%2Fs41559-019-0969-0</v>
      </c>
      <c r="J107" s="13" t="str">
        <f t="shared" si="11"/>
        <v>DeCasien_Higham_2019_SocialSystemData</v>
      </c>
      <c r="K107" s="13" t="str">
        <f t="shared" si="15"/>
        <v>10.1038%2Fs41559-019-0969-0_SocialSystemData</v>
      </c>
      <c r="L107" s="13" t="str">
        <f t="array" ref="L107">IFERROR(INDEX(AUTO_Public_TSV_FileList!$A$1:$A$1000,MATCH(TRUE(),EXACT(K107,IFERROR(_xlfn.TEXTBEFORE(AUTO_Public_TSV_FileList!$A$1:$A$1000,".tsv"),"")),0)),"notfound")</f>
        <v>10.1038%2Fs41559-019-0969-0_SocialSystemData.tsv</v>
      </c>
      <c r="M107" s="5" t="s">
        <v>474</v>
      </c>
      <c r="N107" s="5" t="s">
        <v>35</v>
      </c>
      <c r="O107" s="4"/>
      <c r="P107" s="4" t="s">
        <v>36</v>
      </c>
      <c r="Q107" s="4"/>
      <c r="R107" s="5" t="s">
        <v>453</v>
      </c>
      <c r="S107" s="4"/>
      <c r="T107" s="4"/>
      <c r="U107" s="4"/>
      <c r="V107" s="4"/>
      <c r="W107" s="5" t="s">
        <v>100</v>
      </c>
      <c r="X107" s="5" t="s">
        <v>469</v>
      </c>
      <c r="Y107" s="4"/>
      <c r="Z107" s="5"/>
      <c r="AA107" s="4"/>
      <c r="AB107" s="5" t="s">
        <v>470</v>
      </c>
      <c r="AC107" s="4"/>
      <c r="AD107" s="4"/>
      <c r="AE107" s="5" t="s">
        <v>179</v>
      </c>
      <c r="AF107" s="5"/>
      <c r="AG107" s="4"/>
    </row>
    <row r="108" spans="1:33" ht="17.100000000000001" customHeight="1">
      <c r="A108" s="1" t="s">
        <v>450</v>
      </c>
      <c r="D108" s="1" t="s">
        <v>475</v>
      </c>
      <c r="E108" s="13" t="str">
        <f t="shared" si="8"/>
        <v>DeCasien</v>
      </c>
      <c r="F108" s="13" t="str">
        <f t="array" ref="F108">_xlfn.LET(
 _xlpm.authors,_xlfn.TEXTBEFORE(A108," ("&amp;G108&amp;")"),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Higham</v>
      </c>
      <c r="G108" s="13" t="str">
        <f t="shared" si="9"/>
        <v>2019</v>
      </c>
      <c r="H108" s="13" t="str">
        <f t="shared" si="10"/>
        <v>DeCasien_Higham_2019</v>
      </c>
      <c r="I108" s="13" t="str">
        <f t="shared" si="14"/>
        <v>10.1038%2Fs41559-019-0969-0</v>
      </c>
      <c r="J108" s="13" t="str">
        <f t="shared" si="11"/>
        <v>DeCasien_Higham_2019_SourceRefsfrom38</v>
      </c>
      <c r="K108" s="13" t="str">
        <f t="shared" si="15"/>
        <v>10.1038%2Fs41559-019-0969-0_SourceRefsfrom38</v>
      </c>
      <c r="L108" s="13" t="str">
        <f t="array" ref="L108">IFERROR(INDEX(AUTO_Public_TSV_FileList!$A$1:$A$1000,MATCH(TRUE(),EXACT(K108,IFERROR(_xlfn.TEXTBEFORE(AUTO_Public_TSV_FileList!$A$1:$A$1000,".tsv"),"")),0)),"notfound")</f>
        <v>10.1038%2Fs41559-019-0969-0_SourceRefsfrom38.tsv</v>
      </c>
      <c r="M108" s="5" t="s">
        <v>475</v>
      </c>
      <c r="N108" s="5" t="s">
        <v>35</v>
      </c>
      <c r="O108" s="4"/>
      <c r="P108" s="4" t="s">
        <v>36</v>
      </c>
      <c r="Q108" s="4"/>
      <c r="R108" s="5" t="s">
        <v>453</v>
      </c>
      <c r="S108" s="4"/>
      <c r="T108" s="4"/>
      <c r="U108" s="4"/>
      <c r="V108" s="4"/>
      <c r="W108" s="5" t="s">
        <v>100</v>
      </c>
      <c r="X108" s="5"/>
      <c r="Y108" s="4"/>
      <c r="Z108" s="5"/>
      <c r="AA108" s="4"/>
      <c r="AB108" s="5"/>
      <c r="AC108" s="4"/>
      <c r="AD108" s="4"/>
      <c r="AE108" s="5" t="s">
        <v>179</v>
      </c>
      <c r="AF108" s="5"/>
      <c r="AG108" s="4"/>
    </row>
    <row r="109" spans="1:33" ht="17.100000000000001" customHeight="1">
      <c r="A109" s="2" t="s">
        <v>476</v>
      </c>
      <c r="B109" s="15"/>
      <c r="C109" s="15"/>
      <c r="D109" s="2" t="s">
        <v>477</v>
      </c>
      <c r="E109" s="13" t="str">
        <f t="shared" si="8"/>
        <v>DeCasien</v>
      </c>
      <c r="F109" s="13" t="str">
        <f t="array" ref="F109">_xlfn.LET(
 _xlpm.authors,_xlfn.TEXTBEFORE(A109," ("&amp;G109&amp;")"),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09" s="13" t="str">
        <f t="shared" si="9"/>
        <v>2017</v>
      </c>
      <c r="H109" s="13" t="str">
        <f t="shared" si="10"/>
        <v>DeCasien_etal_2017</v>
      </c>
      <c r="I109" s="13" t="str">
        <f t="shared" si="14"/>
        <v>10.1038%2Fs41559-017-0112</v>
      </c>
      <c r="J109" s="13" t="str">
        <f t="shared" si="11"/>
        <v>DeCasien_etal_2017_BrainData</v>
      </c>
      <c r="K109" s="13" t="str">
        <f t="shared" si="15"/>
        <v>10.1038%2Fs41559-017-0112_BrainData</v>
      </c>
      <c r="L109" s="13" t="str">
        <f t="array" ref="L109">IFERROR(INDEX(AUTO_Public_TSV_FileList!$A$1:$A$1000,MATCH(TRUE(),EXACT(K109,IFERROR(_xlfn.TEXTBEFORE(AUTO_Public_TSV_FileList!$A$1:$A$1000,".tsv"),"")),0)),"notfound")</f>
        <v>10.1038%2Fs41559-017-0112_BrainData.tsv</v>
      </c>
      <c r="M109" s="3"/>
      <c r="N109" s="5"/>
      <c r="O109" s="4"/>
      <c r="P109" s="4" t="s">
        <v>36</v>
      </c>
      <c r="Q109" s="3"/>
      <c r="R109" s="3"/>
      <c r="S109" s="3"/>
      <c r="T109" s="3"/>
      <c r="U109" s="3"/>
      <c r="V109" s="3"/>
      <c r="W109" s="7"/>
      <c r="X109" s="3"/>
      <c r="Y109" s="3"/>
      <c r="Z109" s="3"/>
      <c r="AA109" s="3"/>
      <c r="AB109" s="7"/>
      <c r="AC109" s="4"/>
      <c r="AD109" s="3"/>
      <c r="AE109" s="7"/>
      <c r="AF109" s="7"/>
      <c r="AG109" s="4"/>
    </row>
    <row r="110" spans="1:33" ht="17.100000000000001" customHeight="1">
      <c r="A110" s="2" t="s">
        <v>476</v>
      </c>
      <c r="B110" s="15"/>
      <c r="C110" s="15"/>
      <c r="D110" s="2" t="s">
        <v>472</v>
      </c>
      <c r="E110" s="13" t="str">
        <f t="shared" si="8"/>
        <v>DeCasien</v>
      </c>
      <c r="F110" s="13" t="str">
        <f t="array" ref="F110">_xlfn.LET(
 _xlpm.authors,_xlfn.TEXTBEFORE(A110," ("&amp;G110&amp;")"),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0" s="13" t="str">
        <f t="shared" si="9"/>
        <v>2017</v>
      </c>
      <c r="H110" s="13" t="str">
        <f t="shared" si="10"/>
        <v>DeCasien_etal_2017</v>
      </c>
      <c r="I110" s="13" t="str">
        <f t="shared" si="14"/>
        <v>10.1038%2Fs41559-017-0112</v>
      </c>
      <c r="J110" s="13" t="str">
        <f t="shared" si="11"/>
        <v>DeCasien_etal_2017_referencesbraindata</v>
      </c>
      <c r="K110" s="13" t="str">
        <f t="shared" si="15"/>
        <v>10.1038%2Fs41559-017-0112_referencesbraindata</v>
      </c>
      <c r="L110" s="13" t="str">
        <f t="array" ref="L110">IFERROR(INDEX(AUTO_Public_TSV_FileList!$A$1:$A$1000,MATCH(TRUE(),EXACT(K110,IFERROR(_xlfn.TEXTBEFORE(AUTO_Public_TSV_FileList!$A$1:$A$1000,".tsv"),"")),0)),"notfound")</f>
        <v>10.1038%2Fs41559-017-0112_referencesbraindata.tsv</v>
      </c>
      <c r="M110" s="3"/>
      <c r="N110" s="5"/>
      <c r="O110" s="4"/>
      <c r="P110" s="4" t="s">
        <v>36</v>
      </c>
      <c r="Q110" s="3"/>
      <c r="R110" s="3"/>
      <c r="S110" s="3"/>
      <c r="T110" s="3"/>
      <c r="U110" s="3"/>
      <c r="V110" s="3"/>
      <c r="W110" s="7"/>
      <c r="X110" s="3"/>
      <c r="Y110" s="3"/>
      <c r="Z110" s="3"/>
      <c r="AA110" s="3"/>
      <c r="AB110" s="7"/>
      <c r="AC110" s="4"/>
      <c r="AD110" s="3"/>
      <c r="AE110" s="7"/>
      <c r="AF110" s="7"/>
      <c r="AG110" s="4"/>
    </row>
    <row r="111" spans="1:33" ht="17.100000000000001" customHeight="1">
      <c r="A111" s="1" t="s">
        <v>478</v>
      </c>
      <c r="D111" s="1" t="s">
        <v>34</v>
      </c>
      <c r="E111" s="13" t="str">
        <f t="shared" si="8"/>
        <v>Dell</v>
      </c>
      <c r="F111" s="13" t="str">
        <f t="array" ref="F111">_xlfn.LET(
 _xlpm.authors,_xlfn.TEXTBEFORE(A111," ("&amp;G111&amp;")"),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1" s="13" t="str">
        <f t="shared" si="9"/>
        <v>2016</v>
      </c>
      <c r="H111" s="13" t="str">
        <f t="shared" si="10"/>
        <v>Dell_etal_2016</v>
      </c>
      <c r="I111" s="13" t="str">
        <f t="shared" si="14"/>
        <v>10.1002%2Fcne.23929</v>
      </c>
      <c r="J111" s="13" t="str">
        <f t="shared" si="11"/>
        <v>Dell_etal_2016_Table4</v>
      </c>
      <c r="K111" s="13" t="str">
        <f t="shared" si="15"/>
        <v>10.1002%2Fcne.23929_Table4</v>
      </c>
      <c r="L111" s="13" t="str">
        <f t="array" ref="L111">IFERROR(INDEX(AUTO_Public_TSV_FileList!$A$1:$A$1000,MATCH(TRUE(),EXACT(K111,IFERROR(_xlfn.TEXTBEFORE(AUTO_Public_TSV_FileList!$A$1:$A$1000,".tsv"),"")),0)),"notfound")</f>
        <v>10.1002%2Fcne.23929_Table4.tsv</v>
      </c>
      <c r="M111" s="5"/>
      <c r="N111" s="5"/>
      <c r="O111" s="4" t="s">
        <v>479</v>
      </c>
      <c r="P111" s="4" t="s">
        <v>36</v>
      </c>
      <c r="Q111" s="4"/>
      <c r="R111" s="5"/>
      <c r="S111" s="4"/>
      <c r="T111" s="4"/>
      <c r="U111" s="4"/>
      <c r="V111" s="4"/>
      <c r="W111" s="5"/>
      <c r="X111" s="5"/>
      <c r="Y111" s="4"/>
      <c r="Z111" s="5"/>
      <c r="AA111" s="4"/>
      <c r="AB111" s="5"/>
      <c r="AC111" s="4"/>
      <c r="AD111" s="4"/>
      <c r="AE111" s="5"/>
      <c r="AF111" s="5"/>
      <c r="AG111" s="4"/>
    </row>
    <row r="112" spans="1:33" ht="17.100000000000001" customHeight="1">
      <c r="A112" s="17" t="s">
        <v>480</v>
      </c>
      <c r="D112" s="17" t="s">
        <v>481</v>
      </c>
      <c r="E112" s="13" t="str">
        <f t="shared" si="8"/>
        <v>Demirci</v>
      </c>
      <c r="F112" s="13" t="str">
        <f t="array" ref="F112">_xlfn.LET(
 _xlpm.authors,_xlfn.TEXTBEFORE(A112," ("&amp;G112&amp;")"),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2" s="13" t="str">
        <f t="shared" si="9"/>
        <v>2023</v>
      </c>
      <c r="H112" s="13" t="str">
        <f t="shared" si="10"/>
        <v>Demirci_etal_2023</v>
      </c>
      <c r="I112" s="13" t="str">
        <f t="shared" si="14"/>
        <v>10.1016%2Fj.neuroimage.2023.120283</v>
      </c>
      <c r="J112" s="13" t="str">
        <f t="shared" si="11"/>
        <v>Demirci_etal_2023_Fig.1</v>
      </c>
      <c r="K112" s="13" t="str">
        <f t="shared" si="15"/>
        <v>10.1016%2Fj.neuroimage.2023.120283_Fig.1</v>
      </c>
      <c r="L112" s="13" t="str">
        <f t="array" ref="L112">IFERROR(INDEX(AUTO_Public_TSV_FileList!$A$1:$A$1000,MATCH(TRUE(),EXACT(K112,IFERROR(_xlfn.TEXTBEFORE(AUTO_Public_TSV_FileList!$A$1:$A$1000,".tsv"),"")),0)),"notfound")</f>
        <v>10.1016%2Fj.neuroimage.2023.120283_Fig.1.tsv</v>
      </c>
      <c r="M112" s="4" t="s">
        <v>482</v>
      </c>
      <c r="N112" s="4"/>
      <c r="O112" s="4"/>
      <c r="P112" s="4" t="s">
        <v>36</v>
      </c>
      <c r="Q112" s="4"/>
      <c r="R112" s="4"/>
      <c r="S112" s="4"/>
      <c r="T112" s="4"/>
      <c r="U112" s="4"/>
      <c r="V112" s="4"/>
      <c r="W112" s="4"/>
      <c r="X112" s="4"/>
      <c r="Y112" s="4"/>
      <c r="Z112" s="4"/>
      <c r="AA112" s="4"/>
      <c r="AB112" s="4"/>
      <c r="AC112" s="4"/>
      <c r="AD112" s="4"/>
      <c r="AE112" s="4"/>
      <c r="AF112" s="4"/>
      <c r="AG112" s="4"/>
    </row>
    <row r="113" spans="1:33" ht="17.100000000000001" customHeight="1">
      <c r="A113" s="4" t="s">
        <v>483</v>
      </c>
      <c r="B113" s="9"/>
      <c r="C113" s="9"/>
      <c r="D113" s="4" t="s">
        <v>484</v>
      </c>
      <c r="E113" s="12" t="str">
        <f t="shared" si="8"/>
        <v>Dooley</v>
      </c>
      <c r="F113" s="13" t="str">
        <f t="array" ref="F113">_xlfn.LET(
 _xlpm.authors,_xlfn.TEXTBEFORE(A113," ("&amp;G113&amp;")"),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3" s="13" t="str">
        <f t="shared" si="9"/>
        <v>2012</v>
      </c>
      <c r="H113" s="12" t="str">
        <f t="shared" si="10"/>
        <v>Dooley_etal_2012</v>
      </c>
      <c r="I113" s="12" t="str">
        <f>_xlfn.LET(_xlpm.doi,IF(C113&lt;&gt;"",C113,_xlfn.TEXTAFTER(A113,"https://doi.org/")),SUBSTITUTE(SUBSTITUTE(SUBSTITUTE(SUBSTITUTE(_xlpm.doi,"/","%2F"),":","%3A"),"&lt;","%3C"),"&gt;","%3E"))</f>
        <v>10.1016%2Fj.neuroscience.2012.07.065</v>
      </c>
      <c r="J113" s="12" t="str">
        <f t="shared" si="11"/>
        <v>Dooley_etal_2012_DiscussionText</v>
      </c>
      <c r="K113" s="13" t="str">
        <f t="shared" si="15"/>
        <v>10.1016%2Fj.neuroscience.2012.07.065_DiscussionText</v>
      </c>
      <c r="L113" s="13" t="str">
        <f t="array" ref="L113">IFERROR(INDEX(AUTO_Public_TSV_FileList!$A$1:$A$1000,MATCH(TRUE(),EXACT(K113,IFERROR(_xlfn.TEXTBEFORE(AUTO_Public_TSV_FileList!$A$1:$A$1000,".tsv"),"")),0)),"notfound")</f>
        <v>notfound</v>
      </c>
      <c r="M113" s="4" t="s">
        <v>485</v>
      </c>
      <c r="N113" s="4" t="s">
        <v>364</v>
      </c>
      <c r="O113" s="4" t="s">
        <v>486</v>
      </c>
      <c r="P113" s="4"/>
      <c r="Q113" s="4"/>
      <c r="R113" s="4" t="s">
        <v>487</v>
      </c>
      <c r="S113" s="4"/>
      <c r="T113" s="4" t="s">
        <v>488</v>
      </c>
      <c r="U113" s="4"/>
      <c r="V113" s="4" t="s">
        <v>489</v>
      </c>
      <c r="W113" s="4" t="s">
        <v>490</v>
      </c>
      <c r="X113" s="4" t="s">
        <v>491</v>
      </c>
      <c r="Y113" s="4" t="s">
        <v>492</v>
      </c>
      <c r="Z113" s="4"/>
      <c r="AA113" s="4" t="s">
        <v>493</v>
      </c>
      <c r="AB113" s="4" t="s">
        <v>494</v>
      </c>
      <c r="AC113" s="4" t="s">
        <v>495</v>
      </c>
      <c r="AD113" s="4"/>
      <c r="AE113" s="4" t="s">
        <v>179</v>
      </c>
      <c r="AF113" s="4" t="s">
        <v>496</v>
      </c>
      <c r="AG113" s="4" t="s">
        <v>497</v>
      </c>
    </row>
    <row r="114" spans="1:33" ht="17.100000000000001" customHeight="1">
      <c r="A114" s="4" t="s">
        <v>483</v>
      </c>
      <c r="B114" s="9"/>
      <c r="C114" s="9"/>
      <c r="D114" s="4" t="s">
        <v>362</v>
      </c>
      <c r="E114" s="12" t="str">
        <f t="shared" si="8"/>
        <v>Dooley</v>
      </c>
      <c r="F114" s="13" t="str">
        <f t="array" ref="F114">_xlfn.LET(
 _xlpm.authors,_xlfn.TEXTBEFORE(A114," ("&amp;G114&amp;")"),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4" s="13" t="str">
        <f t="shared" si="9"/>
        <v>2012</v>
      </c>
      <c r="H114" s="12" t="str">
        <f t="shared" si="10"/>
        <v>Dooley_etal_2012</v>
      </c>
      <c r="I114" s="12" t="str">
        <f>_xlfn.LET(_xlpm.doi,IF(C114&lt;&gt;"",C114,_xlfn.TEXTAFTER(A114,"https://doi.org/")),SUBSTITUTE(SUBSTITUTE(SUBSTITUTE(SUBSTITUTE(_xlpm.doi,"/","%2F"),":","%3A"),"&lt;","%3C"),"&gt;","%3E"))</f>
        <v>10.1016%2Fj.neuroscience.2012.07.065</v>
      </c>
      <c r="J114" s="12" t="str">
        <f t="shared" si="11"/>
        <v>Dooley_etal_2012_ResultsText</v>
      </c>
      <c r="K114" s="13" t="str">
        <f t="shared" si="15"/>
        <v>10.1016%2Fj.neuroscience.2012.07.065_ResultsText</v>
      </c>
      <c r="L114" s="13" t="str">
        <f t="array" ref="L114">IFERROR(INDEX(AUTO_Public_TSV_FileList!$A$1:$A$1000,MATCH(TRUE(),EXACT(K114,IFERROR(_xlfn.TEXTBEFORE(AUTO_Public_TSV_FileList!$A$1:$A$1000,".tsv"),"")),0)),"notfound")</f>
        <v>notfound</v>
      </c>
      <c r="M114" s="4" t="s">
        <v>498</v>
      </c>
      <c r="N114" s="4" t="s">
        <v>364</v>
      </c>
      <c r="O114" s="4" t="s">
        <v>499</v>
      </c>
      <c r="P114" s="4"/>
      <c r="Q114" s="4"/>
      <c r="R114" s="4" t="s">
        <v>487</v>
      </c>
      <c r="S114" s="4"/>
      <c r="T114" s="4" t="s">
        <v>500</v>
      </c>
      <c r="U114" s="4"/>
      <c r="V114" s="4" t="s">
        <v>489</v>
      </c>
      <c r="W114" s="4" t="s">
        <v>501</v>
      </c>
      <c r="X114" s="4" t="s">
        <v>491</v>
      </c>
      <c r="Y114" s="4" t="s">
        <v>502</v>
      </c>
      <c r="Z114" s="4"/>
      <c r="AA114" s="4" t="s">
        <v>503</v>
      </c>
      <c r="AB114" s="4" t="s">
        <v>494</v>
      </c>
      <c r="AC114" s="4" t="s">
        <v>495</v>
      </c>
      <c r="AD114" s="4"/>
      <c r="AE114" s="4" t="s">
        <v>66</v>
      </c>
      <c r="AF114" s="4"/>
      <c r="AG114" s="4" t="s">
        <v>504</v>
      </c>
    </row>
    <row r="115" spans="1:33" ht="17.100000000000001" customHeight="1">
      <c r="A115" s="1" t="s">
        <v>505</v>
      </c>
      <c r="D115" s="1" t="s">
        <v>81</v>
      </c>
      <c r="E115" s="13" t="str">
        <f t="shared" si="8"/>
        <v>DosSantos</v>
      </c>
      <c r="F115" s="13" t="str">
        <f t="array" ref="F115">_xlfn.LET(
 _xlpm.authors,_xlfn.TEXTBEFORE(A115," ("&amp;G115&amp;")"),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5" s="13" t="str">
        <f t="shared" si="9"/>
        <v>2020</v>
      </c>
      <c r="H115" s="13" t="str">
        <f t="shared" si="10"/>
        <v>DosSantos_etal_2020</v>
      </c>
      <c r="I115" s="13" t="str">
        <f t="shared" ref="I115:I133" si="16">_xlfn.LET(
_xlpm.doi,IF(C115&lt;&gt;"",C115,_xlfn.TEXTAFTER(A115,"https://doi.org/")),
SUBSTITUTE(
SUBSTITUTE(
SUBSTITUTE(
SUBSTITUTE(
_xlpm.doi,
"/","%2F"),
":","%3A"),
"&lt;","%3C"),
"&gt;","%3E")
)</f>
        <v>10.1523%2FJNEUROSCI.2339-19.2020</v>
      </c>
      <c r="J115" s="13" t="str">
        <f t="shared" si="11"/>
        <v>DosSantos_etal_2020_Table1</v>
      </c>
      <c r="K115" s="13" t="str">
        <f t="shared" si="15"/>
        <v>10.1523%2FJNEUROSCI.2339-19.2020_Table1</v>
      </c>
      <c r="L115" s="13" t="str">
        <f t="array" ref="L115">IFERROR(INDEX(AUTO_Public_TSV_FileList!$A$1:$A$1000,MATCH(TRUE(),EXACT(K115,IFERROR(_xlfn.TEXTBEFORE(AUTO_Public_TSV_FileList!$A$1:$A$1000,".tsv"),"")),0)),"notfound")</f>
        <v>10.1523%2FJNEUROSCI.2339-19.2020_Table1.tsv</v>
      </c>
      <c r="M115" s="4"/>
      <c r="N115" s="5" t="s">
        <v>35</v>
      </c>
      <c r="O115" s="4"/>
      <c r="P115" s="5" t="s">
        <v>36</v>
      </c>
      <c r="Q115" s="5"/>
      <c r="R115" s="4"/>
      <c r="S115" s="5" t="s">
        <v>506</v>
      </c>
      <c r="T115" s="4"/>
      <c r="U115" s="5" t="s">
        <v>507</v>
      </c>
      <c r="V115" s="5" t="s">
        <v>508</v>
      </c>
      <c r="W115" s="5" t="s">
        <v>138</v>
      </c>
      <c r="X115" s="5" t="s">
        <v>509</v>
      </c>
      <c r="Y115" s="4"/>
      <c r="Z115" s="4"/>
      <c r="AA115" s="5" t="s">
        <v>63</v>
      </c>
      <c r="AB115" s="5" t="s">
        <v>510</v>
      </c>
      <c r="AC115" s="5" t="s">
        <v>65</v>
      </c>
      <c r="AD115" s="5" t="s">
        <v>65</v>
      </c>
      <c r="AE115" s="5" t="s">
        <v>66</v>
      </c>
      <c r="AF115" s="5"/>
      <c r="AG115" s="4"/>
    </row>
    <row r="116" spans="1:33" ht="17.100000000000001" customHeight="1">
      <c r="A116" s="1" t="s">
        <v>505</v>
      </c>
      <c r="D116" s="1" t="s">
        <v>511</v>
      </c>
      <c r="E116" s="13" t="str">
        <f t="shared" si="8"/>
        <v>DosSantos</v>
      </c>
      <c r="F116" s="13" t="str">
        <f t="array" ref="F116">_xlfn.LET(
 _xlpm.authors,_xlfn.TEXTBEFORE(A116," ("&amp;G116&amp;")"),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6" s="13" t="str">
        <f t="shared" si="9"/>
        <v>2020</v>
      </c>
      <c r="H116" s="13" t="str">
        <f t="shared" si="10"/>
        <v>DosSantos_etal_2020</v>
      </c>
      <c r="I116" s="13" t="str">
        <f t="shared" si="16"/>
        <v>10.1523%2FJNEUROSCI.2339-19.2020</v>
      </c>
      <c r="J116" s="13" t="str">
        <f t="shared" si="11"/>
        <v>DosSantos_etal_2020_unpublished</v>
      </c>
      <c r="K116" s="13" t="str">
        <f t="shared" si="15"/>
        <v>10.1523%2FJNEUROSCI.2339-19.2020_unpublished</v>
      </c>
      <c r="L116" s="13" t="str">
        <f t="array" ref="L116">IFERROR(INDEX(AUTO_Public_TSV_FileList!$A$1:$A$1000,MATCH(TRUE(),EXACT(K116,IFERROR(_xlfn.TEXTBEFORE(AUTO_Public_TSV_FileList!$A$1:$A$1000,".tsv"),"")),0)),"notfound")</f>
        <v>10.1523%2FJNEUROSCI.2339-19.2020_unpublished.tsv</v>
      </c>
      <c r="M116" s="4"/>
      <c r="N116" s="5" t="s">
        <v>35</v>
      </c>
      <c r="O116" s="4"/>
      <c r="P116" s="5" t="s">
        <v>36</v>
      </c>
      <c r="Q116" s="5"/>
      <c r="R116" s="5" t="s">
        <v>512</v>
      </c>
      <c r="S116" s="5" t="s">
        <v>513</v>
      </c>
      <c r="T116" s="4"/>
      <c r="U116" s="4"/>
      <c r="V116" s="5" t="s">
        <v>508</v>
      </c>
      <c r="W116" s="5" t="s">
        <v>138</v>
      </c>
      <c r="X116" s="5" t="s">
        <v>509</v>
      </c>
      <c r="Y116" s="4"/>
      <c r="Z116" s="4"/>
      <c r="AA116" s="5" t="s">
        <v>63</v>
      </c>
      <c r="AB116" s="5" t="s">
        <v>510</v>
      </c>
      <c r="AC116" s="5" t="s">
        <v>65</v>
      </c>
      <c r="AD116" s="5" t="s">
        <v>65</v>
      </c>
      <c r="AE116" s="5" t="s">
        <v>66</v>
      </c>
      <c r="AF116" s="5"/>
      <c r="AG116" s="4"/>
    </row>
    <row r="117" spans="1:33" ht="17.100000000000001" customHeight="1">
      <c r="A117" s="1" t="s">
        <v>514</v>
      </c>
      <c r="D117" s="1" t="s">
        <v>231</v>
      </c>
      <c r="E117" s="13" t="str">
        <f t="shared" si="8"/>
        <v>DosSantos</v>
      </c>
      <c r="F117" s="13" t="str">
        <f t="array" ref="F117">_xlfn.LET(
 _xlpm.authors,_xlfn.TEXTBEFORE(A117," ("&amp;G117&amp;")"),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17" s="13" t="str">
        <f t="shared" si="9"/>
        <v>2017</v>
      </c>
      <c r="H117" s="13" t="str">
        <f t="shared" si="10"/>
        <v>DosSantos_etal_2017</v>
      </c>
      <c r="I117" s="13" t="str">
        <f t="shared" si="16"/>
        <v>10.1159%2F000452856</v>
      </c>
      <c r="J117" s="13" t="str">
        <f t="shared" si="11"/>
        <v>DosSantos_etal_2017_TableS1</v>
      </c>
      <c r="K117" s="13" t="str">
        <f t="shared" si="15"/>
        <v>10.1159%2F000452856_TableS1</v>
      </c>
      <c r="L117" s="13" t="str">
        <f t="array" ref="L117">IFERROR(INDEX(AUTO_Public_TSV_FileList!$A$1:$A$1000,MATCH(TRUE(),EXACT(K117,IFERROR(_xlfn.TEXTBEFORE(AUTO_Public_TSV_FileList!$A$1:$A$1000,".tsv"),"")),0)),"notfound")</f>
        <v>10.1159%2F000452856_TableS1.tsv</v>
      </c>
      <c r="M117" s="4"/>
      <c r="N117" s="5" t="s">
        <v>515</v>
      </c>
      <c r="O117" s="4"/>
      <c r="P117" s="5" t="s">
        <v>36</v>
      </c>
      <c r="Q117" s="5"/>
      <c r="R117" s="5" t="s">
        <v>516</v>
      </c>
      <c r="S117" s="5" t="s">
        <v>517</v>
      </c>
      <c r="T117" s="4"/>
      <c r="U117" s="4"/>
      <c r="V117" s="4"/>
      <c r="W117" s="5" t="s">
        <v>518</v>
      </c>
      <c r="X117" s="5" t="s">
        <v>509</v>
      </c>
      <c r="Y117" s="4"/>
      <c r="Z117" s="4"/>
      <c r="AA117" s="5" t="s">
        <v>63</v>
      </c>
      <c r="AB117" s="5" t="s">
        <v>64</v>
      </c>
      <c r="AC117" s="5" t="s">
        <v>65</v>
      </c>
      <c r="AD117" s="5" t="s">
        <v>65</v>
      </c>
      <c r="AE117" s="5" t="s">
        <v>66</v>
      </c>
      <c r="AF117" s="5"/>
      <c r="AG117" s="4"/>
    </row>
    <row r="118" spans="1:33" ht="17.100000000000001" customHeight="1">
      <c r="A118" s="1" t="s">
        <v>519</v>
      </c>
      <c r="D118" s="1" t="s">
        <v>81</v>
      </c>
      <c r="E118" s="13" t="str">
        <f t="shared" si="8"/>
        <v>Dunbar</v>
      </c>
      <c r="F118" s="13" t="str">
        <f t="array" ref="F118">_xlfn.LET(
 _xlpm.authors,_xlfn.TEXTBEFORE(A118," ("&amp;G118&amp;")"),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18" s="13" t="str">
        <f t="shared" si="9"/>
        <v>1992</v>
      </c>
      <c r="H118" s="13" t="str">
        <f t="shared" si="10"/>
        <v>Dunbar__1992</v>
      </c>
      <c r="I118" s="13" t="str">
        <f t="shared" si="16"/>
        <v>10.1016%2F0047-2484(92)90081-J</v>
      </c>
      <c r="J118" s="13" t="str">
        <f t="shared" si="11"/>
        <v>Dunbar__1992_Table1</v>
      </c>
      <c r="K118" s="13" t="str">
        <f t="shared" si="15"/>
        <v>10.1016%2F0047-2484(92)90081-J_Table1</v>
      </c>
      <c r="L118" s="13" t="str">
        <f t="array" ref="L118">IFERROR(INDEX(AUTO_Public_TSV_FileList!$A$1:$A$1000,MATCH(TRUE(),EXACT(K118,IFERROR(_xlfn.TEXTBEFORE(AUTO_Public_TSV_FileList!$A$1:$A$1000,".tsv"),"")),0)),"notfound")</f>
        <v>10.1016%2F0047-2484(92)90081-J_Table1.tsv</v>
      </c>
      <c r="M118" s="4" t="s">
        <v>520</v>
      </c>
      <c r="N118" s="5"/>
      <c r="O118" s="4"/>
      <c r="P118" s="5" t="s">
        <v>36</v>
      </c>
      <c r="Q118" s="5"/>
      <c r="R118" s="5"/>
      <c r="S118" s="5"/>
      <c r="T118" s="4"/>
      <c r="U118" s="4"/>
      <c r="V118" s="4"/>
      <c r="W118" s="5"/>
      <c r="X118" s="5"/>
      <c r="Y118" s="4"/>
      <c r="Z118" s="4"/>
      <c r="AA118" s="5"/>
      <c r="AB118" s="5"/>
      <c r="AC118" s="5"/>
      <c r="AD118" s="5"/>
      <c r="AE118" s="5"/>
      <c r="AF118" s="5"/>
      <c r="AG118" s="4"/>
    </row>
    <row r="119" spans="1:33" ht="17.100000000000001" customHeight="1">
      <c r="A119" s="1" t="s">
        <v>521</v>
      </c>
      <c r="B119" s="8"/>
      <c r="C119" s="8"/>
      <c r="D119" s="1" t="s">
        <v>58</v>
      </c>
      <c r="E119" s="13" t="str">
        <f t="shared" si="8"/>
        <v>Eagleman</v>
      </c>
      <c r="F119" s="13" t="str">
        <f t="array" ref="F119">_xlfn.LET(
 _xlpm.authors,_xlfn.TEXTBEFORE(A119," ("&amp;G119&amp;")"),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Vaughn</v>
      </c>
      <c r="G119" s="13" t="str">
        <f t="shared" si="9"/>
        <v>2021</v>
      </c>
      <c r="H119" s="13" t="str">
        <f t="shared" si="10"/>
        <v>Eagleman_Vaughn_2021</v>
      </c>
      <c r="I119" s="13" t="str">
        <f t="shared" si="16"/>
        <v>10.3389%2Ffnins.2021.632853</v>
      </c>
      <c r="J119" s="13" t="str">
        <f t="shared" si="11"/>
        <v>Eagleman_Vaughn_2021_TABLE1</v>
      </c>
      <c r="K119" s="13" t="str">
        <f t="shared" si="15"/>
        <v>10.3389%2Ffnins.2021.632853_TABLE1</v>
      </c>
      <c r="L119" s="13" t="str">
        <f t="array" ref="L119">IFERROR(INDEX(AUTO_Public_TSV_FileList!$A$1:$A$1000,MATCH(TRUE(),EXACT(K119,IFERROR(_xlfn.TEXTBEFORE(AUTO_Public_TSV_FileList!$A$1:$A$1000,".tsv"),"")),0)),"notfound")</f>
        <v>10.3389%2Ffnins.2021.632853_TABLE1.tsv</v>
      </c>
      <c r="M119" s="5" t="s">
        <v>522</v>
      </c>
      <c r="N119" s="4"/>
      <c r="O119" s="4"/>
      <c r="P119" s="5" t="s">
        <v>36</v>
      </c>
      <c r="Q119" s="4"/>
      <c r="R119" s="4"/>
      <c r="S119" s="4"/>
      <c r="T119" s="4"/>
      <c r="U119" s="4"/>
      <c r="V119" s="4"/>
      <c r="W119" s="5" t="s">
        <v>138</v>
      </c>
      <c r="X119" s="5" t="s">
        <v>523</v>
      </c>
      <c r="Y119" s="4"/>
      <c r="Z119" s="4"/>
      <c r="AA119" s="4"/>
      <c r="AB119" s="5" t="s">
        <v>524</v>
      </c>
      <c r="AC119" s="4"/>
      <c r="AD119" s="4"/>
      <c r="AE119" s="5" t="s">
        <v>179</v>
      </c>
      <c r="AF119" s="5"/>
      <c r="AG119" s="4"/>
    </row>
    <row r="120" spans="1:33" ht="17.100000000000001" customHeight="1">
      <c r="A120" s="1" t="s">
        <v>525</v>
      </c>
      <c r="B120" s="8"/>
      <c r="C120" s="8"/>
      <c r="D120" s="1" t="s">
        <v>526</v>
      </c>
      <c r="E120" s="13" t="str">
        <f t="shared" si="8"/>
        <v>Ebinger</v>
      </c>
      <c r="F120" s="13" t="str">
        <f t="array" ref="F120">_xlfn.LET(
 _xlpm.authors,_xlfn.TEXTBEFORE(A120," ("&amp;G120&amp;")"),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20" s="13" t="str">
        <f t="shared" si="9"/>
        <v>1974</v>
      </c>
      <c r="H120" s="13" t="str">
        <f t="shared" si="10"/>
        <v>Ebinger__1974</v>
      </c>
      <c r="I120" s="13" t="str">
        <f t="shared" si="16"/>
        <v>10.1007%2FBF00522811</v>
      </c>
      <c r="J120" s="13" t="str">
        <f t="shared" si="11"/>
        <v>Ebinger__1974_Tables3-4</v>
      </c>
      <c r="K120" s="13" t="str">
        <f t="shared" si="15"/>
        <v>10.1007%2FBF00522811_Tables3-4</v>
      </c>
      <c r="L120" s="13" t="str">
        <f t="array" ref="L120">IFERROR(INDEX(AUTO_Public_TSV_FileList!$A$1:$A$1000,MATCH(TRUE(),EXACT(K120,IFERROR(_xlfn.TEXTBEFORE(AUTO_Public_TSV_FileList!$A$1:$A$1000,".tsv"),"")),0)),"notfound")</f>
        <v>10.1007%2FBF00522811_Tables3-4.tsv</v>
      </c>
      <c r="M120" s="5" t="s">
        <v>527</v>
      </c>
      <c r="N120" s="4"/>
      <c r="O120" s="4"/>
      <c r="P120" s="5" t="s">
        <v>36</v>
      </c>
      <c r="Q120" s="4"/>
      <c r="R120" s="4"/>
      <c r="S120" s="4"/>
      <c r="T120" s="4"/>
      <c r="U120" s="4"/>
      <c r="V120" s="4"/>
      <c r="W120" s="5"/>
      <c r="X120" s="5"/>
      <c r="Y120" s="4"/>
      <c r="Z120" s="4"/>
      <c r="AA120" s="4"/>
      <c r="AB120" s="5"/>
      <c r="AC120" s="4"/>
      <c r="AD120" s="4"/>
      <c r="AE120" s="5" t="s">
        <v>66</v>
      </c>
      <c r="AF120" s="5"/>
      <c r="AG120" s="4"/>
    </row>
    <row r="121" spans="1:33" ht="17.100000000000001" customHeight="1">
      <c r="A121" s="16" t="s">
        <v>528</v>
      </c>
      <c r="B121" s="16"/>
      <c r="C121" s="16"/>
      <c r="D121" s="16" t="s">
        <v>529</v>
      </c>
      <c r="E121" s="13" t="str">
        <f t="shared" si="8"/>
        <v>Elston</v>
      </c>
      <c r="F121" s="13" t="str">
        <f t="array" ref="F121">_xlfn.LET(
 _xlpm.authors,_xlfn.TEXTBEFORE(A121," ("&amp;G121&amp;")"),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21" s="13" t="str">
        <f t="shared" si="9"/>
        <v>2000</v>
      </c>
      <c r="H121" s="13" t="str">
        <f t="shared" si="10"/>
        <v>Elston__2000</v>
      </c>
      <c r="I121" s="13" t="str">
        <f t="shared" si="16"/>
        <v>10.1523%2FJNEUROSCI.20-18-j0002.2000</v>
      </c>
      <c r="J121" s="13" t="str">
        <f t="shared" si="11"/>
        <v>Elston__2000_Figure2</v>
      </c>
      <c r="K121" s="13" t="str">
        <f t="shared" si="15"/>
        <v>10.1523%2FJNEUROSCI.20-18-j0002.2000_Figure2</v>
      </c>
      <c r="L121" s="13" t="str">
        <f t="array" ref="L121">IFERROR(INDEX(AUTO_Public_TSV_FileList!$A$1:$A$1000,MATCH(TRUE(),EXACT(K121,IFERROR(_xlfn.TEXTBEFORE(AUTO_Public_TSV_FileList!$A$1:$A$1000,".tsv"),"")),0)),"notfound")</f>
        <v>10.1523%2FJNEUROSCI.20-18-j0002.2000_Figure2.tsv</v>
      </c>
      <c r="M121" s="4"/>
      <c r="N121" s="3" t="s">
        <v>215</v>
      </c>
      <c r="O121" s="4"/>
      <c r="P121" s="3" t="s">
        <v>36</v>
      </c>
      <c r="Q121" s="3"/>
      <c r="R121" s="3" t="s">
        <v>530</v>
      </c>
      <c r="S121" s="3"/>
      <c r="T121" s="3" t="s">
        <v>217</v>
      </c>
      <c r="U121" s="3"/>
      <c r="V121" s="3" t="s">
        <v>218</v>
      </c>
      <c r="W121" s="3" t="s">
        <v>100</v>
      </c>
      <c r="X121" s="3" t="s">
        <v>219</v>
      </c>
      <c r="Y121" s="3" t="s">
        <v>531</v>
      </c>
      <c r="Z121" s="3"/>
      <c r="AA121" s="3" t="s">
        <v>221</v>
      </c>
      <c r="AB121" s="3" t="s">
        <v>222</v>
      </c>
      <c r="AC121" s="3"/>
      <c r="AD121" s="3"/>
      <c r="AE121" s="3" t="s">
        <v>532</v>
      </c>
      <c r="AF121" s="3"/>
      <c r="AG121" s="3" t="s">
        <v>533</v>
      </c>
    </row>
    <row r="122" spans="1:33" ht="17.100000000000001" customHeight="1">
      <c r="A122" s="16" t="s">
        <v>534</v>
      </c>
      <c r="B122" s="15"/>
      <c r="C122" s="15"/>
      <c r="D122" s="16" t="s">
        <v>81</v>
      </c>
      <c r="E122" s="13" t="str">
        <f t="shared" si="8"/>
        <v>Elston</v>
      </c>
      <c r="F122" s="13" t="str">
        <f t="array" ref="F122">_xlfn.LET(
 _xlpm.authors,_xlfn.TEXTBEFORE(A122," ("&amp;G122&amp;")"),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2" s="13" t="str">
        <f t="shared" si="9"/>
        <v>2001</v>
      </c>
      <c r="H122" s="13" t="str">
        <f t="shared" si="10"/>
        <v>Elston_etal_2001</v>
      </c>
      <c r="I122" s="13" t="str">
        <f t="shared" si="16"/>
        <v>10.1523%2FJNEUROSCI.21-17-j0002.2001</v>
      </c>
      <c r="J122" s="13" t="str">
        <f t="shared" si="11"/>
        <v>Elston_etal_2001_Table1</v>
      </c>
      <c r="K122" s="13" t="str">
        <f t="shared" si="15"/>
        <v>10.1523%2FJNEUROSCI.21-17-j0002.2001_Table1</v>
      </c>
      <c r="L122" s="13" t="str">
        <f t="array" ref="L122">IFERROR(INDEX(AUTO_Public_TSV_FileList!$A$1:$A$1000,MATCH(TRUE(),EXACT(K122,IFERROR(_xlfn.TEXTBEFORE(AUTO_Public_TSV_FileList!$A$1:$A$1000,".tsv"),"")),0)),"notfound")</f>
        <v>10.1523%2FJNEUROSCI.21-17-j0002.2001_Table1.tsv</v>
      </c>
      <c r="M122" s="4"/>
      <c r="N122" s="3" t="s">
        <v>215</v>
      </c>
      <c r="O122" s="4"/>
      <c r="P122" s="3" t="s">
        <v>36</v>
      </c>
      <c r="Q122" s="3"/>
      <c r="R122" s="3" t="s">
        <v>535</v>
      </c>
      <c r="S122" s="3"/>
      <c r="T122" s="3" t="s">
        <v>217</v>
      </c>
      <c r="U122" s="3"/>
      <c r="V122" s="3" t="s">
        <v>218</v>
      </c>
      <c r="W122" s="3" t="s">
        <v>100</v>
      </c>
      <c r="X122" s="3" t="s">
        <v>219</v>
      </c>
      <c r="Y122" s="3" t="s">
        <v>536</v>
      </c>
      <c r="Z122" s="3"/>
      <c r="AA122" s="3" t="s">
        <v>221</v>
      </c>
      <c r="AB122" s="3" t="s">
        <v>222</v>
      </c>
      <c r="AC122" s="3"/>
      <c r="AD122" s="3"/>
      <c r="AE122" s="7" t="s">
        <v>51</v>
      </c>
      <c r="AF122" s="7"/>
      <c r="AG122" s="3" t="s">
        <v>537</v>
      </c>
    </row>
    <row r="123" spans="1:33" ht="17.100000000000001" customHeight="1">
      <c r="A123" s="16" t="s">
        <v>538</v>
      </c>
      <c r="B123" s="15"/>
      <c r="C123" s="15"/>
      <c r="D123" s="16" t="s">
        <v>81</v>
      </c>
      <c r="E123" s="13" t="str">
        <f t="shared" si="8"/>
        <v>Elston</v>
      </c>
      <c r="F123" s="13" t="str">
        <f t="array" ref="F123">_xlfn.LET(
 _xlpm.authors,_xlfn.TEXTBEFORE(A123," ("&amp;G123&amp;")"),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3" s="13" t="str">
        <f t="shared" si="9"/>
        <v>2006</v>
      </c>
      <c r="H123" s="13" t="str">
        <f t="shared" si="10"/>
        <v>Elston_etal_2006</v>
      </c>
      <c r="I123" s="13" t="str">
        <f t="shared" si="16"/>
        <v>10.1002%2Far.a.20278</v>
      </c>
      <c r="J123" s="13" t="str">
        <f t="shared" si="11"/>
        <v>Elston_etal_2006_Table1</v>
      </c>
      <c r="K123" s="13" t="str">
        <f t="shared" si="15"/>
        <v>10.1002%2Far.a.20278_Table1</v>
      </c>
      <c r="L123" s="13" t="str">
        <f t="array" ref="L123">IFERROR(INDEX(AUTO_Public_TSV_FileList!$A$1:$A$1000,MATCH(TRUE(),EXACT(K123,IFERROR(_xlfn.TEXTBEFORE(AUTO_Public_TSV_FileList!$A$1:$A$1000,".tsv"),"")),0)),"notfound")</f>
        <v>10.1002%2Far.a.20278_Table1.tsv</v>
      </c>
      <c r="M123" s="4"/>
      <c r="N123" s="3" t="s">
        <v>215</v>
      </c>
      <c r="O123" s="4"/>
      <c r="P123" s="3" t="s">
        <v>36</v>
      </c>
      <c r="Q123" s="3"/>
      <c r="R123" s="3" t="s">
        <v>539</v>
      </c>
      <c r="S123" s="3"/>
      <c r="T123" s="3" t="s">
        <v>217</v>
      </c>
      <c r="U123" s="3"/>
      <c r="V123" s="3" t="s">
        <v>218</v>
      </c>
      <c r="W123" s="3" t="s">
        <v>100</v>
      </c>
      <c r="X123" s="3" t="s">
        <v>219</v>
      </c>
      <c r="Y123" s="3" t="s">
        <v>540</v>
      </c>
      <c r="Z123" s="3"/>
      <c r="AA123" s="3" t="s">
        <v>221</v>
      </c>
      <c r="AB123" s="3" t="s">
        <v>222</v>
      </c>
      <c r="AC123" s="3"/>
      <c r="AD123" s="3"/>
      <c r="AE123" s="7" t="s">
        <v>51</v>
      </c>
      <c r="AF123" s="7"/>
      <c r="AG123" s="3" t="s">
        <v>541</v>
      </c>
    </row>
    <row r="124" spans="1:33" ht="17.100000000000001" customHeight="1">
      <c r="A124" s="17" t="s">
        <v>542</v>
      </c>
      <c r="D124" s="1" t="s">
        <v>58</v>
      </c>
      <c r="E124" s="13" t="str">
        <f t="shared" si="8"/>
        <v>Falcone</v>
      </c>
      <c r="F124" s="13" t="str">
        <f t="array" ref="F124">_xlfn.LET(
 _xlpm.authors,_xlfn.TEXTBEFORE(A124," ("&amp;G124&amp;")"),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4" s="13" t="str">
        <f t="shared" si="9"/>
        <v>2019</v>
      </c>
      <c r="H124" s="13" t="str">
        <f t="shared" si="10"/>
        <v>Falcone_etal_2019</v>
      </c>
      <c r="I124" s="13" t="str">
        <f t="shared" si="16"/>
        <v>10.1002%2Fcne.24605</v>
      </c>
      <c r="J124" s="13" t="str">
        <f t="shared" si="11"/>
        <v>Falcone_etal_2019_TABLE1</v>
      </c>
      <c r="K124" s="13" t="str">
        <f t="shared" si="15"/>
        <v>10.1002%2Fcne.24605_TABLE1</v>
      </c>
      <c r="L124" s="13" t="str">
        <f t="array" ref="L124">IFERROR(INDEX(AUTO_Public_TSV_FileList!$A$1:$A$1000,MATCH(TRUE(),EXACT(K124,IFERROR(_xlfn.TEXTBEFORE(AUTO_Public_TSV_FileList!$A$1:$A$1000,".tsv"),"")),0)),"notfound")</f>
        <v>10.1002%2Fcne.24605_TABLE1.tsv</v>
      </c>
      <c r="M124" s="5" t="s">
        <v>543</v>
      </c>
      <c r="N124" s="4"/>
      <c r="O124" s="4"/>
      <c r="P124" s="5" t="s">
        <v>36</v>
      </c>
      <c r="Q124" s="4"/>
      <c r="R124" s="4"/>
      <c r="S124" s="4"/>
      <c r="T124" s="4"/>
      <c r="U124" s="4"/>
      <c r="V124" s="4"/>
      <c r="W124" s="5" t="s">
        <v>544</v>
      </c>
      <c r="X124" s="5" t="s">
        <v>545</v>
      </c>
      <c r="Y124" s="4"/>
      <c r="Z124" s="4"/>
      <c r="AA124" s="4"/>
      <c r="AB124" s="5" t="s">
        <v>546</v>
      </c>
      <c r="AC124" s="4"/>
      <c r="AD124" s="4"/>
      <c r="AE124" s="5" t="s">
        <v>66</v>
      </c>
      <c r="AF124" s="5"/>
      <c r="AG124" s="4"/>
    </row>
    <row r="125" spans="1:33" ht="17.100000000000001" customHeight="1">
      <c r="A125" s="17" t="s">
        <v>542</v>
      </c>
      <c r="D125" s="1" t="s">
        <v>110</v>
      </c>
      <c r="E125" s="13" t="str">
        <f t="shared" si="8"/>
        <v>Falcone</v>
      </c>
      <c r="F125" s="13" t="str">
        <f t="array" ref="F125">_xlfn.LET(
 _xlpm.authors,_xlfn.TEXTBEFORE(A125," ("&amp;G125&amp;")"),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5" s="13" t="str">
        <f t="shared" si="9"/>
        <v>2019</v>
      </c>
      <c r="H125" s="13" t="str">
        <f t="shared" si="10"/>
        <v>Falcone_etal_2019</v>
      </c>
      <c r="I125" s="13" t="str">
        <f t="shared" si="16"/>
        <v>10.1002%2Fcne.24605</v>
      </c>
      <c r="J125" s="13" t="str">
        <f t="shared" si="11"/>
        <v>Falcone_etal_2019_TABLE2</v>
      </c>
      <c r="K125" s="13" t="str">
        <f t="shared" si="15"/>
        <v>10.1002%2Fcne.24605_TABLE2</v>
      </c>
      <c r="L125" s="13" t="str">
        <f t="array" ref="L125">IFERROR(INDEX(AUTO_Public_TSV_FileList!$A$1:$A$1000,MATCH(TRUE(),EXACT(K125,IFERROR(_xlfn.TEXTBEFORE(AUTO_Public_TSV_FileList!$A$1:$A$1000,".tsv"),"")),0)),"notfound")</f>
        <v>10.1002%2Fcne.24605_TABLE2.tsv</v>
      </c>
      <c r="M125" s="5" t="s">
        <v>547</v>
      </c>
      <c r="N125" s="4"/>
      <c r="O125" s="4"/>
      <c r="P125" s="5" t="s">
        <v>36</v>
      </c>
      <c r="Q125" s="4"/>
      <c r="R125" s="4"/>
      <c r="S125" s="4"/>
      <c r="T125" s="4"/>
      <c r="U125" s="4"/>
      <c r="V125" s="4"/>
      <c r="W125" s="5" t="s">
        <v>544</v>
      </c>
      <c r="X125" s="5" t="s">
        <v>545</v>
      </c>
      <c r="Y125" s="4"/>
      <c r="Z125" s="4"/>
      <c r="AA125" s="4"/>
      <c r="AB125" s="5" t="s">
        <v>546</v>
      </c>
      <c r="AC125" s="4"/>
      <c r="AD125" s="4"/>
      <c r="AE125" s="5" t="s">
        <v>66</v>
      </c>
      <c r="AF125" s="5"/>
      <c r="AG125" s="4"/>
    </row>
    <row r="126" spans="1:33" ht="17.100000000000001" customHeight="1">
      <c r="A126" s="1" t="s">
        <v>548</v>
      </c>
      <c r="D126" s="1" t="s">
        <v>549</v>
      </c>
      <c r="E126" s="13" t="str">
        <f t="shared" si="8"/>
        <v>Finlay</v>
      </c>
      <c r="F126" s="13" t="str">
        <f t="array" ref="F126">_xlfn.LET(
 _xlpm.authors,_xlfn.TEXTBEFORE(A126," ("&amp;G126&amp;")"),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6" s="13" t="str">
        <f t="shared" si="9"/>
        <v>2006</v>
      </c>
      <c r="H126" s="13" t="str">
        <f t="shared" si="10"/>
        <v>Finlay_etal_2006</v>
      </c>
      <c r="I126" s="13" t="str">
        <f t="shared" si="16"/>
        <v>10.1093%2Foso%2F9780198568742.003.0006</v>
      </c>
      <c r="J126" s="13" t="str">
        <f t="shared" si="11"/>
        <v>Finlay_etal_2006_Table6.1</v>
      </c>
      <c r="K126" s="13" t="str">
        <f t="shared" si="15"/>
        <v>10.1093%2Foso%2F9780198568742.003.0006_Table6.1</v>
      </c>
      <c r="L126" s="13" t="str">
        <f t="array" ref="L126">IFERROR(INDEX(AUTO_Public_TSV_FileList!$A$1:$A$1000,MATCH(TRUE(),EXACT(K126,IFERROR(_xlfn.TEXTBEFORE(AUTO_Public_TSV_FileList!$A$1:$A$1000,".tsv"),"")),0)),"notfound")</f>
        <v>10.1093%2Foso%2F9780198568742.003.0006_Table6.1.tsv</v>
      </c>
      <c r="M126" s="4"/>
      <c r="N126" s="5" t="s">
        <v>35</v>
      </c>
      <c r="O126" s="4"/>
      <c r="P126" s="5" t="s">
        <v>36</v>
      </c>
      <c r="Q126" s="5"/>
      <c r="R126" s="5" t="s">
        <v>550</v>
      </c>
      <c r="S126" s="4"/>
      <c r="T126" s="4"/>
      <c r="U126" s="4" t="s">
        <v>551</v>
      </c>
      <c r="V126" s="5"/>
      <c r="W126" s="5" t="s">
        <v>138</v>
      </c>
      <c r="X126" s="5" t="s">
        <v>552</v>
      </c>
      <c r="Y126" s="4"/>
      <c r="Z126" s="4"/>
      <c r="AA126" s="4"/>
      <c r="AB126" s="5" t="s">
        <v>553</v>
      </c>
      <c r="AC126" s="4"/>
      <c r="AD126" s="4"/>
      <c r="AE126" s="5" t="s">
        <v>179</v>
      </c>
      <c r="AF126" s="5"/>
      <c r="AG126" s="5" t="s">
        <v>334</v>
      </c>
    </row>
    <row r="127" spans="1:33" ht="17.100000000000001" customHeight="1">
      <c r="A127" s="1" t="s">
        <v>554</v>
      </c>
      <c r="D127" s="1" t="s">
        <v>555</v>
      </c>
      <c r="E127" s="13" t="str">
        <f t="shared" si="8"/>
        <v>Fobbs</v>
      </c>
      <c r="F127" s="13" t="str">
        <f t="array" ref="F127">_xlfn.LET(
 _xlpm.authors,_xlfn.TEXTBEFORE(A127," ("&amp;G127&amp;")"),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7" s="13" t="str">
        <f t="shared" si="9"/>
        <v>2011</v>
      </c>
      <c r="H127" s="13" t="str">
        <f t="shared" si="10"/>
        <v>Fobbs_etal_2011</v>
      </c>
      <c r="I127" s="13" t="str">
        <f t="shared" si="16"/>
        <v>10.1111%2Fj.1749-6632.2011.06036.x</v>
      </c>
      <c r="J127" s="13" t="str">
        <f t="shared" si="11"/>
        <v>Fobbs_etal_2011_TableS1a</v>
      </c>
      <c r="K127" s="13" t="str">
        <f t="shared" si="15"/>
        <v>10.1111%2Fj.1749-6632.2011.06036.x_TableS1a</v>
      </c>
      <c r="L127" s="13" t="str">
        <f t="array" ref="L127">IFERROR(INDEX(AUTO_Public_TSV_FileList!$A$1:$A$1000,MATCH(TRUE(),EXACT(K127,IFERROR(_xlfn.TEXTBEFORE(AUTO_Public_TSV_FileList!$A$1:$A$1000,".tsv"),"")),0)),"notfound")</f>
        <v>10.1111%2Fj.1749-6632.2011.06036.x_TableS1a.tsv</v>
      </c>
      <c r="M127" s="4" t="s">
        <v>556</v>
      </c>
      <c r="N127" s="5"/>
      <c r="O127" s="4"/>
      <c r="P127" s="5" t="s">
        <v>36</v>
      </c>
      <c r="Q127" s="5"/>
      <c r="R127" s="5"/>
      <c r="S127" s="4"/>
      <c r="T127" s="4"/>
      <c r="U127" s="4"/>
      <c r="V127" s="5"/>
      <c r="W127" s="5"/>
      <c r="X127" s="5"/>
      <c r="Y127" s="4"/>
      <c r="Z127" s="4"/>
      <c r="AA127" s="4"/>
      <c r="AB127" s="5"/>
      <c r="AC127" s="4"/>
      <c r="AD127" s="4"/>
      <c r="AE127" s="5"/>
      <c r="AF127" s="5"/>
      <c r="AG127" s="5"/>
    </row>
    <row r="128" spans="1:33" ht="17.100000000000001" customHeight="1">
      <c r="A128" s="1" t="s">
        <v>554</v>
      </c>
      <c r="D128" s="1" t="s">
        <v>557</v>
      </c>
      <c r="E128" s="13" t="str">
        <f t="shared" si="8"/>
        <v>Fobbs</v>
      </c>
      <c r="F128" s="13" t="str">
        <f t="array" ref="F128">_xlfn.LET(
 _xlpm.authors,_xlfn.TEXTBEFORE(A128," ("&amp;G128&amp;")"),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8" s="13" t="str">
        <f t="shared" si="9"/>
        <v>2011</v>
      </c>
      <c r="H128" s="13" t="str">
        <f t="shared" si="10"/>
        <v>Fobbs_etal_2011</v>
      </c>
      <c r="I128" s="13" t="str">
        <f t="shared" si="16"/>
        <v>10.1111%2Fj.1749-6632.2011.06036.x</v>
      </c>
      <c r="J128" s="13" t="str">
        <f t="shared" si="11"/>
        <v>Fobbs_etal_2011_TableS1b</v>
      </c>
      <c r="K128" s="13" t="str">
        <f t="shared" si="15"/>
        <v>10.1111%2Fj.1749-6632.2011.06036.x_TableS1b</v>
      </c>
      <c r="L128" s="13" t="str">
        <f t="array" ref="L128">IFERROR(INDEX(AUTO_Public_TSV_FileList!$A$1:$A$1000,MATCH(TRUE(),EXACT(K128,IFERROR(_xlfn.TEXTBEFORE(AUTO_Public_TSV_FileList!$A$1:$A$1000,".tsv"),"")),0)),"notfound")</f>
        <v>10.1111%2Fj.1749-6632.2011.06036.x_TableS1b.tsv</v>
      </c>
      <c r="M128" s="4" t="s">
        <v>556</v>
      </c>
      <c r="N128" s="5"/>
      <c r="O128" s="4"/>
      <c r="P128" s="5" t="s">
        <v>36</v>
      </c>
      <c r="Q128" s="5"/>
      <c r="R128" s="5"/>
      <c r="S128" s="4"/>
      <c r="T128" s="4"/>
      <c r="U128" s="4"/>
      <c r="V128" s="5"/>
      <c r="W128" s="5"/>
      <c r="X128" s="5"/>
      <c r="Y128" s="4"/>
      <c r="Z128" s="4"/>
      <c r="AA128" s="4"/>
      <c r="AB128" s="5"/>
      <c r="AC128" s="4"/>
      <c r="AD128" s="4"/>
      <c r="AE128" s="5"/>
      <c r="AF128" s="5"/>
      <c r="AG128" s="5"/>
    </row>
    <row r="129" spans="1:33" ht="17.100000000000001" customHeight="1">
      <c r="A129" s="1" t="s">
        <v>554</v>
      </c>
      <c r="D129" s="1" t="s">
        <v>558</v>
      </c>
      <c r="E129" s="13" t="str">
        <f t="shared" si="8"/>
        <v>Fobbs</v>
      </c>
      <c r="F129" s="13" t="str">
        <f t="array" ref="F129">_xlfn.LET(
 _xlpm.authors,_xlfn.TEXTBEFORE(A129," ("&amp;G129&amp;")"),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29" s="13" t="str">
        <f t="shared" si="9"/>
        <v>2011</v>
      </c>
      <c r="H129" s="13" t="str">
        <f t="shared" si="10"/>
        <v>Fobbs_etal_2011</v>
      </c>
      <c r="I129" s="13" t="str">
        <f t="shared" si="16"/>
        <v>10.1111%2Fj.1749-6632.2011.06036.x</v>
      </c>
      <c r="J129" s="13" t="str">
        <f t="shared" si="11"/>
        <v>Fobbs_etal_2011_TableS2</v>
      </c>
      <c r="K129" s="13" t="str">
        <f t="shared" si="15"/>
        <v>10.1111%2Fj.1749-6632.2011.06036.x_TableS2</v>
      </c>
      <c r="L129" s="13" t="str">
        <f t="array" ref="L129">IFERROR(INDEX(AUTO_Public_TSV_FileList!$A$1:$A$1000,MATCH(TRUE(),EXACT(K129,IFERROR(_xlfn.TEXTBEFORE(AUTO_Public_TSV_FileList!$A$1:$A$1000,".tsv"),"")),0)),"notfound")</f>
        <v>10.1111%2Fj.1749-6632.2011.06036.x_TableS2.tsv</v>
      </c>
      <c r="M129" s="4" t="s">
        <v>559</v>
      </c>
      <c r="N129" s="5"/>
      <c r="O129" s="4"/>
      <c r="P129" s="5" t="s">
        <v>36</v>
      </c>
      <c r="Q129" s="5"/>
      <c r="R129" s="5"/>
      <c r="S129" s="4"/>
      <c r="T129" s="4"/>
      <c r="U129" s="4"/>
      <c r="V129" s="5"/>
      <c r="W129" s="5"/>
      <c r="X129" s="5"/>
      <c r="Y129" s="4"/>
      <c r="Z129" s="4"/>
      <c r="AA129" s="4"/>
      <c r="AB129" s="5"/>
      <c r="AC129" s="4"/>
      <c r="AD129" s="4"/>
      <c r="AE129" s="5"/>
      <c r="AF129" s="5"/>
      <c r="AG129" s="5"/>
    </row>
    <row r="130" spans="1:33" ht="17.100000000000001" customHeight="1">
      <c r="A130" s="1" t="s">
        <v>554</v>
      </c>
      <c r="D130" s="1" t="s">
        <v>560</v>
      </c>
      <c r="E130" s="13" t="str">
        <f t="shared" ref="E130:E193" si="17">SUBSTITUTE(SUBSTITUTE(_xlfn.TEXTBEFORE(A130,","), "-", ""), " ", "")</f>
        <v>Fobbs</v>
      </c>
      <c r="F130" s="13" t="str">
        <f t="array" ref="F130">_xlfn.LET(
 _xlpm.authors,_xlfn.TEXTBEFORE(A130," ("&amp;G130&amp;")"),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0" s="13" t="str">
        <f t="shared" ref="G130:G193" si="18">_xlfn.TEXTBEFORE(_xlfn.TEXTAFTER(A130, "("), ")")</f>
        <v>2011</v>
      </c>
      <c r="H130" s="13" t="str">
        <f t="shared" ref="H130:H193" si="19">E130 &amp; IF(F130&lt;&gt;"", "_" &amp; F130, "_") &amp; IF(G130&lt;&gt;"", "_" &amp; G130, "_") &amp; IF(B130&lt;&gt;"", "_" &amp; B130, "")</f>
        <v>Fobbs_etal_2011</v>
      </c>
      <c r="I130" s="13" t="str">
        <f t="shared" si="16"/>
        <v>10.1111%2Fj.1749-6632.2011.06036.x</v>
      </c>
      <c r="J130" s="13" t="str">
        <f t="shared" ref="J130:J193" si="20">TRIM(_xlfn.TEXTJOIN("_",FALSE(),H130,(SUBSTITUTE(SUBSTITUTE(D130," ",""), "_", ""))))</f>
        <v>Fobbs_etal_2011_TableS3</v>
      </c>
      <c r="K130" s="13" t="str">
        <f t="shared" ref="K130:K152" si="21">I130 &amp; "_" &amp; SUBSTITUTE(SUBSTITUTE(SUBSTITUTE(D130,CHAR(160),"")," ",""),"_","")</f>
        <v>10.1111%2Fj.1749-6632.2011.06036.x_TableS3</v>
      </c>
      <c r="L130" s="13" t="str">
        <f t="array" ref="L130">IFERROR(INDEX(AUTO_Public_TSV_FileList!$A$1:$A$1000,MATCH(TRUE(),EXACT(K130,IFERROR(_xlfn.TEXTBEFORE(AUTO_Public_TSV_FileList!$A$1:$A$1000,".tsv"),"")),0)),"notfound")</f>
        <v>10.1111%2Fj.1749-6632.2011.06036.x_TableS3.tsv</v>
      </c>
      <c r="M130" s="4" t="s">
        <v>561</v>
      </c>
      <c r="N130" s="5"/>
      <c r="O130" s="4"/>
      <c r="P130" s="5" t="s">
        <v>36</v>
      </c>
      <c r="Q130" s="5"/>
      <c r="R130" s="5"/>
      <c r="S130" s="4"/>
      <c r="T130" s="4"/>
      <c r="U130" s="4"/>
      <c r="V130" s="5"/>
      <c r="W130" s="5"/>
      <c r="X130" s="5"/>
      <c r="Y130" s="4"/>
      <c r="Z130" s="4"/>
      <c r="AA130" s="4"/>
      <c r="AB130" s="5"/>
      <c r="AC130" s="4"/>
      <c r="AD130" s="4"/>
      <c r="AE130" s="5"/>
      <c r="AF130" s="5"/>
      <c r="AG130" s="5"/>
    </row>
    <row r="131" spans="1:33" ht="17.100000000000001" customHeight="1">
      <c r="A131" s="1" t="s">
        <v>554</v>
      </c>
      <c r="D131" s="1" t="s">
        <v>562</v>
      </c>
      <c r="E131" s="13" t="str">
        <f t="shared" si="17"/>
        <v>Fobbs</v>
      </c>
      <c r="F131" s="13" t="str">
        <f t="array" ref="F131">_xlfn.LET(
 _xlpm.authors,_xlfn.TEXTBEFORE(A131," ("&amp;G131&amp;")"),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1" s="13" t="str">
        <f t="shared" si="18"/>
        <v>2011</v>
      </c>
      <c r="H131" s="13" t="str">
        <f t="shared" si="19"/>
        <v>Fobbs_etal_2011</v>
      </c>
      <c r="I131" s="13" t="str">
        <f t="shared" si="16"/>
        <v>10.1111%2Fj.1749-6632.2011.06036.x</v>
      </c>
      <c r="J131" s="13" t="str">
        <f t="shared" si="20"/>
        <v>Fobbs_etal_2011_TableS4</v>
      </c>
      <c r="K131" s="13" t="str">
        <f t="shared" si="21"/>
        <v>10.1111%2Fj.1749-6632.2011.06036.x_TableS4</v>
      </c>
      <c r="L131" s="13" t="str">
        <f t="array" ref="L131">IFERROR(INDEX(AUTO_Public_TSV_FileList!$A$1:$A$1000,MATCH(TRUE(),EXACT(K131,IFERROR(_xlfn.TEXTBEFORE(AUTO_Public_TSV_FileList!$A$1:$A$1000,".tsv"),"")),0)),"notfound")</f>
        <v>10.1111%2Fj.1749-6632.2011.06036.x_TableS4.tsv</v>
      </c>
      <c r="M131" s="4" t="s">
        <v>563</v>
      </c>
      <c r="N131" s="5"/>
      <c r="O131" s="4"/>
      <c r="P131" s="5" t="s">
        <v>36</v>
      </c>
      <c r="Q131" s="5"/>
      <c r="R131" s="5"/>
      <c r="S131" s="4"/>
      <c r="T131" s="4"/>
      <c r="U131" s="4"/>
      <c r="V131" s="5"/>
      <c r="W131" s="5"/>
      <c r="X131" s="5"/>
      <c r="Y131" s="4"/>
      <c r="Z131" s="4"/>
      <c r="AA131" s="4"/>
      <c r="AB131" s="5"/>
      <c r="AC131" s="4"/>
      <c r="AD131" s="4"/>
      <c r="AE131" s="5"/>
      <c r="AF131" s="5"/>
      <c r="AG131" s="5"/>
    </row>
    <row r="132" spans="1:33" ht="17.100000000000001" customHeight="1">
      <c r="A132" s="1" t="s">
        <v>554</v>
      </c>
      <c r="B132" s="8"/>
      <c r="C132" s="8"/>
      <c r="D132" s="1" t="s">
        <v>564</v>
      </c>
      <c r="E132" s="13" t="str">
        <f t="shared" si="17"/>
        <v>Fobbs</v>
      </c>
      <c r="F132" s="13" t="str">
        <f t="array" ref="F132">_xlfn.LET(
 _xlpm.authors,_xlfn.TEXTBEFORE(A132," ("&amp;G132&amp;")"),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2" s="13" t="str">
        <f t="shared" si="18"/>
        <v>2011</v>
      </c>
      <c r="H132" s="13" t="str">
        <f t="shared" si="19"/>
        <v>Fobbs_etal_2011</v>
      </c>
      <c r="I132" s="13" t="str">
        <f t="shared" si="16"/>
        <v>10.1111%2Fj.1749-6632.2011.06036.x</v>
      </c>
      <c r="J132" s="13" t="str">
        <f t="shared" si="20"/>
        <v>Fobbs_etal_2011_TableS5a</v>
      </c>
      <c r="K132" s="13" t="str">
        <f t="shared" si="21"/>
        <v>10.1111%2Fj.1749-6632.2011.06036.x_TableS5a</v>
      </c>
      <c r="L132" s="13" t="str">
        <f t="array" ref="L132">IFERROR(INDEX(AUTO_Public_TSV_FileList!$A$1:$A$1000,MATCH(TRUE(),EXACT(K132,IFERROR(_xlfn.TEXTBEFORE(AUTO_Public_TSV_FileList!$A$1:$A$1000,".tsv"),"")),0)),"notfound")</f>
        <v>10.1111%2Fj.1749-6632.2011.06036.x_TableS5a.tsv</v>
      </c>
      <c r="M132" s="4" t="s">
        <v>565</v>
      </c>
      <c r="N132" s="5"/>
      <c r="O132" s="4"/>
      <c r="P132" s="5" t="s">
        <v>36</v>
      </c>
      <c r="Q132" s="5"/>
      <c r="R132" s="5"/>
      <c r="S132" s="4"/>
      <c r="T132" s="4"/>
      <c r="U132" s="4"/>
      <c r="V132" s="5"/>
      <c r="W132" s="5"/>
      <c r="X132" s="5"/>
      <c r="Y132" s="4"/>
      <c r="Z132" s="4"/>
      <c r="AA132" s="4"/>
      <c r="AB132" s="5"/>
      <c r="AC132" s="4"/>
      <c r="AD132" s="4"/>
      <c r="AE132" s="5"/>
      <c r="AF132" s="5"/>
      <c r="AG132" s="5"/>
    </row>
    <row r="133" spans="1:33" ht="17.100000000000001" customHeight="1">
      <c r="A133" s="1" t="s">
        <v>554</v>
      </c>
      <c r="C133" s="8"/>
      <c r="D133" s="1" t="s">
        <v>566</v>
      </c>
      <c r="E133" s="13" t="str">
        <f t="shared" si="17"/>
        <v>Fobbs</v>
      </c>
      <c r="F133" s="13" t="str">
        <f t="array" ref="F133">_xlfn.LET(
 _xlpm.authors,_xlfn.TEXTBEFORE(A133," ("&amp;G133&amp;")"),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3" s="13" t="str">
        <f t="shared" si="18"/>
        <v>2011</v>
      </c>
      <c r="H133" s="13" t="str">
        <f t="shared" si="19"/>
        <v>Fobbs_etal_2011</v>
      </c>
      <c r="I133" s="13" t="str">
        <f t="shared" si="16"/>
        <v>10.1111%2Fj.1749-6632.2011.06036.x</v>
      </c>
      <c r="J133" s="13" t="str">
        <f t="shared" si="20"/>
        <v>Fobbs_etal_2011_TableS5b</v>
      </c>
      <c r="K133" s="13" t="str">
        <f t="shared" si="21"/>
        <v>10.1111%2Fj.1749-6632.2011.06036.x_TableS5b</v>
      </c>
      <c r="L133" s="13" t="str">
        <f t="array" ref="L133">IFERROR(INDEX(AUTO_Public_TSV_FileList!$A$1:$A$1000,MATCH(TRUE(),EXACT(K133,IFERROR(_xlfn.TEXTBEFORE(AUTO_Public_TSV_FileList!$A$1:$A$1000,".tsv"),"")),0)),"notfound")</f>
        <v>10.1111%2Fj.1749-6632.2011.06036.x_TableS5b.tsv</v>
      </c>
      <c r="M133" s="4" t="s">
        <v>565</v>
      </c>
      <c r="N133" s="5"/>
      <c r="O133" s="4"/>
      <c r="P133" s="5" t="s">
        <v>36</v>
      </c>
      <c r="Q133" s="5"/>
      <c r="R133" s="5"/>
      <c r="S133" s="4"/>
      <c r="T133" s="4"/>
      <c r="U133" s="4"/>
      <c r="V133" s="5"/>
      <c r="W133" s="5"/>
      <c r="X133" s="5"/>
      <c r="Y133" s="4"/>
      <c r="Z133" s="4"/>
      <c r="AA133" s="4"/>
      <c r="AB133" s="5"/>
      <c r="AC133" s="4"/>
      <c r="AD133" s="4"/>
      <c r="AE133" s="5"/>
      <c r="AF133" s="5"/>
      <c r="AG133" s="5"/>
    </row>
    <row r="134" spans="1:33" ht="17.100000000000001" customHeight="1">
      <c r="A134" s="16" t="s">
        <v>567</v>
      </c>
      <c r="B134" s="15"/>
      <c r="C134" s="16"/>
      <c r="D134" s="16" t="s">
        <v>568</v>
      </c>
      <c r="E134" s="12" t="str">
        <f t="shared" si="17"/>
        <v>Fox</v>
      </c>
      <c r="F134" s="13" t="str">
        <f t="array" ref="F134">_xlfn.LET(
 _xlpm.authors,_xlfn.TEXTBEFORE(A134," ("&amp;G134&amp;")"),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Wilczynski</v>
      </c>
      <c r="G134" s="13" t="str">
        <f t="shared" si="18"/>
        <v>1986</v>
      </c>
      <c r="H134" s="12" t="str">
        <f t="shared" si="19"/>
        <v>Fox_Wilczynski_1986</v>
      </c>
      <c r="I134" s="12" t="str">
        <f>_xlfn.LET(_xlpm.doi,IF(C134&lt;&gt;"",C134,_xlfn.TEXTAFTER(A134,"https://doi.org/")),SUBSTITUTE(SUBSTITUTE(SUBSTITUTE(SUBSTITUTE(_xlpm.doi,"/","%2F"),":","%3A"),"&lt;","%3C"),"&gt;","%3E"))</f>
        <v>10.1159%2F000118700</v>
      </c>
      <c r="J134" s="12" t="str">
        <f t="shared" si="20"/>
        <v>Fox_Wilczynski_1986_TableI</v>
      </c>
      <c r="K134" s="12" t="str">
        <f t="shared" si="21"/>
        <v>10.1159%2F000118700_TableI</v>
      </c>
      <c r="L134" s="13" t="str">
        <f t="array" ref="L134">IFERROR(INDEX(AUTO_Public_TSV_FileList!$A$1:$A$1000,MATCH(TRUE(),EXACT(K134,IFERROR(_xlfn.TEXTBEFORE(AUTO_Public_TSV_FileList!$A$1:$A$1000,".tsv"),"")),0)),"notfound")</f>
        <v>10.1159%2F000118700_TableI.tsv</v>
      </c>
      <c r="M134" s="4"/>
      <c r="N134" s="5" t="s">
        <v>35</v>
      </c>
      <c r="O134" s="4"/>
      <c r="P134" s="3" t="s">
        <v>36</v>
      </c>
      <c r="Q134" s="3"/>
      <c r="R134" s="3"/>
      <c r="S134" s="3" t="s">
        <v>569</v>
      </c>
      <c r="T134" s="3" t="s">
        <v>570</v>
      </c>
      <c r="U134" s="3"/>
      <c r="V134" s="3" t="s">
        <v>571</v>
      </c>
      <c r="W134" s="3" t="s">
        <v>295</v>
      </c>
      <c r="X134" s="3" t="s">
        <v>572</v>
      </c>
      <c r="Y134" s="3"/>
      <c r="Z134" s="3"/>
      <c r="AA134" s="3" t="s">
        <v>573</v>
      </c>
      <c r="AB134" s="3" t="s">
        <v>574</v>
      </c>
      <c r="AC134" s="4"/>
      <c r="AD134" s="3"/>
      <c r="AE134" s="3" t="s">
        <v>575</v>
      </c>
      <c r="AF134" s="3"/>
      <c r="AG134" s="3" t="s">
        <v>576</v>
      </c>
    </row>
    <row r="135" spans="1:33" ht="17.100000000000001" customHeight="1">
      <c r="A135" s="1" t="s">
        <v>577</v>
      </c>
      <c r="C135" s="1" t="s">
        <v>578</v>
      </c>
      <c r="D135" s="1" t="s">
        <v>81</v>
      </c>
      <c r="E135" s="13" t="str">
        <f t="shared" si="17"/>
        <v>Frahm</v>
      </c>
      <c r="F135" s="13" t="str">
        <f t="array" ref="F135">_xlfn.LET(
 _xlpm.authors,_xlfn.TEXTBEFORE(A135," ("&amp;G135&amp;")"),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Zilles</v>
      </c>
      <c r="G135" s="13" t="str">
        <f t="shared" si="18"/>
        <v>1994</v>
      </c>
      <c r="H135" s="13" t="str">
        <f t="shared" si="19"/>
        <v>Frahm_Zilles_1994</v>
      </c>
      <c r="I135" s="13" t="str">
        <f t="shared" ref="I135:I149" si="22">_xlfn.LET(
_xlpm.doi,IF(C135&lt;&gt;"",C135,_xlfn.TEXTAFTER(A135,"https://doi.org/")),
SUBSTITUTE(
SUBSTITUTE(
SUBSTITUTE(
SUBSTITUTE(
_xlpm.doi,
"/","%2F"),
":","%3A"),
"&lt;","%3C"),
"&gt;","%3E")
)</f>
        <v>PMID%3A7983368</v>
      </c>
      <c r="J135" s="13" t="str">
        <f t="shared" si="20"/>
        <v>Frahm_Zilles_1994_Table1</v>
      </c>
      <c r="K135" s="13" t="str">
        <f t="shared" si="21"/>
        <v>PMID%3A7983368_Table1</v>
      </c>
      <c r="L135" s="13" t="str">
        <f t="array" ref="L135">IFERROR(INDEX(AUTO_Public_TSV_FileList!$A$1:$A$1000,MATCH(TRUE(),EXACT(K135,IFERROR(_xlfn.TEXTBEFORE(AUTO_Public_TSV_FileList!$A$1:$A$1000,".tsv"),"")),0)),"notfound")</f>
        <v>PMID%3A7983368_Table1.tsv</v>
      </c>
      <c r="M135" s="4"/>
      <c r="N135" s="5" t="s">
        <v>35</v>
      </c>
      <c r="O135" s="4"/>
      <c r="P135" s="5" t="s">
        <v>36</v>
      </c>
      <c r="Q135" s="4"/>
      <c r="R135" s="4"/>
      <c r="S135" s="4"/>
      <c r="T135" s="4"/>
      <c r="U135" s="4"/>
      <c r="V135" s="4"/>
      <c r="W135" s="5" t="s">
        <v>117</v>
      </c>
      <c r="X135" s="5" t="s">
        <v>579</v>
      </c>
      <c r="Y135" s="4"/>
      <c r="Z135" s="5" t="s">
        <v>83</v>
      </c>
      <c r="AA135" s="5" t="s">
        <v>130</v>
      </c>
      <c r="AB135" s="5" t="s">
        <v>90</v>
      </c>
      <c r="AC135" s="5" t="s">
        <v>119</v>
      </c>
      <c r="AD135" s="5" t="s">
        <v>119</v>
      </c>
      <c r="AE135" s="5" t="s">
        <v>66</v>
      </c>
      <c r="AF135" s="5"/>
      <c r="AG135" s="4"/>
    </row>
    <row r="136" spans="1:33" ht="17.100000000000001" customHeight="1">
      <c r="A136" s="1" t="s">
        <v>577</v>
      </c>
      <c r="C136" s="1" t="s">
        <v>578</v>
      </c>
      <c r="D136" s="1" t="s">
        <v>70</v>
      </c>
      <c r="E136" s="13" t="str">
        <f t="shared" si="17"/>
        <v>Frahm</v>
      </c>
      <c r="F136" s="13" t="str">
        <f t="array" ref="F136">_xlfn.LET(
 _xlpm.authors,_xlfn.TEXTBEFORE(A136," ("&amp;G136&amp;")"),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Zilles</v>
      </c>
      <c r="G136" s="13" t="str">
        <f t="shared" si="18"/>
        <v>1994</v>
      </c>
      <c r="H136" s="13" t="str">
        <f t="shared" si="19"/>
        <v>Frahm_Zilles_1994</v>
      </c>
      <c r="I136" s="13" t="str">
        <f t="shared" si="22"/>
        <v>PMID%3A7983368</v>
      </c>
      <c r="J136" s="13" t="str">
        <f t="shared" si="20"/>
        <v>Frahm_Zilles_1994_Table2</v>
      </c>
      <c r="K136" s="13" t="str">
        <f t="shared" si="21"/>
        <v>PMID%3A7983368_Table2</v>
      </c>
      <c r="L136" s="13" t="str">
        <f t="array" ref="L136">IFERROR(INDEX(AUTO_Public_TSV_FileList!$A$1:$A$1000,MATCH(TRUE(),EXACT(K136,IFERROR(_xlfn.TEXTBEFORE(AUTO_Public_TSV_FileList!$A$1:$A$1000,".tsv"),"")),0)),"notfound")</f>
        <v>PMID%3A7983368_Table2.tsv</v>
      </c>
      <c r="M136" s="4"/>
      <c r="N136" s="4"/>
      <c r="O136" s="4"/>
      <c r="P136" s="4" t="s">
        <v>36</v>
      </c>
      <c r="Q136" s="4"/>
      <c r="R136" s="4"/>
      <c r="S136" s="4"/>
      <c r="T136" s="4"/>
      <c r="U136" s="4"/>
      <c r="V136" s="4"/>
      <c r="W136" s="4"/>
      <c r="X136" s="4"/>
      <c r="Y136" s="4"/>
      <c r="Z136" s="4"/>
      <c r="AA136" s="4"/>
      <c r="AB136" s="4"/>
      <c r="AC136" s="4"/>
      <c r="AD136" s="4"/>
      <c r="AE136" s="4"/>
      <c r="AF136" s="4"/>
      <c r="AG136" s="4"/>
    </row>
    <row r="137" spans="1:33" ht="17.100000000000001" customHeight="1">
      <c r="A137" s="17" t="s">
        <v>580</v>
      </c>
      <c r="C137" s="1" t="s">
        <v>581</v>
      </c>
      <c r="D137" s="1" t="s">
        <v>81</v>
      </c>
      <c r="E137" s="13" t="str">
        <f t="shared" si="17"/>
        <v>Frahm</v>
      </c>
      <c r="F137" s="13" t="str">
        <f t="array" ref="F137">_xlfn.LET(
 _xlpm.authors,_xlfn.TEXTBEFORE(A137," ("&amp;G137&amp;")"),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7" s="13" t="str">
        <f t="shared" si="18"/>
        <v>1997</v>
      </c>
      <c r="H137" s="13" t="str">
        <f t="shared" si="19"/>
        <v>Frahm_etal_1997</v>
      </c>
      <c r="I137" s="13" t="str">
        <f t="shared" si="22"/>
        <v>PMID%3A9176733</v>
      </c>
      <c r="J137" s="13" t="str">
        <f t="shared" si="20"/>
        <v>Frahm_etal_1997_Table1</v>
      </c>
      <c r="K137" s="13" t="str">
        <f t="shared" si="21"/>
        <v>PMID%3A9176733_Table1</v>
      </c>
      <c r="L137" s="13" t="str">
        <f t="array" ref="L137">IFERROR(INDEX(AUTO_Public_TSV_FileList!$A$1:$A$1000,MATCH(TRUE(),EXACT(K137,IFERROR(_xlfn.TEXTBEFORE(AUTO_Public_TSV_FileList!$A$1:$A$1000,".tsv"),"")),0)),"notfound")</f>
        <v>PMID%3A9176733_Table1.tsv</v>
      </c>
      <c r="M137" s="4"/>
      <c r="N137" s="5" t="s">
        <v>35</v>
      </c>
      <c r="O137" s="4"/>
      <c r="P137" s="5" t="s">
        <v>36</v>
      </c>
      <c r="Q137" s="4"/>
      <c r="R137" s="4"/>
      <c r="S137" s="4"/>
      <c r="T137" s="4"/>
      <c r="U137" s="4"/>
      <c r="V137" s="4"/>
      <c r="W137" s="5" t="s">
        <v>117</v>
      </c>
      <c r="X137" s="5" t="s">
        <v>582</v>
      </c>
      <c r="Y137" s="4"/>
      <c r="Z137" s="5" t="s">
        <v>83</v>
      </c>
      <c r="AA137" s="5" t="s">
        <v>130</v>
      </c>
      <c r="AB137" s="5" t="s">
        <v>90</v>
      </c>
      <c r="AC137" s="5" t="s">
        <v>119</v>
      </c>
      <c r="AD137" s="5" t="s">
        <v>119</v>
      </c>
      <c r="AE137" s="5" t="s">
        <v>66</v>
      </c>
      <c r="AF137" s="5"/>
      <c r="AG137" s="4"/>
    </row>
    <row r="138" spans="1:33" ht="17.100000000000001" customHeight="1">
      <c r="A138" s="1" t="s">
        <v>583</v>
      </c>
      <c r="C138" s="1" t="s">
        <v>584</v>
      </c>
      <c r="D138" s="1" t="s">
        <v>81</v>
      </c>
      <c r="E138" s="13" t="str">
        <f t="shared" si="17"/>
        <v>Frahm</v>
      </c>
      <c r="F138" s="13" t="str">
        <f t="array" ref="F138">_xlfn.LET(
 _xlpm.authors,_xlfn.TEXTBEFORE(A138," ("&amp;G138&amp;")"),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8" s="13" t="str">
        <f t="shared" si="18"/>
        <v>1984</v>
      </c>
      <c r="H138" s="13" t="str">
        <f t="shared" si="19"/>
        <v>Frahm_etal_1984</v>
      </c>
      <c r="I138" s="13" t="str">
        <f t="shared" si="22"/>
        <v>PMID%3A6501869</v>
      </c>
      <c r="J138" s="13" t="str">
        <f t="shared" si="20"/>
        <v>Frahm_etal_1984_Table1</v>
      </c>
      <c r="K138" s="13" t="str">
        <f t="shared" si="21"/>
        <v>PMID%3A6501869_Table1</v>
      </c>
      <c r="L138" s="13" t="str">
        <f t="array" ref="L138">IFERROR(INDEX(AUTO_Public_TSV_FileList!$A$1:$A$1000,MATCH(TRUE(),EXACT(K138,IFERROR(_xlfn.TEXTBEFORE(AUTO_Public_TSV_FileList!$A$1:$A$1000,".tsv"),"")),0)),"notfound")</f>
        <v>PMID%3A6501869_Table1.tsv</v>
      </c>
      <c r="M138" s="5" t="s">
        <v>585</v>
      </c>
      <c r="N138" s="5" t="s">
        <v>35</v>
      </c>
      <c r="O138" s="4"/>
      <c r="P138" s="5" t="s">
        <v>36</v>
      </c>
      <c r="Q138" s="4"/>
      <c r="R138" s="4"/>
      <c r="S138" s="4"/>
      <c r="T138" s="4"/>
      <c r="U138" s="4"/>
      <c r="V138" s="4"/>
      <c r="W138" s="5" t="s">
        <v>117</v>
      </c>
      <c r="X138" s="5" t="s">
        <v>586</v>
      </c>
      <c r="Y138" s="4"/>
      <c r="Z138" s="5" t="s">
        <v>83</v>
      </c>
      <c r="AA138" s="5" t="s">
        <v>130</v>
      </c>
      <c r="AB138" s="5" t="s">
        <v>90</v>
      </c>
      <c r="AC138" s="5" t="s">
        <v>119</v>
      </c>
      <c r="AD138" s="5" t="s">
        <v>119</v>
      </c>
      <c r="AE138" s="5" t="s">
        <v>66</v>
      </c>
      <c r="AF138" s="5"/>
      <c r="AG138" s="4"/>
    </row>
    <row r="139" spans="1:33" ht="17.100000000000001" customHeight="1">
      <c r="A139" s="1" t="s">
        <v>583</v>
      </c>
      <c r="C139" s="1" t="s">
        <v>584</v>
      </c>
      <c r="D139" s="1" t="s">
        <v>70</v>
      </c>
      <c r="E139" s="13" t="str">
        <f t="shared" si="17"/>
        <v>Frahm</v>
      </c>
      <c r="F139" s="13" t="str">
        <f t="array" ref="F139">_xlfn.LET(
 _xlpm.authors,_xlfn.TEXTBEFORE(A139," ("&amp;G139&amp;")"),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39" s="13" t="str">
        <f t="shared" si="18"/>
        <v>1984</v>
      </c>
      <c r="H139" s="13" t="str">
        <f t="shared" si="19"/>
        <v>Frahm_etal_1984</v>
      </c>
      <c r="I139" s="13" t="str">
        <f t="shared" si="22"/>
        <v>PMID%3A6501869</v>
      </c>
      <c r="J139" s="13" t="str">
        <f t="shared" si="20"/>
        <v>Frahm_etal_1984_Table2</v>
      </c>
      <c r="K139" s="13" t="str">
        <f t="shared" si="21"/>
        <v>PMID%3A6501869_Table2</v>
      </c>
      <c r="L139" s="13" t="str">
        <f t="array" ref="L139">IFERROR(INDEX(AUTO_Public_TSV_FileList!$A$1:$A$1000,MATCH(TRUE(),EXACT(K139,IFERROR(_xlfn.TEXTBEFORE(AUTO_Public_TSV_FileList!$A$1:$A$1000,".tsv"),"")),0)),"notfound")</f>
        <v>PMID%3A6501869_Table2.tsv</v>
      </c>
      <c r="M139" s="5" t="s">
        <v>587</v>
      </c>
      <c r="N139" s="5"/>
      <c r="O139" s="4"/>
      <c r="P139" s="5" t="s">
        <v>36</v>
      </c>
      <c r="Q139" s="4"/>
      <c r="R139" s="4"/>
      <c r="S139" s="4"/>
      <c r="T139" s="4"/>
      <c r="U139" s="4"/>
      <c r="V139" s="4"/>
      <c r="W139" s="5"/>
      <c r="X139" s="5"/>
      <c r="Y139" s="4"/>
      <c r="Z139" s="5"/>
      <c r="AA139" s="5"/>
      <c r="AB139" s="5"/>
      <c r="AC139" s="5"/>
      <c r="AD139" s="5"/>
      <c r="AE139" s="5"/>
      <c r="AF139" s="5"/>
      <c r="AG139" s="4"/>
    </row>
    <row r="140" spans="1:33" ht="17.100000000000001" customHeight="1">
      <c r="A140" s="1" t="s">
        <v>588</v>
      </c>
      <c r="C140" s="6" t="s">
        <v>589</v>
      </c>
      <c r="D140" s="1" t="s">
        <v>70</v>
      </c>
      <c r="E140" s="13" t="str">
        <f t="shared" si="17"/>
        <v>Frahm</v>
      </c>
      <c r="F140" s="13" t="str">
        <f t="array" ref="F140">_xlfn.LET(
 _xlpm.authors,_xlfn.TEXTBEFORE(A140," ("&amp;G140&amp;")"),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0" s="13" t="str">
        <f t="shared" si="18"/>
        <v>1982</v>
      </c>
      <c r="H140" s="13" t="str">
        <f t="shared" si="19"/>
        <v>Frahm_etal_1982</v>
      </c>
      <c r="I140" s="13" t="str">
        <f t="shared" si="22"/>
        <v>PMID%3A7161477</v>
      </c>
      <c r="J140" s="13" t="str">
        <f t="shared" si="20"/>
        <v>Frahm_etal_1982_Table2</v>
      </c>
      <c r="K140" s="13" t="str">
        <f t="shared" si="21"/>
        <v>PMID%3A7161477_Table2</v>
      </c>
      <c r="L140" s="13" t="str">
        <f t="array" ref="L140">IFERROR(INDEX(AUTO_Public_TSV_FileList!$A$1:$A$1000,MATCH(TRUE(),EXACT(K140,IFERROR(_xlfn.TEXTBEFORE(AUTO_Public_TSV_FileList!$A$1:$A$1000,".tsv"),"")),0)),"notfound")</f>
        <v>PMID%3A7161477_Table2.tsv</v>
      </c>
      <c r="M140" s="5" t="s">
        <v>590</v>
      </c>
      <c r="N140" s="5" t="s">
        <v>35</v>
      </c>
      <c r="O140" s="4"/>
      <c r="P140" s="5" t="s">
        <v>36</v>
      </c>
      <c r="Q140" s="4"/>
      <c r="R140" s="4"/>
      <c r="S140" s="4"/>
      <c r="T140" s="4"/>
      <c r="U140" s="4"/>
      <c r="V140" s="4"/>
      <c r="W140" s="5" t="s">
        <v>117</v>
      </c>
      <c r="X140" s="5" t="s">
        <v>591</v>
      </c>
      <c r="Y140" s="4"/>
      <c r="Z140" s="5" t="s">
        <v>83</v>
      </c>
      <c r="AA140" s="5" t="s">
        <v>130</v>
      </c>
      <c r="AB140" s="5" t="s">
        <v>90</v>
      </c>
      <c r="AC140" s="5" t="s">
        <v>119</v>
      </c>
      <c r="AD140" s="5" t="s">
        <v>119</v>
      </c>
      <c r="AE140" s="5" t="s">
        <v>66</v>
      </c>
      <c r="AF140" s="5"/>
      <c r="AG140" s="4"/>
    </row>
    <row r="141" spans="1:33" ht="17.100000000000001" customHeight="1">
      <c r="A141" s="1" t="s">
        <v>592</v>
      </c>
      <c r="C141" s="6" t="s">
        <v>593</v>
      </c>
      <c r="D141" s="1" t="s">
        <v>81</v>
      </c>
      <c r="E141" s="13" t="str">
        <f t="shared" si="17"/>
        <v>Frahm</v>
      </c>
      <c r="F141" s="13" t="str">
        <f t="array" ref="F141">_xlfn.LET(
 _xlpm.authors,_xlfn.TEXTBEFORE(A141," ("&amp;G141&amp;")"),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1" s="13" t="str">
        <f t="shared" si="18"/>
        <v>1998</v>
      </c>
      <c r="H141" s="13" t="str">
        <f t="shared" si="19"/>
        <v>Frahm_etal_1998</v>
      </c>
      <c r="I141" s="13" t="str">
        <f t="shared" si="22"/>
        <v>PMID%3A9672110</v>
      </c>
      <c r="J141" s="13" t="str">
        <f t="shared" si="20"/>
        <v>Frahm_etal_1998_Table1</v>
      </c>
      <c r="K141" s="13" t="str">
        <f t="shared" si="21"/>
        <v>PMID%3A9672110_Table1</v>
      </c>
      <c r="L141" s="13" t="str">
        <f t="array" ref="L141">IFERROR(INDEX(AUTO_Public_TSV_FileList!$A$1:$A$1000,MATCH(TRUE(),EXACT(K141,IFERROR(_xlfn.TEXTBEFORE(AUTO_Public_TSV_FileList!$A$1:$A$1000,".tsv"),"")),0)),"notfound")</f>
        <v>PMID%3A9672110_Table1.tsv</v>
      </c>
      <c r="M141" s="4"/>
      <c r="N141" s="5" t="s">
        <v>35</v>
      </c>
      <c r="O141" s="4"/>
      <c r="P141" s="5" t="s">
        <v>36</v>
      </c>
      <c r="Q141" s="4"/>
      <c r="R141" s="4"/>
      <c r="S141" s="4"/>
      <c r="T141" s="4"/>
      <c r="U141" s="4"/>
      <c r="V141" s="4"/>
      <c r="W141" s="5" t="s">
        <v>117</v>
      </c>
      <c r="X141" s="5" t="s">
        <v>594</v>
      </c>
      <c r="Y141" s="4"/>
      <c r="Z141" s="5" t="s">
        <v>83</v>
      </c>
      <c r="AA141" s="5" t="s">
        <v>130</v>
      </c>
      <c r="AB141" s="5" t="s">
        <v>90</v>
      </c>
      <c r="AC141" s="5" t="s">
        <v>119</v>
      </c>
      <c r="AD141" s="5" t="s">
        <v>119</v>
      </c>
      <c r="AE141" s="5" t="s">
        <v>66</v>
      </c>
      <c r="AF141" s="5"/>
      <c r="AG141" s="4"/>
    </row>
    <row r="142" spans="1:33" ht="17.100000000000001" customHeight="1">
      <c r="A142" s="1" t="s">
        <v>595</v>
      </c>
      <c r="D142" s="1" t="s">
        <v>596</v>
      </c>
      <c r="E142" s="13" t="str">
        <f t="shared" si="17"/>
        <v>Fritsches</v>
      </c>
      <c r="F142" s="13" t="str">
        <f t="array" ref="F142">_xlfn.LET(
 _xlpm.authors,_xlfn.TEXTBEFORE(A142," ("&amp;G142&amp;")"),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2" s="13" t="str">
        <f t="shared" si="18"/>
        <v>2005</v>
      </c>
      <c r="H142" s="13" t="str">
        <f t="shared" si="19"/>
        <v>Fritsches_etal_2005</v>
      </c>
      <c r="I142" s="13" t="str">
        <f t="shared" si="22"/>
        <v>10.1016%2Fj.cub.2004.12.064</v>
      </c>
      <c r="J142" s="13" t="str">
        <f t="shared" si="20"/>
        <v>Fritsches_etal_2005_Fig2</v>
      </c>
      <c r="K142" s="13" t="str">
        <f t="shared" si="21"/>
        <v>10.1016%2Fj.cub.2004.12.064_Fig2</v>
      </c>
      <c r="L142" s="13" t="str">
        <f t="array" ref="L142">IFERROR(INDEX(AUTO_Public_TSV_FileList!$A$1:$A$1000,MATCH(TRUE(),EXACT(K142,IFERROR(_xlfn.TEXTBEFORE(AUTO_Public_TSV_FileList!$A$1:$A$1000,".tsv"),"")),0)),"notfound")</f>
        <v>10.1016%2Fj.cub.2004.12.064_Fig2.tsv</v>
      </c>
      <c r="M142" s="4"/>
      <c r="N142" s="4"/>
      <c r="O142" s="4" t="s">
        <v>597</v>
      </c>
      <c r="P142" s="5" t="s">
        <v>36</v>
      </c>
      <c r="Q142" s="4"/>
      <c r="R142" s="4"/>
      <c r="S142" s="4"/>
      <c r="T142" s="4"/>
      <c r="U142" s="4"/>
      <c r="V142" s="4"/>
      <c r="W142" s="4"/>
      <c r="X142" s="4"/>
      <c r="Y142" s="4"/>
      <c r="Z142" s="4"/>
      <c r="AA142" s="4"/>
      <c r="AB142" s="4"/>
      <c r="AC142" s="4"/>
      <c r="AD142" s="4"/>
      <c r="AE142" s="4"/>
      <c r="AF142" s="4"/>
      <c r="AG142" s="4"/>
    </row>
    <row r="143" spans="1:33" ht="17.100000000000001" customHeight="1">
      <c r="A143" s="1" t="s">
        <v>598</v>
      </c>
      <c r="D143" s="1" t="s">
        <v>81</v>
      </c>
      <c r="E143" s="13" t="str">
        <f t="shared" si="17"/>
        <v>Fu</v>
      </c>
      <c r="F143" s="13" t="str">
        <f t="array" ref="F143">_xlfn.LET(
 _xlpm.authors,_xlfn.TEXTBEFORE(A143," ("&amp;G143&amp;")"),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3" s="13" t="str">
        <f t="shared" si="18"/>
        <v>2013</v>
      </c>
      <c r="H143" s="13" t="str">
        <f t="shared" si="19"/>
        <v>Fu_etal_2013</v>
      </c>
      <c r="I143" s="13" t="str">
        <f t="shared" si="22"/>
        <v>10.1007%2Fs00429-012-0462-x</v>
      </c>
      <c r="J143" s="13" t="str">
        <f t="shared" si="20"/>
        <v>Fu_etal_2013_Table1</v>
      </c>
      <c r="K143" s="13" t="str">
        <f t="shared" si="21"/>
        <v>10.1007%2Fs00429-012-0462-x_Table1</v>
      </c>
      <c r="L143" s="13" t="str">
        <f t="array" ref="L143">IFERROR(INDEX(AUTO_Public_TSV_FileList!$A$1:$A$1000,MATCH(TRUE(),EXACT(K143,IFERROR(_xlfn.TEXTBEFORE(AUTO_Public_TSV_FileList!$A$1:$A$1000,".tsv"),"")),0)),"notfound")</f>
        <v>10.1007%2Fs00429-012-0462-x_Table1.tsv</v>
      </c>
      <c r="M143" s="5" t="s">
        <v>599</v>
      </c>
      <c r="N143" s="4"/>
      <c r="O143" s="4"/>
      <c r="P143" s="5" t="s">
        <v>36</v>
      </c>
      <c r="Q143" s="4"/>
      <c r="R143" s="4"/>
      <c r="S143" s="4"/>
      <c r="T143" s="4"/>
      <c r="U143" s="4"/>
      <c r="V143" s="4"/>
      <c r="W143" s="5"/>
      <c r="X143" s="4"/>
      <c r="Y143" s="5" t="s">
        <v>270</v>
      </c>
      <c r="Z143" s="4"/>
      <c r="AA143" s="4"/>
      <c r="AB143" s="5"/>
      <c r="AC143" s="4"/>
      <c r="AD143" s="4"/>
      <c r="AE143" s="5"/>
      <c r="AF143" s="5"/>
      <c r="AG143" s="4"/>
    </row>
    <row r="144" spans="1:33" ht="17.100000000000001" customHeight="1">
      <c r="A144" s="1" t="s">
        <v>600</v>
      </c>
      <c r="D144" s="1" t="s">
        <v>231</v>
      </c>
      <c r="E144" s="13" t="str">
        <f t="shared" si="17"/>
        <v>Gabi</v>
      </c>
      <c r="F144" s="13" t="str">
        <f t="array" ref="F144">_xlfn.LET(
 _xlpm.authors,_xlfn.TEXTBEFORE(A144," ("&amp;G144&amp;")"),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4" s="13" t="str">
        <f t="shared" si="18"/>
        <v>2016</v>
      </c>
      <c r="H144" s="13" t="str">
        <f t="shared" si="19"/>
        <v>Gabi_etal_2016</v>
      </c>
      <c r="I144" s="13" t="str">
        <f t="shared" si="22"/>
        <v>10.1073%2Fpnas.1610178113</v>
      </c>
      <c r="J144" s="13" t="str">
        <f t="shared" si="20"/>
        <v>Gabi_etal_2016_TableS1</v>
      </c>
      <c r="K144" s="13" t="str">
        <f t="shared" si="21"/>
        <v>10.1073%2Fpnas.1610178113_TableS1</v>
      </c>
      <c r="L144" s="13" t="str">
        <f t="array" ref="L144">IFERROR(INDEX(AUTO_Public_TSV_FileList!$A$1:$A$1000,MATCH(TRUE(),EXACT(K144,IFERROR(_xlfn.TEXTBEFORE(AUTO_Public_TSV_FileList!$A$1:$A$1000,".tsv"),"")),0)),"notfound")</f>
        <v>10.1073%2Fpnas.1610178113_TableS1.tsv</v>
      </c>
      <c r="M144" s="4"/>
      <c r="N144" s="4" t="s">
        <v>35</v>
      </c>
      <c r="O144" s="4"/>
      <c r="P144" s="4" t="s">
        <v>36</v>
      </c>
      <c r="Q144" s="4"/>
      <c r="R144" s="4"/>
      <c r="S144" s="4"/>
      <c r="T144" s="4"/>
      <c r="U144" s="4"/>
      <c r="V144" s="4"/>
      <c r="W144" s="4" t="s">
        <v>601</v>
      </c>
      <c r="X144" s="4" t="s">
        <v>602</v>
      </c>
      <c r="Y144" s="4"/>
      <c r="Z144" s="4"/>
      <c r="AA144" s="4"/>
      <c r="AB144" s="4" t="s">
        <v>603</v>
      </c>
      <c r="AC144" s="4" t="s">
        <v>65</v>
      </c>
      <c r="AD144" s="4"/>
      <c r="AE144" s="4" t="s">
        <v>66</v>
      </c>
      <c r="AF144" s="4"/>
      <c r="AG144" s="4" t="s">
        <v>604</v>
      </c>
    </row>
    <row r="145" spans="1:33" ht="17.100000000000001" customHeight="1">
      <c r="A145" s="1" t="s">
        <v>605</v>
      </c>
      <c r="D145" s="1" t="s">
        <v>231</v>
      </c>
      <c r="E145" s="13" t="str">
        <f t="shared" si="17"/>
        <v>Garwicz</v>
      </c>
      <c r="F145" s="13" t="str">
        <f t="array" ref="F145">_xlfn.LET(
 _xlpm.authors,_xlfn.TEXTBEFORE(A145," ("&amp;G145&amp;")"),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5" s="13" t="str">
        <f t="shared" si="18"/>
        <v>2009</v>
      </c>
      <c r="H145" s="13" t="str">
        <f t="shared" si="19"/>
        <v>Garwicz_etal_2009</v>
      </c>
      <c r="I145" s="13" t="str">
        <f t="shared" si="22"/>
        <v>10.1073%2Fpnas.0905777106</v>
      </c>
      <c r="J145" s="13" t="str">
        <f t="shared" si="20"/>
        <v>Garwicz_etal_2009_TableS1</v>
      </c>
      <c r="K145" s="13" t="str">
        <f t="shared" si="21"/>
        <v>10.1073%2Fpnas.0905777106_TableS1</v>
      </c>
      <c r="L145" s="13" t="str">
        <f t="array" ref="L145">IFERROR(INDEX(AUTO_Public_TSV_FileList!$A$1:$A$1000,MATCH(TRUE(),EXACT(K145,IFERROR(_xlfn.TEXTBEFORE(AUTO_Public_TSV_FileList!$A$1:$A$1000,".tsv"),"")),0)),"notfound")</f>
        <v>10.1073%2Fpnas.0905777106_TableS1.tsv</v>
      </c>
      <c r="M145" s="5" t="s">
        <v>606</v>
      </c>
      <c r="N145" s="4"/>
      <c r="O145" s="4"/>
      <c r="P145" s="4" t="s">
        <v>36</v>
      </c>
      <c r="Q145" s="4"/>
      <c r="R145" s="5" t="s">
        <v>607</v>
      </c>
      <c r="S145" s="4"/>
      <c r="T145" s="4"/>
      <c r="U145" s="4"/>
      <c r="V145" s="4"/>
      <c r="W145" s="5" t="s">
        <v>138</v>
      </c>
      <c r="X145" s="4"/>
      <c r="Y145" s="4"/>
      <c r="Z145" s="4"/>
      <c r="AA145" s="4"/>
      <c r="AB145" s="5" t="s">
        <v>608</v>
      </c>
      <c r="AC145" s="4"/>
      <c r="AD145" s="4"/>
      <c r="AE145" s="5" t="s">
        <v>179</v>
      </c>
      <c r="AF145" s="5"/>
      <c r="AG145" s="4"/>
    </row>
    <row r="146" spans="1:33" ht="17.100000000000001" customHeight="1">
      <c r="A146" s="1" t="s">
        <v>605</v>
      </c>
      <c r="D146" s="1" t="s">
        <v>558</v>
      </c>
      <c r="E146" s="13" t="str">
        <f t="shared" si="17"/>
        <v>Garwicz</v>
      </c>
      <c r="F146" s="13" t="str">
        <f t="array" ref="F146">_xlfn.LET(
 _xlpm.authors,_xlfn.TEXTBEFORE(A146," ("&amp;G146&amp;")"),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6" s="13" t="str">
        <f t="shared" si="18"/>
        <v>2009</v>
      </c>
      <c r="H146" s="13" t="str">
        <f t="shared" si="19"/>
        <v>Garwicz_etal_2009</v>
      </c>
      <c r="I146" s="13" t="str">
        <f t="shared" si="22"/>
        <v>10.1073%2Fpnas.0905777106</v>
      </c>
      <c r="J146" s="13" t="str">
        <f t="shared" si="20"/>
        <v>Garwicz_etal_2009_TableS2</v>
      </c>
      <c r="K146" s="13" t="str">
        <f t="shared" si="21"/>
        <v>10.1073%2Fpnas.0905777106_TableS2</v>
      </c>
      <c r="L146" s="13" t="str">
        <f t="array" ref="L146">IFERROR(INDEX(AUTO_Public_TSV_FileList!$A$1:$A$1000,MATCH(TRUE(),EXACT(K146,IFERROR(_xlfn.TEXTBEFORE(AUTO_Public_TSV_FileList!$A$1:$A$1000,".tsv"),"")),0)),"notfound")</f>
        <v>10.1073%2Fpnas.0905777106_TableS2.tsv</v>
      </c>
      <c r="M146" s="5" t="s">
        <v>609</v>
      </c>
      <c r="N146" s="4"/>
      <c r="O146" s="4"/>
      <c r="P146" s="4" t="s">
        <v>36</v>
      </c>
      <c r="Q146" s="4"/>
      <c r="R146" s="5" t="s">
        <v>607</v>
      </c>
      <c r="S146" s="4"/>
      <c r="T146" s="4"/>
      <c r="U146" s="4"/>
      <c r="V146" s="4"/>
      <c r="W146" s="5" t="s">
        <v>138</v>
      </c>
      <c r="X146" s="4"/>
      <c r="Y146" s="4"/>
      <c r="Z146" s="4"/>
      <c r="AA146" s="4"/>
      <c r="AB146" s="5" t="s">
        <v>608</v>
      </c>
      <c r="AC146" s="4"/>
      <c r="AD146" s="4"/>
      <c r="AE146" s="5" t="s">
        <v>179</v>
      </c>
      <c r="AF146" s="5"/>
      <c r="AG146" s="4"/>
    </row>
    <row r="147" spans="1:33" ht="17.100000000000001" customHeight="1">
      <c r="A147" s="1" t="s">
        <v>610</v>
      </c>
      <c r="D147" s="1" t="s">
        <v>558</v>
      </c>
      <c r="E147" s="13" t="str">
        <f t="shared" si="17"/>
        <v>Genoud</v>
      </c>
      <c r="F147" s="13" t="str">
        <f t="array" ref="F147">_xlfn.LET(
 _xlpm.authors,_xlfn.TEXTBEFORE(A147," ("&amp;G147&amp;")"),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7" s="13" t="str">
        <f t="shared" si="18"/>
        <v>2018</v>
      </c>
      <c r="H147" s="13" t="str">
        <f t="shared" si="19"/>
        <v>Genoud_etal_2018</v>
      </c>
      <c r="I147" s="13" t="str">
        <f t="shared" si="22"/>
        <v>10.1111%2Fbrv.12350</v>
      </c>
      <c r="J147" s="13" t="str">
        <f t="shared" si="20"/>
        <v>Genoud_etal_2018_TableS2</v>
      </c>
      <c r="K147" s="13" t="str">
        <f t="shared" si="21"/>
        <v>10.1111%2Fbrv.12350_TableS2</v>
      </c>
      <c r="L147" s="13" t="str">
        <f t="array" ref="L147">IFERROR(INDEX(AUTO_Public_TSV_FileList!$A$1:$A$1000,MATCH(TRUE(),EXACT(K147,IFERROR(_xlfn.TEXTBEFORE(AUTO_Public_TSV_FileList!$A$1:$A$1000,".tsv"),"")),0)),"notfound")</f>
        <v>10.1111%2Fbrv.12350_TableS2.tsv</v>
      </c>
      <c r="M147" s="5" t="s">
        <v>611</v>
      </c>
      <c r="N147" s="4"/>
      <c r="O147" s="4"/>
      <c r="P147" s="4" t="s">
        <v>36</v>
      </c>
      <c r="Q147" s="4"/>
      <c r="R147" s="4"/>
      <c r="S147" s="4"/>
      <c r="T147" s="4"/>
      <c r="U147" s="4"/>
      <c r="V147" s="4"/>
      <c r="W147" s="5"/>
      <c r="X147" s="5" t="s">
        <v>612</v>
      </c>
      <c r="Y147" s="4"/>
      <c r="Z147" s="4"/>
      <c r="AA147" s="4"/>
      <c r="AB147" s="5"/>
      <c r="AC147" s="4"/>
      <c r="AD147" s="4"/>
      <c r="AE147" s="5" t="s">
        <v>179</v>
      </c>
      <c r="AF147" s="5"/>
      <c r="AG147" s="4"/>
    </row>
    <row r="148" spans="1:33" ht="17.100000000000001" customHeight="1">
      <c r="A148" s="1" t="s">
        <v>613</v>
      </c>
      <c r="B148" s="8"/>
      <c r="C148" s="8"/>
      <c r="D148" s="1" t="s">
        <v>231</v>
      </c>
      <c r="E148" s="13" t="str">
        <f t="shared" si="17"/>
        <v>Granatosky</v>
      </c>
      <c r="F148" s="13" t="str">
        <f t="array" ref="F148">_xlfn.LET(
 _xlpm.authors,_xlfn.TEXTBEFORE(A148," ("&amp;G148&amp;")"),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48" s="13" t="str">
        <f t="shared" si="18"/>
        <v>2018</v>
      </c>
      <c r="H148" s="13" t="str">
        <f t="shared" si="19"/>
        <v>Granatosky__2018</v>
      </c>
      <c r="I148" s="13" t="str">
        <f t="shared" si="22"/>
        <v>10.1111%2Fjzo.12608</v>
      </c>
      <c r="J148" s="13" t="str">
        <f t="shared" si="20"/>
        <v>Granatosky__2018_TableS1</v>
      </c>
      <c r="K148" s="13" t="str">
        <f t="shared" si="21"/>
        <v>10.1111%2Fjzo.12608_TableS1</v>
      </c>
      <c r="L148" s="13" t="str">
        <f t="array" ref="L148">IFERROR(INDEX(AUTO_Public_TSV_FileList!$A$1:$A$1000,MATCH(TRUE(),EXACT(K148,IFERROR(_xlfn.TEXTBEFORE(AUTO_Public_TSV_FileList!$A$1:$A$1000,".tsv"),"")),0)),"notfound")</f>
        <v>10.1111%2Fjzo.12608_TableS1.tsv</v>
      </c>
      <c r="M148" s="5" t="s">
        <v>614</v>
      </c>
      <c r="N148" s="4"/>
      <c r="O148" s="4"/>
      <c r="P148" s="4" t="s">
        <v>36</v>
      </c>
      <c r="Q148" s="4"/>
      <c r="R148" s="5" t="s">
        <v>615</v>
      </c>
      <c r="S148" s="4"/>
      <c r="T148" s="4"/>
      <c r="U148" s="4"/>
      <c r="V148" s="4"/>
      <c r="W148" s="5" t="s">
        <v>138</v>
      </c>
      <c r="X148" s="4"/>
      <c r="Y148" s="4"/>
      <c r="Z148" s="4"/>
      <c r="AA148" s="4"/>
      <c r="AB148" s="5" t="s">
        <v>616</v>
      </c>
      <c r="AC148" s="4"/>
      <c r="AD148" s="4"/>
      <c r="AE148" s="5" t="s">
        <v>179</v>
      </c>
      <c r="AF148" s="5"/>
      <c r="AG148" s="4"/>
    </row>
    <row r="149" spans="1:33" ht="17.100000000000001" customHeight="1">
      <c r="A149" s="1" t="s">
        <v>617</v>
      </c>
      <c r="B149" s="8"/>
      <c r="C149" s="8"/>
      <c r="D149" s="1" t="s">
        <v>618</v>
      </c>
      <c r="E149" s="13" t="str">
        <f t="shared" si="17"/>
        <v>Haarlem</v>
      </c>
      <c r="F149" s="13" t="str">
        <f t="array" ref="F149">_xlfn.LET(
 _xlpm.authors,_xlfn.TEXTBEFORE(A149," ("&amp;G149&amp;")"),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49" s="13" t="str">
        <f t="shared" si="18"/>
        <v>2026</v>
      </c>
      <c r="H149" s="13" t="str">
        <f t="shared" si="19"/>
        <v>Haarlem_etal_2026</v>
      </c>
      <c r="I149" s="13" t="str">
        <f t="shared" si="22"/>
        <v>10.1038%2Fs41559-026-02994-7</v>
      </c>
      <c r="J149" s="13" t="str">
        <f t="shared" si="20"/>
        <v>Haarlem_etal_2026_CFFdataset</v>
      </c>
      <c r="K149" s="13" t="str">
        <f t="shared" si="21"/>
        <v>10.1038%2Fs41559-026-02994-7_CFFdataset</v>
      </c>
      <c r="L149" s="13" t="str">
        <f t="array" ref="L149">IFERROR(INDEX(AUTO_Public_TSV_FileList!$A$1:$A$1000,MATCH(TRUE(),EXACT(K149,IFERROR(_xlfn.TEXTBEFORE(AUTO_Public_TSV_FileList!$A$1:$A$1000,".tsv"),"")),0)),"notfound")</f>
        <v>10.1038%2Fs41559-026-02994-7_CFFdataset.tsv</v>
      </c>
      <c r="M149" s="4"/>
      <c r="N149" s="4"/>
      <c r="O149" s="5" t="s">
        <v>618</v>
      </c>
      <c r="P149" s="4" t="s">
        <v>36</v>
      </c>
      <c r="Q149" s="4"/>
      <c r="R149" s="5" t="s">
        <v>615</v>
      </c>
      <c r="S149" s="4"/>
      <c r="T149" s="4"/>
      <c r="U149" s="4"/>
      <c r="V149" s="4"/>
      <c r="W149" s="5"/>
      <c r="X149" s="4"/>
      <c r="Y149" s="4"/>
      <c r="Z149" s="4"/>
      <c r="AA149" s="4"/>
      <c r="AB149" s="5"/>
      <c r="AC149" s="4"/>
      <c r="AD149" s="4"/>
      <c r="AE149" s="5"/>
      <c r="AF149" s="5"/>
      <c r="AG149" s="4"/>
    </row>
    <row r="150" spans="1:33" ht="17.100000000000001" customHeight="1">
      <c r="A150" s="16" t="s">
        <v>619</v>
      </c>
      <c r="B150" s="15"/>
      <c r="C150" s="15"/>
      <c r="D150" s="16" t="s">
        <v>70</v>
      </c>
      <c r="E150" s="12" t="str">
        <f t="shared" si="17"/>
        <v>Hakeem</v>
      </c>
      <c r="F150" s="13" t="str">
        <f t="array" ref="F150">_xlfn.LET(
 _xlpm.authors,_xlfn.TEXTBEFORE(A150," ("&amp;G150&amp;")"),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0" s="13" t="str">
        <f t="shared" si="18"/>
        <v>2005</v>
      </c>
      <c r="H150" s="12" t="str">
        <f t="shared" si="19"/>
        <v>Hakeem_etal_2005</v>
      </c>
      <c r="I150" s="12" t="str">
        <f>_xlfn.LET(_xlpm.doi,IF(C150&lt;&gt;"",C150,_xlfn.TEXTAFTER(A150,"https://doi.org/")),SUBSTITUTE(SUBSTITUTE(SUBSTITUTE(SUBSTITUTE(_xlpm.doi,"/","%2F"),":","%3A"),"&lt;","%3C"),"&gt;","%3E"))</f>
        <v>10.1002%2Far.a.20255</v>
      </c>
      <c r="J150" s="12" t="str">
        <f t="shared" si="20"/>
        <v>Hakeem_etal_2005_Table2</v>
      </c>
      <c r="K150" s="12" t="str">
        <f t="shared" si="21"/>
        <v>10.1002%2Far.a.20255_Table2</v>
      </c>
      <c r="L150" s="13" t="str">
        <f t="array" ref="L150">IFERROR(INDEX(AUTO_Public_TSV_FileList!$A$1:$A$1000,MATCH(TRUE(),EXACT(K150,IFERROR(_xlfn.TEXTBEFORE(AUTO_Public_TSV_FileList!$A$1:$A$1000,".tsv"),"")),0)),"notfound")</f>
        <v>10.1002%2Far.a.20255_Table2.tsv</v>
      </c>
      <c r="M150" s="4"/>
      <c r="N150" s="5" t="s">
        <v>35</v>
      </c>
      <c r="O150" s="4"/>
      <c r="P150" s="3" t="s">
        <v>36</v>
      </c>
      <c r="Q150" s="3"/>
      <c r="R150" s="3" t="s">
        <v>620</v>
      </c>
      <c r="S150" s="3" t="s">
        <v>569</v>
      </c>
      <c r="T150" s="3" t="s">
        <v>570</v>
      </c>
      <c r="U150" s="3"/>
      <c r="V150" s="3" t="s">
        <v>571</v>
      </c>
      <c r="W150" s="3" t="s">
        <v>621</v>
      </c>
      <c r="X150" s="3" t="s">
        <v>622</v>
      </c>
      <c r="Y150" s="3"/>
      <c r="Z150" s="3"/>
      <c r="AA150" s="3" t="s">
        <v>623</v>
      </c>
      <c r="AB150" s="3" t="s">
        <v>624</v>
      </c>
      <c r="AC150" s="4"/>
      <c r="AD150" s="3"/>
      <c r="AE150" s="3" t="s">
        <v>66</v>
      </c>
      <c r="AF150" s="3"/>
      <c r="AG150" s="3" t="s">
        <v>625</v>
      </c>
    </row>
    <row r="151" spans="1:33" ht="17.100000000000001" customHeight="1">
      <c r="A151" s="16" t="s">
        <v>626</v>
      </c>
      <c r="B151" s="15"/>
      <c r="C151" s="15"/>
      <c r="D151" s="16" t="s">
        <v>81</v>
      </c>
      <c r="E151" s="12" t="str">
        <f t="shared" si="17"/>
        <v>Hakeem</v>
      </c>
      <c r="F151" s="13" t="str">
        <f t="array" ref="F151">_xlfn.LET(
 _xlpm.authors,_xlfn.TEXTBEFORE(A151," ("&amp;G151&amp;")"),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1" s="13" t="str">
        <f t="shared" si="18"/>
        <v>2009</v>
      </c>
      <c r="H151" s="12" t="str">
        <f t="shared" si="19"/>
        <v>Hakeem_etal_2009</v>
      </c>
      <c r="I151" s="12" t="str">
        <f>_xlfn.LET(_xlpm.doi,IF(C151&lt;&gt;"",C151,_xlfn.TEXTAFTER(A151,"https://doi.org/")),SUBSTITUTE(SUBSTITUTE(SUBSTITUTE(SUBSTITUTE(_xlpm.doi,"/","%2F"),":","%3A"),"&lt;","%3C"),"&gt;","%3E"))</f>
        <v>10.1002%2Far.20829</v>
      </c>
      <c r="J151" s="12" t="str">
        <f t="shared" si="20"/>
        <v>Hakeem_etal_2009_Table1</v>
      </c>
      <c r="K151" s="12" t="str">
        <f t="shared" si="21"/>
        <v>10.1002%2Far.20829_Table1</v>
      </c>
      <c r="L151" s="13" t="str">
        <f t="array" ref="L151">IFERROR(INDEX(AUTO_Public_TSV_FileList!$A$1:$A$1000,MATCH(TRUE(),EXACT(K151,IFERROR(_xlfn.TEXTBEFORE(AUTO_Public_TSV_FileList!$A$1:$A$1000,".tsv"),"")),0)),"notfound")</f>
        <v>notfound</v>
      </c>
      <c r="M151" s="4"/>
      <c r="N151" s="5"/>
      <c r="O151" s="4"/>
      <c r="P151" s="3" t="s">
        <v>36</v>
      </c>
      <c r="Q151" s="3"/>
      <c r="R151" s="3"/>
      <c r="S151" s="3"/>
      <c r="T151" s="3"/>
      <c r="U151" s="3"/>
      <c r="V151" s="3"/>
      <c r="W151" s="3"/>
      <c r="X151" s="3"/>
      <c r="Y151" s="3"/>
      <c r="Z151" s="3"/>
      <c r="AA151" s="3"/>
      <c r="AB151" s="3"/>
      <c r="AC151" s="4"/>
      <c r="AD151" s="3"/>
      <c r="AE151" s="3"/>
      <c r="AF151" s="3"/>
      <c r="AG151" s="3"/>
    </row>
    <row r="152" spans="1:33" ht="17.100000000000001" customHeight="1">
      <c r="A152" s="17" t="s">
        <v>627</v>
      </c>
      <c r="D152" s="17" t="s">
        <v>628</v>
      </c>
      <c r="E152" s="12" t="str">
        <f t="shared" si="17"/>
        <v>Halley</v>
      </c>
      <c r="F152" s="13" t="str">
        <f t="array" ref="F152">_xlfn.LET(
 _xlpm.authors,_xlfn.TEXTBEFORE(A152," ("&amp;G152&amp;")"),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Krubitzer</v>
      </c>
      <c r="G152" s="13" t="str">
        <f t="shared" si="18"/>
        <v>2019</v>
      </c>
      <c r="H152" s="12" t="str">
        <f t="shared" si="19"/>
        <v>Halley_Krubitzer_2019</v>
      </c>
      <c r="I152" s="12" t="str">
        <f>_xlfn.LET(_xlpm.doi,IF(C152&lt;&gt;"",C152,_xlfn.TEXTAFTER(A152,"https://doi.org/")),SUBSTITUTE(SUBSTITUTE(SUBSTITUTE(SUBSTITUTE(_xlpm.doi,"/","%2F"),":","%3A"),"&lt;","%3C"),"&gt;","%3E"))</f>
        <v>10.1016%2Fj.conb.2018.12.003</v>
      </c>
      <c r="J152" s="12" t="str">
        <f t="shared" si="20"/>
        <v>Halley_Krubitzer_2019_Figure1</v>
      </c>
      <c r="K152" s="12" t="str">
        <f t="shared" si="21"/>
        <v>10.1016%2Fj.conb.2018.12.003_Figure1</v>
      </c>
      <c r="L152" s="13" t="str">
        <f t="array" ref="L152">IFERROR(INDEX(AUTO_Public_TSV_FileList!$A$1:$A$1000,MATCH(TRUE(),EXACT(K152,IFERROR(_xlfn.TEXTBEFORE(AUTO_Public_TSV_FileList!$A$1:$A$1000,".tsv"),"")),0)),"notfound")</f>
        <v>notfound</v>
      </c>
      <c r="M152" s="4" t="s">
        <v>629</v>
      </c>
      <c r="N152" s="4" t="s">
        <v>630</v>
      </c>
      <c r="O152" s="4" t="s">
        <v>631</v>
      </c>
      <c r="P152" s="4" t="s">
        <v>36</v>
      </c>
      <c r="Q152" s="4"/>
      <c r="R152" s="4" t="s">
        <v>632</v>
      </c>
      <c r="S152" s="4"/>
      <c r="T152" s="4" t="s">
        <v>633</v>
      </c>
      <c r="U152" s="4"/>
      <c r="V152" s="4" t="s">
        <v>634</v>
      </c>
      <c r="W152" s="4" t="s">
        <v>138</v>
      </c>
      <c r="X152" s="4" t="s">
        <v>635</v>
      </c>
      <c r="Y152" s="4" t="s">
        <v>636</v>
      </c>
      <c r="Z152" s="4"/>
      <c r="AA152" s="4"/>
      <c r="AB152" s="4" t="s">
        <v>637</v>
      </c>
      <c r="AC152" s="4" t="s">
        <v>638</v>
      </c>
      <c r="AD152" s="4"/>
      <c r="AE152" s="4" t="s">
        <v>179</v>
      </c>
      <c r="AF152" s="4"/>
      <c r="AG152" s="4" t="s">
        <v>639</v>
      </c>
    </row>
    <row r="153" spans="1:33" ht="17.100000000000001" customHeight="1">
      <c r="A153" s="17" t="s">
        <v>640</v>
      </c>
      <c r="D153" s="17" t="s">
        <v>70</v>
      </c>
      <c r="E153" s="12" t="str">
        <f t="shared" si="17"/>
        <v>Hanson</v>
      </c>
      <c r="F153" s="12" t="str">
        <f t="array" ref="F153">_xlfn.LET(
 _xlpm.authors,_xlfn.TEXTBEFORE(A153," ("&amp;G153&amp;")"),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3" s="12" t="str">
        <f t="shared" si="18"/>
        <v>2018</v>
      </c>
      <c r="H153" s="12" t="str">
        <f t="shared" si="19"/>
        <v>Hanson_etal_2018</v>
      </c>
      <c r="I153" s="12" t="str">
        <f>_xlfn.LET(
_xlpm.doi,IF(C153&lt;&gt;"",C153,_xlfn.TEXTAFTER(A153,"https://doi.org/")),
SUBSTITUTE(
SUBSTITUTE(
SUBSTITUTE(
SUBSTITUTE(
_xlpm.doi,
"/","%2F"),
":","%3A"),
"&lt;","%3C"),
"&gt;","%3E")
)</f>
        <v>10.1002%2Fdneu.22554</v>
      </c>
      <c r="J153" s="12" t="str">
        <f t="shared" si="20"/>
        <v>Hanson_etal_2018_Table2</v>
      </c>
      <c r="K153" s="12" t="str">
        <f>I153 &amp; "_" &amp; SUBSTITUTE(SUBSTITUTE(SUBSTITUTE(D153,CHAR(160),""), " ", ""), "_", "")</f>
        <v>10.1002%2Fdneu.22554_Table2</v>
      </c>
      <c r="L153" s="13" t="str">
        <f t="array" ref="L153">IFERROR(INDEX(AUTO_Public_TSV_FileList!$A$1:$A$1000,MATCH(TRUE(),EXACT(K153,IFERROR(_xlfn.TEXTBEFORE(AUTO_Public_TSV_FileList!$A$1:$A$1000,".tsv"),"")),0)),"notfound")</f>
        <v>10.1002%2Fdneu.22554_Table2.tsv</v>
      </c>
      <c r="M153" s="4" t="s">
        <v>641</v>
      </c>
      <c r="N153" s="4" t="s">
        <v>642</v>
      </c>
      <c r="O153" s="4"/>
      <c r="P153" s="4" t="s">
        <v>36</v>
      </c>
      <c r="Q153" s="4" t="s">
        <v>643</v>
      </c>
      <c r="R153" s="4"/>
      <c r="S153" s="4"/>
      <c r="T153" s="4"/>
      <c r="U153" s="4"/>
      <c r="V153" s="4"/>
      <c r="W153" s="4" t="s">
        <v>644</v>
      </c>
      <c r="X153" s="4"/>
      <c r="Y153" s="4"/>
      <c r="Z153" s="4" t="s">
        <v>645</v>
      </c>
      <c r="AA153" s="4" t="s">
        <v>646</v>
      </c>
      <c r="AB153" s="4" t="s">
        <v>77</v>
      </c>
      <c r="AC153" s="4" t="s">
        <v>647</v>
      </c>
      <c r="AD153" s="4"/>
      <c r="AE153" s="4" t="s">
        <v>66</v>
      </c>
      <c r="AF153" s="4"/>
      <c r="AG153" s="4"/>
    </row>
    <row r="154" spans="1:33" ht="17.100000000000001" customHeight="1">
      <c r="A154" s="17" t="s">
        <v>640</v>
      </c>
      <c r="B154" s="8"/>
      <c r="D154" s="17" t="s">
        <v>72</v>
      </c>
      <c r="E154" s="12" t="str">
        <f t="shared" si="17"/>
        <v>Hanson</v>
      </c>
      <c r="F154" s="12" t="str">
        <f t="array" ref="F154">_xlfn.LET(
 _xlpm.authors,_xlfn.TEXTBEFORE(A154," ("&amp;G154&amp;")"),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54" s="12" t="str">
        <f t="shared" si="18"/>
        <v>2018</v>
      </c>
      <c r="H154" s="12" t="str">
        <f t="shared" si="19"/>
        <v>Hanson_etal_2018</v>
      </c>
      <c r="I154" s="12" t="str">
        <f>_xlfn.LET(
_xlpm.doi,IF(C154&lt;&gt;"",C154,_xlfn.TEXTAFTER(A154,"https://doi.org/")),
SUBSTITUTE(
SUBSTITUTE(
SUBSTITUTE(
SUBSTITUTE(
_xlpm.doi,
"/","%2F"),
":","%3A"),
"&lt;","%3C"),
"&gt;","%3E")
)</f>
        <v>10.1002%2Fdneu.22554</v>
      </c>
      <c r="J154" s="12" t="str">
        <f t="shared" si="20"/>
        <v>Hanson_etal_2018_Table3</v>
      </c>
      <c r="K154" s="12" t="str">
        <f>I154 &amp; "_" &amp; SUBSTITUTE(SUBSTITUTE(SUBSTITUTE(D154,CHAR(160),""), " ", ""), "_", "")</f>
        <v>10.1002%2Fdneu.22554_Table3</v>
      </c>
      <c r="L154" s="13" t="str">
        <f t="array" ref="L154">IFERROR(INDEX(AUTO_Public_TSV_FileList!$A$1:$A$1000,MATCH(TRUE(),EXACT(K154,IFERROR(_xlfn.TEXTBEFORE(AUTO_Public_TSV_FileList!$A$1:$A$1000,".tsv"),"")),0)),"notfound")</f>
        <v>10.1002%2Fdneu.22554_Table3.tsv</v>
      </c>
      <c r="M154" s="4" t="s">
        <v>648</v>
      </c>
      <c r="N154" s="4" t="s">
        <v>642</v>
      </c>
      <c r="O154" s="4"/>
      <c r="P154" s="4" t="s">
        <v>36</v>
      </c>
      <c r="Q154" s="4" t="s">
        <v>649</v>
      </c>
      <c r="R154" s="4"/>
      <c r="S154" s="4"/>
      <c r="T154" s="4"/>
      <c r="U154" s="4"/>
      <c r="V154" s="4"/>
      <c r="W154" s="4" t="s">
        <v>644</v>
      </c>
      <c r="X154" s="4"/>
      <c r="Y154" s="4"/>
      <c r="Z154" s="4" t="s">
        <v>650</v>
      </c>
      <c r="AA154" s="4" t="s">
        <v>646</v>
      </c>
      <c r="AB154" s="4" t="s">
        <v>77</v>
      </c>
      <c r="AC154" s="4" t="s">
        <v>647</v>
      </c>
      <c r="AD154" s="4"/>
      <c r="AE154" s="4" t="s">
        <v>66</v>
      </c>
      <c r="AF154" s="4"/>
      <c r="AG154" s="4"/>
    </row>
    <row r="155" spans="1:33" ht="17.100000000000001" customHeight="1">
      <c r="A155" s="17" t="s">
        <v>651</v>
      </c>
      <c r="D155" s="17" t="s">
        <v>81</v>
      </c>
      <c r="E155" s="12" t="str">
        <f t="shared" si="17"/>
        <v>Heesy</v>
      </c>
      <c r="F155" s="13" t="str">
        <f t="array" ref="F155">_xlfn.LET(
 _xlpm.authors,_xlfn.TEXTBEFORE(A155," ("&amp;G155&amp;")"),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55" s="13" t="str">
        <f t="shared" si="18"/>
        <v>2004</v>
      </c>
      <c r="H155" s="12" t="str">
        <f t="shared" si="19"/>
        <v>Heesy__2004</v>
      </c>
      <c r="I155" s="12" t="str">
        <f t="shared" ref="I155:I163" si="23">_xlfn.LET(_xlpm.doi,IF(C155&lt;&gt;"",C155,_xlfn.TEXTAFTER(A155,"https://doi.org/")),SUBSTITUTE(SUBSTITUTE(SUBSTITUTE(SUBSTITUTE(_xlpm.doi,"/","%2F"),":","%3A"),"&lt;","%3C"),"&gt;","%3E"))</f>
        <v>10.1002%2Far.a.20116</v>
      </c>
      <c r="J155" s="12" t="str">
        <f t="shared" si="20"/>
        <v>Heesy__2004_Table1</v>
      </c>
      <c r="K155" s="12" t="str">
        <f t="shared" ref="K155:K200" si="24">I155 &amp; "_" &amp; SUBSTITUTE(SUBSTITUTE(SUBSTITUTE(D155,CHAR(160),"")," ",""),"_","")</f>
        <v>10.1002%2Far.a.20116_Table1</v>
      </c>
      <c r="L155" s="13" t="str">
        <f t="array" ref="L155">IFERROR(INDEX(AUTO_Public_TSV_FileList!$A$1:$A$1000,MATCH(TRUE(),EXACT(K155,IFERROR(_xlfn.TEXTBEFORE(AUTO_Public_TSV_FileList!$A$1:$A$1000,".tsv"),"")),0)),"notfound")</f>
        <v>10.1002%2Far.a.20116_Table1.tsv</v>
      </c>
      <c r="M155" s="4" t="s">
        <v>652</v>
      </c>
      <c r="N155" s="5" t="s">
        <v>35</v>
      </c>
      <c r="O155" s="4" t="s">
        <v>653</v>
      </c>
      <c r="P155" s="4" t="s">
        <v>36</v>
      </c>
      <c r="Q155" s="4"/>
      <c r="R155" s="4" t="s">
        <v>654</v>
      </c>
      <c r="S155" s="4"/>
      <c r="T155" s="4"/>
      <c r="U155" s="4"/>
      <c r="V155" s="4" t="s">
        <v>489</v>
      </c>
      <c r="W155" s="3" t="s">
        <v>138</v>
      </c>
      <c r="X155" s="4" t="s">
        <v>655</v>
      </c>
      <c r="Y155" s="4"/>
      <c r="Z155" s="4"/>
      <c r="AA155" s="4" t="s">
        <v>656</v>
      </c>
      <c r="AB155" s="4" t="s">
        <v>657</v>
      </c>
      <c r="AC155" s="4"/>
      <c r="AD155" s="4"/>
      <c r="AE155" s="4" t="s">
        <v>51</v>
      </c>
      <c r="AF155" s="4"/>
      <c r="AG155" s="4"/>
    </row>
    <row r="156" spans="1:33" ht="17.100000000000001" customHeight="1">
      <c r="A156" s="4" t="s">
        <v>658</v>
      </c>
      <c r="B156" s="9"/>
      <c r="C156" s="9"/>
      <c r="D156" s="4" t="s">
        <v>81</v>
      </c>
      <c r="E156" s="12" t="str">
        <f t="shared" si="17"/>
        <v>Heffner</v>
      </c>
      <c r="F156" s="13" t="str">
        <f t="array" ref="F156">_xlfn.LET(
 _xlpm.authors,_xlfn.TEXTBEFORE(A156," ("&amp;G156&amp;")"),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56" s="13" t="str">
        <f t="shared" si="18"/>
        <v>1998</v>
      </c>
      <c r="H156" s="12" t="str">
        <f t="shared" si="19"/>
        <v>Heffner__1998</v>
      </c>
      <c r="I156" s="12" t="str">
        <f t="shared" si="23"/>
        <v>10.1016%2FS0168-1591(98)00101-4</v>
      </c>
      <c r="J156" s="12" t="str">
        <f t="shared" si="20"/>
        <v>Heffner__1998_Table1</v>
      </c>
      <c r="K156" s="13" t="str">
        <f t="shared" si="24"/>
        <v>10.1016%2FS0168-1591(98)00101-4_Table1</v>
      </c>
      <c r="L156" s="13" t="str">
        <f t="array" ref="L156">IFERROR(INDEX(AUTO_Public_TSV_FileList!$A$1:$A$1000,MATCH(TRUE(),EXACT(K156,IFERROR(_xlfn.TEXTBEFORE(AUTO_Public_TSV_FileList!$A$1:$A$1000,".tsv"),"")),0)),"notfound")</f>
        <v>10.1016%2FS0168-1591(98)00101-4_Table1.tsv</v>
      </c>
      <c r="M156" s="4" t="s">
        <v>659</v>
      </c>
      <c r="N156" s="4" t="s">
        <v>660</v>
      </c>
      <c r="O156" s="4" t="s">
        <v>661</v>
      </c>
      <c r="P156" s="4"/>
      <c r="Q156" s="4"/>
      <c r="R156" s="4" t="s">
        <v>662</v>
      </c>
      <c r="S156" s="4"/>
      <c r="T156" s="4" t="s">
        <v>663</v>
      </c>
      <c r="U156" s="4"/>
      <c r="V156" s="4" t="s">
        <v>664</v>
      </c>
      <c r="W156" s="4" t="s">
        <v>665</v>
      </c>
      <c r="X156" s="4" t="s">
        <v>666</v>
      </c>
      <c r="Y156" s="4"/>
      <c r="Z156" s="4"/>
      <c r="AA156" s="4" t="s">
        <v>667</v>
      </c>
      <c r="AB156" s="4" t="s">
        <v>668</v>
      </c>
      <c r="AC156" s="4" t="s">
        <v>669</v>
      </c>
      <c r="AD156" s="4"/>
      <c r="AE156" s="4" t="s">
        <v>179</v>
      </c>
      <c r="AF156" s="4" t="s">
        <v>670</v>
      </c>
      <c r="AG156" s="4" t="s">
        <v>671</v>
      </c>
    </row>
    <row r="157" spans="1:33" ht="15" customHeight="1">
      <c r="A157" s="9" t="s">
        <v>672</v>
      </c>
      <c r="B157" s="9"/>
      <c r="C157" s="9"/>
      <c r="D157" s="9" t="s">
        <v>330</v>
      </c>
      <c r="E157" s="12" t="str">
        <f t="shared" si="17"/>
        <v>Heffner</v>
      </c>
      <c r="F157" s="13" t="str">
        <f t="array" ref="F157">_xlfn.LET(
 _xlpm.authors,_xlfn.TEXTBEFORE(A157," ("&amp;G157&amp;")"),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57" s="13" t="str">
        <f t="shared" si="18"/>
        <v>2018</v>
      </c>
      <c r="H157" s="12" t="str">
        <f t="shared" si="19"/>
        <v>Heffner_Heffner_2018</v>
      </c>
      <c r="I157" s="12" t="str">
        <f t="shared" si="23"/>
        <v>10.1063%2F1.5038516</v>
      </c>
      <c r="J157" s="12" t="str">
        <f t="shared" si="20"/>
        <v>Heffner_Heffner_2018_Figure3</v>
      </c>
      <c r="K157" s="13" t="str">
        <f t="shared" si="24"/>
        <v>10.1063%2F1.5038516_Figure3</v>
      </c>
      <c r="L157" s="13" t="str">
        <f t="array" ref="L157">IFERROR(INDEX(AUTO_Public_TSV_FileList!$A$1:$A$1000,MATCH(TRUE(),EXACT(K157,IFERROR(_xlfn.TEXTBEFORE(AUTO_Public_TSV_FileList!$A$1:$A$1000,".tsv"),"")),0)),"notfound")</f>
        <v>notfound</v>
      </c>
      <c r="M157" s="4" t="s">
        <v>673</v>
      </c>
      <c r="N157" s="4" t="s">
        <v>630</v>
      </c>
      <c r="O157" s="4" t="s">
        <v>674</v>
      </c>
      <c r="P157" s="4"/>
      <c r="Q157" s="4"/>
      <c r="R157" s="4" t="s">
        <v>675</v>
      </c>
      <c r="S157" s="4"/>
      <c r="T157" s="4" t="s">
        <v>676</v>
      </c>
      <c r="U157" s="4"/>
      <c r="V157" s="4" t="s">
        <v>677</v>
      </c>
      <c r="W157" s="4" t="s">
        <v>678</v>
      </c>
      <c r="X157" s="4" t="s">
        <v>679</v>
      </c>
      <c r="Y157" s="4"/>
      <c r="Z157" s="4"/>
      <c r="AA157" s="4" t="s">
        <v>680</v>
      </c>
      <c r="AB157" s="4" t="s">
        <v>681</v>
      </c>
      <c r="AC157" s="4" t="s">
        <v>669</v>
      </c>
      <c r="AD157" s="4"/>
      <c r="AE157" s="4" t="s">
        <v>179</v>
      </c>
      <c r="AF157" s="4" t="s">
        <v>682</v>
      </c>
      <c r="AG157" s="4" t="s">
        <v>683</v>
      </c>
    </row>
    <row r="158" spans="1:33" ht="17.100000000000001" customHeight="1">
      <c r="A158" s="4" t="s">
        <v>684</v>
      </c>
      <c r="B158" s="9"/>
      <c r="C158" s="4"/>
      <c r="D158" s="4" t="s">
        <v>81</v>
      </c>
      <c r="E158" s="12" t="str">
        <f t="shared" si="17"/>
        <v>Heffner</v>
      </c>
      <c r="F158" s="13" t="str">
        <f t="array" ref="F158">_xlfn.LET(
 _xlpm.authors,_xlfn.TEXTBEFORE(A158," ("&amp;G158&amp;")"),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58" s="13" t="str">
        <f t="shared" si="18"/>
        <v>2004</v>
      </c>
      <c r="H158" s="12" t="str">
        <f t="shared" si="19"/>
        <v>Heffner__2004</v>
      </c>
      <c r="I158" s="12" t="str">
        <f t="shared" si="23"/>
        <v>10.1002%2Far.a.20117</v>
      </c>
      <c r="J158" s="12" t="str">
        <f t="shared" si="20"/>
        <v>Heffner__2004_Table1</v>
      </c>
      <c r="K158" s="13" t="str">
        <f t="shared" si="24"/>
        <v>10.1002%2Far.a.20117_Table1</v>
      </c>
      <c r="L158" s="13" t="str">
        <f t="array" ref="L158">IFERROR(INDEX(AUTO_Public_TSV_FileList!$A$1:$A$1000,MATCH(TRUE(),EXACT(K158,IFERROR(_xlfn.TEXTBEFORE(AUTO_Public_TSV_FileList!$A$1:$A$1000,".tsv"),"")),0)),"notfound")</f>
        <v>10.1002%2Far.a.20117_Table1.tsv</v>
      </c>
      <c r="M158" s="4" t="s">
        <v>685</v>
      </c>
      <c r="N158" s="4" t="s">
        <v>660</v>
      </c>
      <c r="O158" s="4" t="s">
        <v>686</v>
      </c>
      <c r="P158" s="4"/>
      <c r="Q158" s="4"/>
      <c r="R158" s="4" t="s">
        <v>687</v>
      </c>
      <c r="S158" s="4"/>
      <c r="T158" s="4" t="s">
        <v>688</v>
      </c>
      <c r="U158" s="4"/>
      <c r="V158" s="4" t="s">
        <v>664</v>
      </c>
      <c r="W158" s="4" t="s">
        <v>100</v>
      </c>
      <c r="X158" s="4" t="s">
        <v>689</v>
      </c>
      <c r="Y158" s="4"/>
      <c r="Z158" s="4"/>
      <c r="AA158" s="4" t="s">
        <v>690</v>
      </c>
      <c r="AB158" s="4" t="s">
        <v>691</v>
      </c>
      <c r="AC158" s="4" t="s">
        <v>669</v>
      </c>
      <c r="AD158" s="4"/>
      <c r="AE158" s="4" t="s">
        <v>51</v>
      </c>
      <c r="AF158" s="4" t="s">
        <v>692</v>
      </c>
      <c r="AG158" s="4" t="s">
        <v>693</v>
      </c>
    </row>
    <row r="159" spans="1:33" ht="17.100000000000001" customHeight="1">
      <c r="A159" s="4" t="s">
        <v>694</v>
      </c>
      <c r="B159" s="9" t="s">
        <v>695</v>
      </c>
      <c r="C159" s="9"/>
      <c r="D159" s="4" t="s">
        <v>696</v>
      </c>
      <c r="E159" s="12" t="str">
        <f t="shared" si="17"/>
        <v>Heffner</v>
      </c>
      <c r="F159" s="13" t="str">
        <f t="array" ref="F159">_xlfn.LET(
 _xlpm.authors,_xlfn.TEXTBEFORE(A159," ("&amp;G159&amp;")"),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59" s="13" t="str">
        <f t="shared" si="18"/>
        <v>1992</v>
      </c>
      <c r="H159" s="12" t="str">
        <f t="shared" si="19"/>
        <v>Heffner_Heffner_1992_c</v>
      </c>
      <c r="I159" s="12" t="str">
        <f t="shared" si="23"/>
        <v>10.1007%2F978-1-4612-2784-7_43</v>
      </c>
      <c r="J159" s="12" t="str">
        <f t="shared" si="20"/>
        <v>Heffner_Heffner_1992_c_TABLE34.1</v>
      </c>
      <c r="K159" s="13" t="str">
        <f t="shared" si="24"/>
        <v>10.1007%2F978-1-4612-2784-7_43_TABLE34.1</v>
      </c>
      <c r="L159" s="13" t="str">
        <f t="array" ref="L159">IFERROR(INDEX(AUTO_Public_TSV_FileList!$A$1:$A$1000,MATCH(TRUE(),EXACT(K159,IFERROR(_xlfn.TEXTBEFORE(AUTO_Public_TSV_FileList!$A$1:$A$1000,".tsv"),"")),0)),"notfound")</f>
        <v>notfound</v>
      </c>
      <c r="M159" s="4" t="s">
        <v>697</v>
      </c>
      <c r="N159" s="4" t="s">
        <v>660</v>
      </c>
      <c r="O159" s="4" t="s">
        <v>698</v>
      </c>
      <c r="P159" s="4"/>
      <c r="Q159" s="4"/>
      <c r="R159" s="4" t="s">
        <v>699</v>
      </c>
      <c r="S159" s="4"/>
      <c r="T159" s="4" t="s">
        <v>700</v>
      </c>
      <c r="U159" s="4"/>
      <c r="V159" s="4" t="s">
        <v>664</v>
      </c>
      <c r="W159" s="4" t="s">
        <v>701</v>
      </c>
      <c r="X159" s="4" t="s">
        <v>702</v>
      </c>
      <c r="Y159" s="4"/>
      <c r="Z159" s="4"/>
      <c r="AA159" s="4" t="s">
        <v>703</v>
      </c>
      <c r="AB159" s="4" t="s">
        <v>704</v>
      </c>
      <c r="AC159" s="4" t="s">
        <v>669</v>
      </c>
      <c r="AD159" s="4"/>
      <c r="AE159" s="4" t="s">
        <v>179</v>
      </c>
      <c r="AF159" s="4" t="s">
        <v>705</v>
      </c>
      <c r="AG159" s="4" t="s">
        <v>706</v>
      </c>
    </row>
    <row r="160" spans="1:33" ht="17.100000000000001" customHeight="1">
      <c r="A160" s="4" t="s">
        <v>694</v>
      </c>
      <c r="B160" s="9" t="s">
        <v>695</v>
      </c>
      <c r="C160" s="9"/>
      <c r="D160" s="4" t="s">
        <v>707</v>
      </c>
      <c r="E160" s="12" t="str">
        <f t="shared" si="17"/>
        <v>Heffner</v>
      </c>
      <c r="F160" s="13" t="str">
        <f t="array" ref="F160">_xlfn.LET(
 _xlpm.authors,_xlfn.TEXTBEFORE(A160," ("&amp;G160&amp;")"),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60" s="13" t="str">
        <f t="shared" si="18"/>
        <v>1992</v>
      </c>
      <c r="H160" s="12" t="str">
        <f t="shared" si="19"/>
        <v>Heffner_Heffner_1992_c</v>
      </c>
      <c r="I160" s="12" t="str">
        <f t="shared" si="23"/>
        <v>10.1007%2F978-1-4612-2784-7_43</v>
      </c>
      <c r="J160" s="12" t="str">
        <f t="shared" si="20"/>
        <v>Heffner_Heffner_1992_c_TABLE34.2</v>
      </c>
      <c r="K160" s="13" t="str">
        <f t="shared" si="24"/>
        <v>10.1007%2F978-1-4612-2784-7_43_TABLE34.2</v>
      </c>
      <c r="L160" s="13" t="str">
        <f t="array" ref="L160">IFERROR(INDEX(AUTO_Public_TSV_FileList!$A$1:$A$1000,MATCH(TRUE(),EXACT(K160,IFERROR(_xlfn.TEXTBEFORE(AUTO_Public_TSV_FileList!$A$1:$A$1000,".tsv"),"")),0)),"notfound")</f>
        <v>notfound</v>
      </c>
      <c r="M160" s="4" t="s">
        <v>708</v>
      </c>
      <c r="N160" s="4" t="s">
        <v>660</v>
      </c>
      <c r="O160" s="4" t="s">
        <v>709</v>
      </c>
      <c r="P160" s="4"/>
      <c r="Q160" s="4"/>
      <c r="R160" s="4" t="s">
        <v>699</v>
      </c>
      <c r="S160" s="4"/>
      <c r="T160" s="4" t="s">
        <v>710</v>
      </c>
      <c r="U160" s="4"/>
      <c r="V160" s="4" t="s">
        <v>664</v>
      </c>
      <c r="W160" s="4" t="s">
        <v>711</v>
      </c>
      <c r="X160" s="4" t="s">
        <v>712</v>
      </c>
      <c r="Y160" s="4"/>
      <c r="Z160" s="4"/>
      <c r="AA160" s="4" t="s">
        <v>713</v>
      </c>
      <c r="AB160" s="4" t="s">
        <v>714</v>
      </c>
      <c r="AC160" s="4" t="s">
        <v>669</v>
      </c>
      <c r="AD160" s="4"/>
      <c r="AE160" s="4" t="s">
        <v>179</v>
      </c>
      <c r="AF160" s="4" t="s">
        <v>715</v>
      </c>
      <c r="AG160" s="4" t="s">
        <v>716</v>
      </c>
    </row>
    <row r="161" spans="1:33" ht="17.100000000000001" customHeight="1">
      <c r="A161" s="4" t="s">
        <v>717</v>
      </c>
      <c r="B161" s="9" t="s">
        <v>283</v>
      </c>
      <c r="C161" s="9"/>
      <c r="D161" s="4" t="s">
        <v>362</v>
      </c>
      <c r="E161" s="12" t="str">
        <f t="shared" si="17"/>
        <v>Heffner</v>
      </c>
      <c r="F161" s="13" t="str">
        <f t="array" ref="F161">_xlfn.LET(
 _xlpm.authors,_xlfn.TEXTBEFORE(A161," ("&amp;G161&amp;")"),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61" s="13" t="str">
        <f t="shared" si="18"/>
        <v>1992</v>
      </c>
      <c r="H161" s="12" t="str">
        <f t="shared" si="19"/>
        <v>Heffner_Heffner_1992_b</v>
      </c>
      <c r="I161" s="12" t="str">
        <f t="shared" si="23"/>
        <v>10.1016%2F0378-5955(92)90188-S</v>
      </c>
      <c r="J161" s="12" t="str">
        <f t="shared" si="20"/>
        <v>Heffner_Heffner_1992_b_ResultsText</v>
      </c>
      <c r="K161" s="13" t="str">
        <f t="shared" si="24"/>
        <v>10.1016%2F0378-5955(92)90188-S_ResultsText</v>
      </c>
      <c r="L161" s="13" t="str">
        <f t="array" ref="L161">IFERROR(INDEX(AUTO_Public_TSV_FileList!$A$1:$A$1000,MATCH(TRUE(),EXACT(K161,IFERROR(_xlfn.TEXTBEFORE(AUTO_Public_TSV_FileList!$A$1:$A$1000,".tsv"),"")),0)),"notfound")</f>
        <v>notfound</v>
      </c>
      <c r="M161" s="4" t="s">
        <v>718</v>
      </c>
      <c r="N161" s="4" t="s">
        <v>364</v>
      </c>
      <c r="O161" s="4" t="s">
        <v>719</v>
      </c>
      <c r="P161" s="4"/>
      <c r="Q161" s="4"/>
      <c r="R161" s="4" t="s">
        <v>720</v>
      </c>
      <c r="S161" s="4"/>
      <c r="T161" s="4" t="s">
        <v>721</v>
      </c>
      <c r="U161" s="4"/>
      <c r="V161" s="4" t="s">
        <v>664</v>
      </c>
      <c r="W161" s="4" t="s">
        <v>722</v>
      </c>
      <c r="X161" s="4" t="s">
        <v>723</v>
      </c>
      <c r="Y161" s="4" t="s">
        <v>724</v>
      </c>
      <c r="Z161" s="4"/>
      <c r="AA161" s="4" t="s">
        <v>725</v>
      </c>
      <c r="AB161" s="4" t="s">
        <v>726</v>
      </c>
      <c r="AC161" s="4" t="s">
        <v>669</v>
      </c>
      <c r="AD161" s="4"/>
      <c r="AE161" s="4" t="s">
        <v>66</v>
      </c>
      <c r="AF161" s="4"/>
      <c r="AG161" s="4" t="s">
        <v>727</v>
      </c>
    </row>
    <row r="162" spans="1:33" ht="17.100000000000001" customHeight="1">
      <c r="A162" s="4" t="s">
        <v>717</v>
      </c>
      <c r="B162" s="9" t="s">
        <v>283</v>
      </c>
      <c r="C162" s="9"/>
      <c r="D162" s="4" t="s">
        <v>728</v>
      </c>
      <c r="E162" s="12" t="str">
        <f t="shared" si="17"/>
        <v>Heffner</v>
      </c>
      <c r="F162" s="13" t="str">
        <f t="array" ref="F162">_xlfn.LET(
 _xlpm.authors,_xlfn.TEXTBEFORE(A162," ("&amp;G162&amp;")"),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62" s="13" t="str">
        <f t="shared" si="18"/>
        <v>1992</v>
      </c>
      <c r="H162" s="12" t="str">
        <f t="shared" si="19"/>
        <v>Heffner_Heffner_1992_b</v>
      </c>
      <c r="I162" s="12" t="str">
        <f t="shared" si="23"/>
        <v>10.1016%2F0378-5955(92)90188-S</v>
      </c>
      <c r="J162" s="12" t="str">
        <f t="shared" si="20"/>
        <v>Heffner_Heffner_1992_b_TABLEI</v>
      </c>
      <c r="K162" s="13" t="str">
        <f t="shared" si="24"/>
        <v>10.1016%2F0378-5955(92)90188-S_TABLEI</v>
      </c>
      <c r="L162" s="13" t="str">
        <f t="array" ref="L162">IFERROR(INDEX(AUTO_Public_TSV_FileList!$A$1:$A$1000,MATCH(TRUE(),EXACT(K162,IFERROR(_xlfn.TEXTBEFORE(AUTO_Public_TSV_FileList!$A$1:$A$1000,".tsv"),"")),0)),"notfound")</f>
        <v>notfound</v>
      </c>
      <c r="M162" s="4" t="s">
        <v>729</v>
      </c>
      <c r="N162" s="4" t="s">
        <v>730</v>
      </c>
      <c r="O162" s="4" t="s">
        <v>731</v>
      </c>
      <c r="P162" s="4"/>
      <c r="Q162" s="4"/>
      <c r="R162" s="4" t="s">
        <v>720</v>
      </c>
      <c r="S162" s="4"/>
      <c r="T162" s="4" t="s">
        <v>732</v>
      </c>
      <c r="U162" s="4"/>
      <c r="V162" s="4" t="s">
        <v>664</v>
      </c>
      <c r="W162" s="4" t="s">
        <v>733</v>
      </c>
      <c r="X162" s="4" t="s">
        <v>734</v>
      </c>
      <c r="Y162" s="4" t="s">
        <v>735</v>
      </c>
      <c r="Z162" s="4"/>
      <c r="AA162" s="4" t="s">
        <v>690</v>
      </c>
      <c r="AB162" s="4" t="s">
        <v>736</v>
      </c>
      <c r="AC162" s="4" t="s">
        <v>669</v>
      </c>
      <c r="AD162" s="4"/>
      <c r="AE162" s="4" t="s">
        <v>51</v>
      </c>
      <c r="AF162" s="4" t="s">
        <v>737</v>
      </c>
      <c r="AG162" s="4" t="s">
        <v>738</v>
      </c>
    </row>
    <row r="163" spans="1:33" ht="17.100000000000001" customHeight="1">
      <c r="A163" s="17" t="s">
        <v>739</v>
      </c>
      <c r="B163" s="11" t="s">
        <v>278</v>
      </c>
      <c r="D163" s="17" t="s">
        <v>58</v>
      </c>
      <c r="E163" s="12" t="str">
        <f t="shared" si="17"/>
        <v>Heffner</v>
      </c>
      <c r="F163" s="13" t="str">
        <f t="array" ref="F163">_xlfn.LET(
 _xlpm.authors,_xlfn.TEXTBEFORE(A163," ("&amp;G163&amp;")"),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163" s="13" t="str">
        <f t="shared" si="18"/>
        <v>1992</v>
      </c>
      <c r="H163" s="12" t="str">
        <f t="shared" si="19"/>
        <v>Heffner_Heffner_1992_a</v>
      </c>
      <c r="I163" s="12" t="str">
        <f t="shared" si="23"/>
        <v>10.1002%2Fcne.903170302</v>
      </c>
      <c r="J163" s="12" t="str">
        <f t="shared" si="20"/>
        <v>Heffner_Heffner_1992_a_TABLE1</v>
      </c>
      <c r="K163" s="12" t="str">
        <f t="shared" si="24"/>
        <v>10.1002%2Fcne.903170302_TABLE1</v>
      </c>
      <c r="L163" s="13" t="str">
        <f t="array" ref="L163">IFERROR(INDEX(AUTO_Public_TSV_FileList!$A$1:$A$1000,MATCH(TRUE(),EXACT(K163,IFERROR(_xlfn.TEXTBEFORE(AUTO_Public_TSV_FileList!$A$1:$A$1000,".tsv"),"")),0)),"notfound")</f>
        <v>10.1002%2Fcne.903170302_TABLE1.tsv</v>
      </c>
      <c r="M163" s="4" t="s">
        <v>740</v>
      </c>
      <c r="N163" s="5" t="s">
        <v>35</v>
      </c>
      <c r="O163" s="4" t="s">
        <v>741</v>
      </c>
      <c r="P163" s="4" t="s">
        <v>36</v>
      </c>
      <c r="Q163" s="4"/>
      <c r="R163" s="4"/>
      <c r="S163" s="4"/>
      <c r="T163" s="4"/>
      <c r="U163" s="4"/>
      <c r="V163" s="4"/>
      <c r="W163" s="4" t="s">
        <v>742</v>
      </c>
      <c r="X163" s="4" t="s">
        <v>743</v>
      </c>
      <c r="Y163" s="4"/>
      <c r="Z163" s="4"/>
      <c r="AA163" s="4"/>
      <c r="AB163" s="4" t="s">
        <v>744</v>
      </c>
      <c r="AC163" s="4" t="s">
        <v>669</v>
      </c>
      <c r="AD163" s="4"/>
      <c r="AE163" s="4" t="s">
        <v>51</v>
      </c>
      <c r="AF163" s="4"/>
      <c r="AG163" s="4"/>
    </row>
    <row r="164" spans="1:33" ht="17.100000000000001" customHeight="1">
      <c r="A164" s="8" t="s">
        <v>745</v>
      </c>
      <c r="D164" s="8" t="s">
        <v>568</v>
      </c>
      <c r="E164" s="13" t="str">
        <f t="shared" si="17"/>
        <v>Heffner</v>
      </c>
      <c r="F164" s="13" t="str">
        <f t="array" ref="F164">_xlfn.LET(
 _xlpm.authors,_xlfn.TEXTBEFORE(A164," ("&amp;G164&amp;")"),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164" s="13" t="str">
        <f t="shared" si="18"/>
        <v>1983</v>
      </c>
      <c r="H164" s="13" t="str">
        <f t="shared" si="19"/>
        <v>Heffner_Masterton_1983</v>
      </c>
      <c r="I164" s="13" t="str">
        <f>_xlfn.LET(
_xlpm.doi,IF(C164&lt;&gt;"",C164,_xlfn.TEXTAFTER(A164,"https://doi.org/")),
SUBSTITUTE(
SUBSTITUTE(
SUBSTITUTE(
SUBSTITUTE(
_xlpm.doi,
"/","%2F"),
":","%3A"),
"&lt;","%3C"),
"&gt;","%3E")
)</f>
        <v>10.1159%2F000121494</v>
      </c>
      <c r="J164" s="13" t="str">
        <f t="shared" si="20"/>
        <v>Heffner_Masterton_1983_TableI</v>
      </c>
      <c r="K164" s="13" t="str">
        <f t="shared" si="24"/>
        <v>10.1159%2F000121494_TableI</v>
      </c>
      <c r="L164" s="13" t="str">
        <f t="array" ref="L164">IFERROR(INDEX(AUTO_Public_TSV_FileList!$A$1:$A$1000,MATCH(TRUE(),EXACT(K164,IFERROR(_xlfn.TEXTBEFORE(AUTO_Public_TSV_FileList!$A$1:$A$1000,".tsv"),"")),0)),"notfound")</f>
        <v>10.1159%2F000121494_TableI.tsv</v>
      </c>
      <c r="M164" s="4" t="s">
        <v>746</v>
      </c>
      <c r="N164" s="4" t="s">
        <v>660</v>
      </c>
      <c r="O164" s="4" t="s">
        <v>747</v>
      </c>
      <c r="P164" s="4" t="s">
        <v>36</v>
      </c>
      <c r="Q164" s="4" t="s">
        <v>748</v>
      </c>
      <c r="R164" s="4"/>
      <c r="S164" s="4"/>
      <c r="T164" s="4"/>
      <c r="U164" s="4"/>
      <c r="V164" s="4"/>
      <c r="W164" s="4"/>
      <c r="X164" s="4"/>
      <c r="Y164" s="4"/>
      <c r="Z164" s="4"/>
      <c r="AA164" s="4"/>
      <c r="AB164" s="4"/>
      <c r="AC164" s="4"/>
      <c r="AD164" s="4"/>
      <c r="AE164" s="4"/>
      <c r="AF164" s="4"/>
      <c r="AG164" s="4"/>
    </row>
    <row r="165" spans="1:33" ht="17.100000000000001" customHeight="1">
      <c r="A165" s="4" t="s">
        <v>749</v>
      </c>
      <c r="B165" s="9"/>
      <c r="C165" s="9"/>
      <c r="D165" s="4" t="s">
        <v>362</v>
      </c>
      <c r="E165" s="12" t="str">
        <f t="shared" si="17"/>
        <v>Heffner</v>
      </c>
      <c r="F165" s="13" t="str">
        <f t="array" ref="F165">_xlfn.LET(
 _xlpm.authors,_xlfn.TEXTBEFORE(A165," ("&amp;G165&amp;")"),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5" s="13" t="str">
        <f t="shared" si="18"/>
        <v>1999</v>
      </c>
      <c r="H165" s="12" t="str">
        <f t="shared" si="19"/>
        <v>Heffner_etal_1999</v>
      </c>
      <c r="I165" s="12" t="str">
        <f>_xlfn.LET(_xlpm.doi,IF(C165&lt;&gt;"",C165,_xlfn.TEXTAFTER(A165,"https://doi.org/")),SUBSTITUTE(SUBSTITUTE(SUBSTITUTE(SUBSTITUTE(_xlpm.doi,"/","%2F"),":","%3A"),"&lt;","%3C"),"&gt;","%3E"))</f>
        <v>10.1037%2F0735-7036.113.3.297</v>
      </c>
      <c r="J165" s="12" t="str">
        <f t="shared" si="20"/>
        <v>Heffner_etal_1999_ResultsText</v>
      </c>
      <c r="K165" s="13" t="str">
        <f t="shared" si="24"/>
        <v>10.1037%2F0735-7036.113.3.297_ResultsText</v>
      </c>
      <c r="L165" s="13" t="str">
        <f t="array" ref="L165">IFERROR(INDEX(AUTO_Public_TSV_FileList!$A$1:$A$1000,MATCH(TRUE(),EXACT(K165,IFERROR(_xlfn.TEXTBEFORE(AUTO_Public_TSV_FileList!$A$1:$A$1000,".tsv"),"")),0)),"notfound")</f>
        <v>notfound</v>
      </c>
      <c r="M165" s="4" t="s">
        <v>750</v>
      </c>
      <c r="N165" s="4" t="s">
        <v>364</v>
      </c>
      <c r="O165" s="4" t="s">
        <v>751</v>
      </c>
      <c r="P165" s="4"/>
      <c r="Q165" s="4"/>
      <c r="R165" s="4" t="s">
        <v>752</v>
      </c>
      <c r="S165" s="4"/>
      <c r="T165" s="4" t="s">
        <v>753</v>
      </c>
      <c r="U165" s="4"/>
      <c r="V165" s="4" t="s">
        <v>677</v>
      </c>
      <c r="W165" s="4" t="s">
        <v>754</v>
      </c>
      <c r="X165" s="4" t="s">
        <v>755</v>
      </c>
      <c r="Y165" s="4" t="s">
        <v>756</v>
      </c>
      <c r="Z165" s="4"/>
      <c r="AA165" s="4" t="s">
        <v>757</v>
      </c>
      <c r="AB165" s="4" t="s">
        <v>758</v>
      </c>
      <c r="AC165" s="4" t="s">
        <v>669</v>
      </c>
      <c r="AD165" s="4"/>
      <c r="AE165" s="4" t="s">
        <v>66</v>
      </c>
      <c r="AF165" s="4"/>
      <c r="AG165" s="4" t="s">
        <v>759</v>
      </c>
    </row>
    <row r="166" spans="1:33" ht="17.100000000000001" customHeight="1">
      <c r="A166" s="4" t="s">
        <v>760</v>
      </c>
      <c r="B166" s="9"/>
      <c r="C166" s="9"/>
      <c r="D166" s="4" t="s">
        <v>362</v>
      </c>
      <c r="E166" s="12" t="str">
        <f t="shared" si="17"/>
        <v>Heffner</v>
      </c>
      <c r="F166" s="13" t="str">
        <f t="array" ref="F166">_xlfn.LET(
 _xlpm.authors,_xlfn.TEXTBEFORE(A166," ("&amp;G166&amp;")"),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6" s="13" t="str">
        <f t="shared" si="18"/>
        <v>2008</v>
      </c>
      <c r="H166" s="12" t="str">
        <f t="shared" si="19"/>
        <v>Heffner_etal_2008</v>
      </c>
      <c r="I166" s="12" t="str">
        <f>_xlfn.LET(_xlpm.doi,IF(C166&lt;&gt;"",C166,_xlfn.TEXTAFTER(A166,"https://doi.org/")),SUBSTITUTE(SUBSTITUTE(SUBSTITUTE(SUBSTITUTE(_xlpm.doi,"/","%2F"),":","%3A"),"&lt;","%3C"),"&gt;","%3E"))</f>
        <v>10.1016%2Fj.heares.2008.05.001</v>
      </c>
      <c r="J166" s="12" t="str">
        <f t="shared" si="20"/>
        <v>Heffner_etal_2008_ResultsText</v>
      </c>
      <c r="K166" s="13" t="str">
        <f t="shared" si="24"/>
        <v>10.1016%2Fj.heares.2008.05.001_ResultsText</v>
      </c>
      <c r="L166" s="13" t="str">
        <f t="array" ref="L166">IFERROR(INDEX(AUTO_Public_TSV_FileList!$A$1:$A$1000,MATCH(TRUE(),EXACT(K166,IFERROR(_xlfn.TEXTBEFORE(AUTO_Public_TSV_FileList!$A$1:$A$1000,".tsv"),"")),0)),"notfound")</f>
        <v>notfound</v>
      </c>
      <c r="M166" s="4" t="s">
        <v>761</v>
      </c>
      <c r="N166" s="4" t="s">
        <v>364</v>
      </c>
      <c r="O166" s="4" t="s">
        <v>762</v>
      </c>
      <c r="P166" s="4"/>
      <c r="Q166" s="4"/>
      <c r="R166" s="4" t="s">
        <v>763</v>
      </c>
      <c r="S166" s="4"/>
      <c r="T166" s="4"/>
      <c r="U166" s="4"/>
      <c r="V166" s="4" t="s">
        <v>677</v>
      </c>
      <c r="W166" s="4" t="s">
        <v>764</v>
      </c>
      <c r="X166" s="4" t="s">
        <v>765</v>
      </c>
      <c r="Y166" s="4" t="s">
        <v>766</v>
      </c>
      <c r="Z166" s="4"/>
      <c r="AA166" s="4" t="s">
        <v>757</v>
      </c>
      <c r="AB166" s="4" t="s">
        <v>681</v>
      </c>
      <c r="AC166" s="4" t="s">
        <v>669</v>
      </c>
      <c r="AD166" s="4"/>
      <c r="AE166" s="4" t="s">
        <v>66</v>
      </c>
      <c r="AF166" s="4"/>
      <c r="AG166" s="4" t="s">
        <v>759</v>
      </c>
    </row>
    <row r="167" spans="1:33" ht="17.100000000000001" customHeight="1">
      <c r="A167" s="4" t="s">
        <v>767</v>
      </c>
      <c r="B167" s="9"/>
      <c r="C167" s="9"/>
      <c r="D167" s="4" t="s">
        <v>728</v>
      </c>
      <c r="E167" s="12" t="str">
        <f t="shared" si="17"/>
        <v>Heffner</v>
      </c>
      <c r="F167" s="13" t="str">
        <f t="array" ref="F167">_xlfn.LET(
 _xlpm.authors,_xlfn.TEXTBEFORE(A167," ("&amp;G167&amp;")"),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7" s="13" t="str">
        <f t="shared" si="18"/>
        <v>2015</v>
      </c>
      <c r="H167" s="12" t="str">
        <f t="shared" si="19"/>
        <v>Heffner_etal_2015</v>
      </c>
      <c r="I167" s="12" t="str">
        <f>_xlfn.LET(_xlpm.doi,IF(C167&lt;&gt;"",C167,_xlfn.TEXTAFTER(A167,"https://doi.org/")),SUBSTITUTE(SUBSTITUTE(SUBSTITUTE(SUBSTITUTE(_xlpm.doi,"/","%2F"),":","%3A"),"&lt;","%3C"),"&gt;","%3E"))</f>
        <v>10.1121%2F1.4904529</v>
      </c>
      <c r="J167" s="12" t="str">
        <f t="shared" si="20"/>
        <v>Heffner_etal_2015_TABLEI</v>
      </c>
      <c r="K167" s="13" t="str">
        <f t="shared" si="24"/>
        <v>10.1121%2F1.4904529_TABLEI</v>
      </c>
      <c r="L167" s="13" t="str">
        <f t="array" ref="L167">IFERROR(INDEX(AUTO_Public_TSV_FileList!$A$1:$A$1000,MATCH(TRUE(),EXACT(K167,IFERROR(_xlfn.TEXTBEFORE(AUTO_Public_TSV_FileList!$A$1:$A$1000,".tsv"),"")),0)),"notfound")</f>
        <v>notfound</v>
      </c>
      <c r="M167" s="4" t="s">
        <v>768</v>
      </c>
      <c r="N167" s="4" t="s">
        <v>660</v>
      </c>
      <c r="O167" s="4" t="s">
        <v>769</v>
      </c>
      <c r="P167" s="4"/>
      <c r="Q167" s="4"/>
      <c r="R167" s="4" t="s">
        <v>770</v>
      </c>
      <c r="S167" s="4"/>
      <c r="T167" s="4" t="s">
        <v>771</v>
      </c>
      <c r="U167" s="4"/>
      <c r="V167" s="4" t="s">
        <v>664</v>
      </c>
      <c r="W167" s="4" t="s">
        <v>772</v>
      </c>
      <c r="X167" s="4" t="s">
        <v>773</v>
      </c>
      <c r="Y167" s="4" t="s">
        <v>774</v>
      </c>
      <c r="Z167" s="4"/>
      <c r="AA167" s="4" t="s">
        <v>775</v>
      </c>
      <c r="AB167" s="4" t="s">
        <v>776</v>
      </c>
      <c r="AC167" s="4" t="s">
        <v>669</v>
      </c>
      <c r="AD167" s="4"/>
      <c r="AE167" s="4" t="s">
        <v>51</v>
      </c>
      <c r="AF167" s="4" t="s">
        <v>777</v>
      </c>
      <c r="AG167" s="4" t="s">
        <v>778</v>
      </c>
    </row>
    <row r="168" spans="1:33" ht="17.100000000000001" customHeight="1">
      <c r="A168" s="1" t="s">
        <v>779</v>
      </c>
      <c r="D168" s="1" t="s">
        <v>330</v>
      </c>
      <c r="E168" s="13" t="str">
        <f t="shared" si="17"/>
        <v>Heffner</v>
      </c>
      <c r="F168" s="13" t="str">
        <f t="array" ref="F168">_xlfn.LET(
 _xlpm.authors,_xlfn.TEXTBEFORE(A168," ("&amp;G168&amp;")"),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68" s="13" t="str">
        <f t="shared" si="18"/>
        <v>2020</v>
      </c>
      <c r="H168" s="13" t="str">
        <f t="shared" si="19"/>
        <v>Heffner_etal_2020</v>
      </c>
      <c r="I168" s="13" t="str">
        <f t="shared" ref="I168:I180" si="25">_xlfn.LET(
_xlpm.doi,IF(C168&lt;&gt;"",C168,_xlfn.TEXTAFTER(A168,"https://doi.org/")),
SUBSTITUTE(
SUBSTITUTE(
SUBSTITUTE(
SUBSTITUTE(
_xlpm.doi,
"/","%2F"),
":","%3A"),
"&lt;","%3C"),
"&gt;","%3E")
)</f>
        <v>10.1007%2Fs00359-020-01424-8</v>
      </c>
      <c r="J168" s="13" t="str">
        <f t="shared" si="20"/>
        <v>Heffner_etal_2020_Figure3</v>
      </c>
      <c r="K168" s="13" t="str">
        <f t="shared" si="24"/>
        <v>10.1007%2Fs00359-020-01424-8_Figure3</v>
      </c>
      <c r="L168" s="13" t="str">
        <f t="array" ref="L168">IFERROR(INDEX(AUTO_Public_TSV_FileList!$A$1:$A$1000,MATCH(TRUE(),EXACT(K168,IFERROR(_xlfn.TEXTBEFORE(AUTO_Public_TSV_FileList!$A$1:$A$1000,".tsv"),"")),0)),"notfound")</f>
        <v>10.1007%2Fs00359-020-01424-8_Figure3.tsv</v>
      </c>
      <c r="M168" s="4" t="s">
        <v>780</v>
      </c>
      <c r="N168" s="5" t="s">
        <v>630</v>
      </c>
      <c r="O168" s="4" t="s">
        <v>781</v>
      </c>
      <c r="P168" s="5" t="s">
        <v>36</v>
      </c>
      <c r="Q168" s="5"/>
      <c r="R168" s="5"/>
      <c r="S168" s="4"/>
      <c r="T168" s="4"/>
      <c r="U168" s="4"/>
      <c r="V168" s="5"/>
      <c r="W168" s="4" t="s">
        <v>782</v>
      </c>
      <c r="X168" s="4" t="s">
        <v>783</v>
      </c>
      <c r="Y168" s="4"/>
      <c r="Z168" s="4"/>
      <c r="AA168" s="4"/>
      <c r="AB168" s="4" t="s">
        <v>744</v>
      </c>
      <c r="AC168" s="4" t="s">
        <v>669</v>
      </c>
      <c r="AD168" s="4"/>
      <c r="AE168" s="4" t="s">
        <v>51</v>
      </c>
      <c r="AF168" s="5"/>
      <c r="AG168" s="4"/>
    </row>
    <row r="169" spans="1:33" ht="17.100000000000001" customHeight="1">
      <c r="A169" s="1" t="s">
        <v>784</v>
      </c>
      <c r="D169" s="1" t="s">
        <v>568</v>
      </c>
      <c r="E169" s="13" t="str">
        <f t="shared" si="17"/>
        <v>Heffner</v>
      </c>
      <c r="F169" s="13" t="str">
        <f t="array" ref="F169">_xlfn.LET(
 _xlpm.authors,_xlfn.TEXTBEFORE(A169," ("&amp;G169&amp;")"),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169" s="13" t="str">
        <f t="shared" si="18"/>
        <v>1975</v>
      </c>
      <c r="H169" s="13" t="str">
        <f t="shared" si="19"/>
        <v>Heffner_Masterton_1975</v>
      </c>
      <c r="I169" s="13" t="str">
        <f t="shared" si="25"/>
        <v>10.1159%2F000124401</v>
      </c>
      <c r="J169" s="13" t="str">
        <f t="shared" si="20"/>
        <v>Heffner_Masterton_1975_TableI</v>
      </c>
      <c r="K169" s="13" t="str">
        <f t="shared" si="24"/>
        <v>10.1159%2F000124401_TableI</v>
      </c>
      <c r="L169" s="13" t="str">
        <f t="array" ref="L169">IFERROR(INDEX(AUTO_Public_TSV_FileList!$A$1:$A$1000,MATCH(TRUE(),EXACT(K169,IFERROR(_xlfn.TEXTBEFORE(AUTO_Public_TSV_FileList!$A$1:$A$1000,".tsv"),"")),0)),"notfound")</f>
        <v>10.1159%2F000124401_TableI.tsv</v>
      </c>
      <c r="M169" s="4"/>
      <c r="N169" s="5" t="s">
        <v>35</v>
      </c>
      <c r="O169" s="4"/>
      <c r="P169" s="5" t="s">
        <v>36</v>
      </c>
      <c r="Q169" s="5"/>
      <c r="R169" s="5" t="s">
        <v>615</v>
      </c>
      <c r="S169" s="4"/>
      <c r="T169" s="4"/>
      <c r="U169" s="4"/>
      <c r="V169" s="5"/>
      <c r="W169" s="5" t="s">
        <v>138</v>
      </c>
      <c r="X169" s="5" t="s">
        <v>785</v>
      </c>
      <c r="Y169" s="5" t="s">
        <v>786</v>
      </c>
      <c r="Z169" s="4"/>
      <c r="AA169" s="4"/>
      <c r="AB169" s="5" t="s">
        <v>787</v>
      </c>
      <c r="AC169" s="4"/>
      <c r="AD169" s="4"/>
      <c r="AE169" s="5" t="s">
        <v>51</v>
      </c>
      <c r="AF169" s="5"/>
      <c r="AG169" s="4"/>
    </row>
    <row r="170" spans="1:33" ht="17.100000000000001" customHeight="1">
      <c r="A170" s="1" t="s">
        <v>788</v>
      </c>
      <c r="C170" s="6" t="s">
        <v>789</v>
      </c>
      <c r="D170" s="1" t="s">
        <v>58</v>
      </c>
      <c r="E170" s="13" t="str">
        <f t="shared" si="17"/>
        <v>Heiss</v>
      </c>
      <c r="F170" s="13" t="str">
        <f t="array" ref="F170">_xlfn.LET(
 _xlpm.authors,_xlfn.TEXTBEFORE(A170," ("&amp;G170&amp;")"),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0" s="13" t="str">
        <f t="shared" si="18"/>
        <v>2004</v>
      </c>
      <c r="H170" s="13" t="str">
        <f t="shared" si="19"/>
        <v>Heiss_etal_2004</v>
      </c>
      <c r="I170" s="13" t="str">
        <f t="shared" si="25"/>
        <v>PMID%3A15534048</v>
      </c>
      <c r="J170" s="13" t="str">
        <f t="shared" si="20"/>
        <v>Heiss_etal_2004_TABLE1</v>
      </c>
      <c r="K170" s="13" t="str">
        <f t="shared" si="24"/>
        <v>PMID%3A15534048_TABLE1</v>
      </c>
      <c r="L170" s="13" t="str">
        <f t="array" ref="L170">IFERROR(INDEX(AUTO_Public_TSV_FileList!$A$1:$A$1000,MATCH(TRUE(),EXACT(K170,IFERROR(_xlfn.TEXTBEFORE(AUTO_Public_TSV_FileList!$A$1:$A$1000,".tsv"),"")),0)),"notfound")</f>
        <v>PMID%3A15534048_TABLE1.tsv</v>
      </c>
      <c r="M170" s="5" t="s">
        <v>790</v>
      </c>
      <c r="N170" s="4"/>
      <c r="O170" s="5"/>
      <c r="P170" s="4" t="s">
        <v>36</v>
      </c>
      <c r="Q170" s="4"/>
      <c r="R170" s="5" t="s">
        <v>615</v>
      </c>
      <c r="S170" s="4"/>
      <c r="T170" s="4"/>
      <c r="U170" s="4"/>
      <c r="V170" s="4"/>
      <c r="W170" s="5" t="s">
        <v>644</v>
      </c>
      <c r="X170" s="5" t="s">
        <v>791</v>
      </c>
      <c r="Y170" s="4"/>
      <c r="Z170" s="4"/>
      <c r="AA170" s="4"/>
      <c r="AB170" s="5" t="s">
        <v>792</v>
      </c>
      <c r="AC170" s="4"/>
      <c r="AD170" s="4"/>
      <c r="AE170" s="5" t="s">
        <v>66</v>
      </c>
      <c r="AF170" s="5"/>
      <c r="AG170" s="4"/>
    </row>
    <row r="171" spans="1:33" ht="17.100000000000001" customHeight="1">
      <c r="A171" s="1" t="s">
        <v>793</v>
      </c>
      <c r="D171" s="1" t="s">
        <v>231</v>
      </c>
      <c r="E171" s="13" t="str">
        <f t="shared" si="17"/>
        <v>Heldstab</v>
      </c>
      <c r="F171" s="13" t="str">
        <f t="array" ref="F171">_xlfn.LET(
 _xlpm.authors,_xlfn.TEXTBEFORE(A171," ("&amp;G171&amp;")"),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1" s="13" t="str">
        <f t="shared" si="18"/>
        <v>2016</v>
      </c>
      <c r="H171" s="13" t="str">
        <f t="shared" si="19"/>
        <v>Heldstab_etal_2016</v>
      </c>
      <c r="I171" s="13" t="str">
        <f t="shared" si="25"/>
        <v>10.1038%2Fsrep24528</v>
      </c>
      <c r="J171" s="13" t="str">
        <f t="shared" si="20"/>
        <v>Heldstab_etal_2016_TableS1</v>
      </c>
      <c r="K171" s="13" t="str">
        <f t="shared" si="24"/>
        <v>10.1038%2Fsrep24528_TableS1</v>
      </c>
      <c r="L171" s="13" t="str">
        <f t="array" ref="L171">IFERROR(INDEX(AUTO_Public_TSV_FileList!$A$1:$A$1000,MATCH(TRUE(),EXACT(K171,IFERROR(_xlfn.TEXTBEFORE(AUTO_Public_TSV_FileList!$A$1:$A$1000,".tsv"),"")),0)),"notfound")</f>
        <v>10.1038%2Fsrep24528_TableS1.tsv</v>
      </c>
      <c r="M171" s="4"/>
      <c r="N171" s="5" t="s">
        <v>35</v>
      </c>
      <c r="O171" s="4"/>
      <c r="P171" s="4" t="s">
        <v>36</v>
      </c>
      <c r="Q171" s="4"/>
      <c r="R171" s="5" t="s">
        <v>615</v>
      </c>
      <c r="S171" s="4"/>
      <c r="T171" s="4"/>
      <c r="U171" s="4"/>
      <c r="V171" s="5"/>
      <c r="W171" s="5" t="s">
        <v>100</v>
      </c>
      <c r="X171" s="5" t="s">
        <v>794</v>
      </c>
      <c r="Y171" s="4"/>
      <c r="Z171" s="4"/>
      <c r="AA171" s="4"/>
      <c r="AB171" s="5" t="s">
        <v>795</v>
      </c>
      <c r="AC171" s="4"/>
      <c r="AD171" s="4"/>
      <c r="AE171" s="5" t="s">
        <v>179</v>
      </c>
      <c r="AF171" s="5"/>
      <c r="AG171" s="4"/>
    </row>
    <row r="172" spans="1:33" ht="17.100000000000001" customHeight="1">
      <c r="A172" s="1" t="s">
        <v>796</v>
      </c>
      <c r="D172" s="1" t="s">
        <v>81</v>
      </c>
      <c r="E172" s="13" t="str">
        <f t="shared" si="17"/>
        <v>HerculanoHouzel</v>
      </c>
      <c r="F172" s="13" t="str">
        <f t="array" ref="F172">_xlfn.LET(
 _xlpm.authors,_xlfn.TEXTBEFORE(A172," ("&amp;G172&amp;")"),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72" s="13" t="str">
        <f t="shared" si="18"/>
        <v>2015</v>
      </c>
      <c r="H172" s="13" t="str">
        <f t="shared" si="19"/>
        <v>HerculanoHouzel__2015</v>
      </c>
      <c r="I172" s="13" t="str">
        <f t="shared" si="25"/>
        <v>10.1098%2Frspb.2015.1853</v>
      </c>
      <c r="J172" s="13" t="str">
        <f t="shared" si="20"/>
        <v>HerculanoHouzel__2015_Table1</v>
      </c>
      <c r="K172" s="13" t="str">
        <f t="shared" si="24"/>
        <v>10.1098%2Frspb.2015.1853_Table1</v>
      </c>
      <c r="L172" s="13" t="str">
        <f t="array" ref="L172">IFERROR(INDEX(AUTO_Public_TSV_FileList!$A$1:$A$1000,MATCH(TRUE(),EXACT(K172,IFERROR(_xlfn.TEXTBEFORE(AUTO_Public_TSV_FileList!$A$1:$A$1000,".tsv"),"")),0)),"notfound")</f>
        <v>10.1098%2Frspb.2015.1853_Table1.tsv</v>
      </c>
      <c r="M172" s="4"/>
      <c r="N172" s="5" t="s">
        <v>35</v>
      </c>
      <c r="O172" s="4"/>
      <c r="P172" s="4" t="s">
        <v>36</v>
      </c>
      <c r="Q172" s="4"/>
      <c r="R172" s="4"/>
      <c r="S172" s="4"/>
      <c r="T172" s="4"/>
      <c r="U172" s="4"/>
      <c r="V172" s="4"/>
      <c r="W172" s="5" t="s">
        <v>138</v>
      </c>
      <c r="X172" s="5" t="s">
        <v>797</v>
      </c>
      <c r="Y172" s="4"/>
      <c r="Z172" s="4"/>
      <c r="AA172" s="4"/>
      <c r="AB172" s="5" t="s">
        <v>798</v>
      </c>
      <c r="AC172" s="4"/>
      <c r="AD172" s="4"/>
      <c r="AE172" s="5" t="s">
        <v>51</v>
      </c>
      <c r="AF172" s="5"/>
      <c r="AG172" s="4"/>
    </row>
    <row r="173" spans="1:33" ht="17.100000000000001" customHeight="1">
      <c r="A173" s="1" t="s">
        <v>796</v>
      </c>
      <c r="D173" s="1" t="s">
        <v>70</v>
      </c>
      <c r="E173" s="13" t="str">
        <f t="shared" si="17"/>
        <v>HerculanoHouzel</v>
      </c>
      <c r="F173" s="13" t="str">
        <f t="array" ref="F173">_xlfn.LET(
 _xlpm.authors,_xlfn.TEXTBEFORE(A173," ("&amp;G173&amp;")"),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173" s="13" t="str">
        <f t="shared" si="18"/>
        <v>2015</v>
      </c>
      <c r="H173" s="13" t="str">
        <f t="shared" si="19"/>
        <v>HerculanoHouzel__2015</v>
      </c>
      <c r="I173" s="13" t="str">
        <f t="shared" si="25"/>
        <v>10.1098%2Frspb.2015.1853</v>
      </c>
      <c r="J173" s="13" t="str">
        <f t="shared" si="20"/>
        <v>HerculanoHouzel__2015_Table2</v>
      </c>
      <c r="K173" s="13" t="str">
        <f t="shared" si="24"/>
        <v>10.1098%2Frspb.2015.1853_Table2</v>
      </c>
      <c r="L173" s="13" t="str">
        <f t="array" ref="L173">IFERROR(INDEX(AUTO_Public_TSV_FileList!$A$1:$A$1000,MATCH(TRUE(),EXACT(K173,IFERROR(_xlfn.TEXTBEFORE(AUTO_Public_TSV_FileList!$A$1:$A$1000,".tsv"),"")),0)),"notfound")</f>
        <v>10.1098%2Frspb.2015.1853_Table2.tsv</v>
      </c>
      <c r="M173" s="5" t="s">
        <v>799</v>
      </c>
      <c r="N173" s="5" t="s">
        <v>35</v>
      </c>
      <c r="O173" s="5"/>
      <c r="P173" s="4" t="s">
        <v>36</v>
      </c>
      <c r="Q173" s="4"/>
      <c r="R173" s="4"/>
      <c r="S173" s="4"/>
      <c r="T173" s="4"/>
      <c r="U173" s="4"/>
      <c r="V173" s="4"/>
      <c r="W173" s="5" t="s">
        <v>138</v>
      </c>
      <c r="X173" s="5" t="s">
        <v>800</v>
      </c>
      <c r="Y173" s="4"/>
      <c r="Z173" s="4"/>
      <c r="AA173" s="4"/>
      <c r="AB173" s="5" t="s">
        <v>801</v>
      </c>
      <c r="AC173" s="4"/>
      <c r="AD173" s="4"/>
      <c r="AE173" s="5" t="s">
        <v>51</v>
      </c>
      <c r="AF173" s="5"/>
      <c r="AG173" s="4"/>
    </row>
    <row r="174" spans="1:33" ht="17.100000000000001" customHeight="1">
      <c r="A174" s="1" t="s">
        <v>802</v>
      </c>
      <c r="D174" s="1" t="s">
        <v>81</v>
      </c>
      <c r="E174" s="13" t="str">
        <f t="shared" si="17"/>
        <v>HerculanoHouzel</v>
      </c>
      <c r="F174" s="13" t="str">
        <f t="array" ref="F174">_xlfn.LET(
 _xlpm.authors,_xlfn.TEXTBEFORE(A174," ("&amp;G174&amp;")"),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4" s="13" t="str">
        <f t="shared" si="18"/>
        <v>2015</v>
      </c>
      <c r="H174" s="13" t="str">
        <f t="shared" si="19"/>
        <v>HerculanoHouzel_etal_2015</v>
      </c>
      <c r="I174" s="13" t="str">
        <f t="shared" si="25"/>
        <v>10.1159%2F000437413</v>
      </c>
      <c r="J174" s="13" t="str">
        <f t="shared" si="20"/>
        <v>HerculanoHouzel_etal_2015_Table1</v>
      </c>
      <c r="K174" s="13" t="str">
        <f t="shared" si="24"/>
        <v>10.1159%2F000437413_Table1</v>
      </c>
      <c r="L174" s="13" t="str">
        <f t="array" ref="L174">IFERROR(INDEX(AUTO_Public_TSV_FileList!$A$1:$A$1000,MATCH(TRUE(),EXACT(K174,IFERROR(_xlfn.TEXTBEFORE(AUTO_Public_TSV_FileList!$A$1:$A$1000,".tsv"),"")),0)),"notfound")</f>
        <v>10.1159%2F000437413_Table1.tsv</v>
      </c>
      <c r="M174" s="5" t="s">
        <v>803</v>
      </c>
      <c r="N174" s="5" t="s">
        <v>35</v>
      </c>
      <c r="O174" s="5"/>
      <c r="P174" s="5" t="s">
        <v>36</v>
      </c>
      <c r="Q174" s="5"/>
      <c r="R174" s="5" t="s">
        <v>615</v>
      </c>
      <c r="S174" s="5" t="s">
        <v>804</v>
      </c>
      <c r="T174" s="4"/>
      <c r="U174" s="4"/>
      <c r="V174" s="4"/>
      <c r="W174" s="5" t="s">
        <v>805</v>
      </c>
      <c r="X174" s="5" t="s">
        <v>509</v>
      </c>
      <c r="Y174" s="4"/>
      <c r="Z174" s="4"/>
      <c r="AA174" s="5" t="s">
        <v>63</v>
      </c>
      <c r="AB174" s="5" t="s">
        <v>64</v>
      </c>
      <c r="AC174" s="5" t="s">
        <v>65</v>
      </c>
      <c r="AD174" s="5" t="s">
        <v>65</v>
      </c>
      <c r="AE174" s="5" t="s">
        <v>66</v>
      </c>
      <c r="AF174" s="5"/>
      <c r="AG174" s="4"/>
    </row>
    <row r="175" spans="1:33" ht="17.100000000000001" customHeight="1">
      <c r="A175" s="1" t="s">
        <v>802</v>
      </c>
      <c r="D175" s="1" t="s">
        <v>70</v>
      </c>
      <c r="E175" s="13" t="str">
        <f t="shared" si="17"/>
        <v>HerculanoHouzel</v>
      </c>
      <c r="F175" s="13" t="str">
        <f t="array" ref="F175">_xlfn.LET(
 _xlpm.authors,_xlfn.TEXTBEFORE(A175," ("&amp;G175&amp;")"),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5" s="13" t="str">
        <f t="shared" si="18"/>
        <v>2015</v>
      </c>
      <c r="H175" s="13" t="str">
        <f t="shared" si="19"/>
        <v>HerculanoHouzel_etal_2015</v>
      </c>
      <c r="I175" s="13" t="str">
        <f t="shared" si="25"/>
        <v>10.1159%2F000437413</v>
      </c>
      <c r="J175" s="13" t="str">
        <f t="shared" si="20"/>
        <v>HerculanoHouzel_etal_2015_Table2</v>
      </c>
      <c r="K175" s="13" t="str">
        <f t="shared" si="24"/>
        <v>10.1159%2F000437413_Table2</v>
      </c>
      <c r="L175" s="13" t="str">
        <f t="array" ref="L175">IFERROR(INDEX(AUTO_Public_TSV_FileList!$A$1:$A$1000,MATCH(TRUE(),EXACT(K175,IFERROR(_xlfn.TEXTBEFORE(AUTO_Public_TSV_FileList!$A$1:$A$1000,".tsv"),"")),0)),"notfound")</f>
        <v>10.1159%2F000437413_Table2.tsv</v>
      </c>
      <c r="M175" s="5" t="s">
        <v>806</v>
      </c>
      <c r="N175" s="5" t="s">
        <v>35</v>
      </c>
      <c r="O175" s="5"/>
      <c r="P175" s="5" t="s">
        <v>36</v>
      </c>
      <c r="Q175" s="5"/>
      <c r="R175" s="5" t="s">
        <v>615</v>
      </c>
      <c r="S175" s="4"/>
      <c r="T175" s="4"/>
      <c r="U175" s="4"/>
      <c r="V175" s="4"/>
      <c r="W175" s="5" t="s">
        <v>805</v>
      </c>
      <c r="X175" s="5" t="s">
        <v>509</v>
      </c>
      <c r="Y175" s="4"/>
      <c r="Z175" s="4"/>
      <c r="AA175" s="5" t="s">
        <v>63</v>
      </c>
      <c r="AB175" s="5" t="s">
        <v>64</v>
      </c>
      <c r="AC175" s="5" t="s">
        <v>65</v>
      </c>
      <c r="AD175" s="5" t="s">
        <v>65</v>
      </c>
      <c r="AE175" s="5" t="s">
        <v>66</v>
      </c>
      <c r="AF175" s="5"/>
      <c r="AG175" s="4"/>
    </row>
    <row r="176" spans="1:33" ht="17.100000000000001" customHeight="1">
      <c r="A176" s="1" t="s">
        <v>802</v>
      </c>
      <c r="D176" s="1" t="s">
        <v>72</v>
      </c>
      <c r="E176" s="13" t="str">
        <f t="shared" si="17"/>
        <v>HerculanoHouzel</v>
      </c>
      <c r="F176" s="13" t="str">
        <f t="array" ref="F176">_xlfn.LET(
 _xlpm.authors,_xlfn.TEXTBEFORE(A176," ("&amp;G176&amp;")"),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6" s="13" t="str">
        <f t="shared" si="18"/>
        <v>2015</v>
      </c>
      <c r="H176" s="13" t="str">
        <f t="shared" si="19"/>
        <v>HerculanoHouzel_etal_2015</v>
      </c>
      <c r="I176" s="13" t="str">
        <f t="shared" si="25"/>
        <v>10.1159%2F000437413</v>
      </c>
      <c r="J176" s="13" t="str">
        <f t="shared" si="20"/>
        <v>HerculanoHouzel_etal_2015_Table3</v>
      </c>
      <c r="K176" s="13" t="str">
        <f t="shared" si="24"/>
        <v>10.1159%2F000437413_Table3</v>
      </c>
      <c r="L176" s="13" t="str">
        <f t="array" ref="L176">IFERROR(INDEX(AUTO_Public_TSV_FileList!$A$1:$A$1000,MATCH(TRUE(),EXACT(K176,IFERROR(_xlfn.TEXTBEFORE(AUTO_Public_TSV_FileList!$A$1:$A$1000,".tsv"),"")),0)),"notfound")</f>
        <v>10.1159%2F000437413_Table3.tsv</v>
      </c>
      <c r="M176" s="5" t="s">
        <v>807</v>
      </c>
      <c r="N176" s="5" t="s">
        <v>35</v>
      </c>
      <c r="O176" s="5"/>
      <c r="P176" s="5" t="s">
        <v>36</v>
      </c>
      <c r="Q176" s="5"/>
      <c r="R176" s="5" t="s">
        <v>615</v>
      </c>
      <c r="S176" s="4"/>
      <c r="T176" s="4"/>
      <c r="U176" s="4"/>
      <c r="V176" s="4"/>
      <c r="W176" s="5" t="s">
        <v>805</v>
      </c>
      <c r="X176" s="5" t="s">
        <v>509</v>
      </c>
      <c r="Y176" s="4"/>
      <c r="Z176" s="4"/>
      <c r="AA176" s="5" t="s">
        <v>63</v>
      </c>
      <c r="AB176" s="5" t="s">
        <v>64</v>
      </c>
      <c r="AC176" s="5" t="s">
        <v>65</v>
      </c>
      <c r="AD176" s="5" t="s">
        <v>65</v>
      </c>
      <c r="AE176" s="5" t="s">
        <v>66</v>
      </c>
      <c r="AF176" s="5"/>
      <c r="AG176" s="4"/>
    </row>
    <row r="177" spans="1:33" ht="17.100000000000001" customHeight="1">
      <c r="A177" s="1" t="s">
        <v>802</v>
      </c>
      <c r="D177" s="1" t="s">
        <v>34</v>
      </c>
      <c r="E177" s="13" t="str">
        <f t="shared" si="17"/>
        <v>HerculanoHouzel</v>
      </c>
      <c r="F177" s="13" t="str">
        <f t="array" ref="F177">_xlfn.LET(
 _xlpm.authors,_xlfn.TEXTBEFORE(A177," ("&amp;G177&amp;")"),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7" s="13" t="str">
        <f t="shared" si="18"/>
        <v>2015</v>
      </c>
      <c r="H177" s="13" t="str">
        <f t="shared" si="19"/>
        <v>HerculanoHouzel_etal_2015</v>
      </c>
      <c r="I177" s="13" t="str">
        <f t="shared" si="25"/>
        <v>10.1159%2F000437413</v>
      </c>
      <c r="J177" s="13" t="str">
        <f t="shared" si="20"/>
        <v>HerculanoHouzel_etal_2015_Table4</v>
      </c>
      <c r="K177" s="13" t="str">
        <f t="shared" si="24"/>
        <v>10.1159%2F000437413_Table4</v>
      </c>
      <c r="L177" s="13" t="str">
        <f t="array" ref="L177">IFERROR(INDEX(AUTO_Public_TSV_FileList!$A$1:$A$1000,MATCH(TRUE(),EXACT(K177,IFERROR(_xlfn.TEXTBEFORE(AUTO_Public_TSV_FileList!$A$1:$A$1000,".tsv"),"")),0)),"notfound")</f>
        <v>10.1159%2F000437413_Table4.tsv</v>
      </c>
      <c r="M177" s="5" t="s">
        <v>808</v>
      </c>
      <c r="N177" s="5" t="s">
        <v>35</v>
      </c>
      <c r="O177" s="5"/>
      <c r="P177" s="5" t="s">
        <v>36</v>
      </c>
      <c r="Q177" s="5"/>
      <c r="R177" s="5" t="s">
        <v>615</v>
      </c>
      <c r="S177" s="4"/>
      <c r="T177" s="4"/>
      <c r="U177" s="4"/>
      <c r="V177" s="4"/>
      <c r="W177" s="5" t="s">
        <v>805</v>
      </c>
      <c r="X177" s="5" t="s">
        <v>509</v>
      </c>
      <c r="Y177" s="4"/>
      <c r="Z177" s="4"/>
      <c r="AA177" s="5" t="s">
        <v>63</v>
      </c>
      <c r="AB177" s="5" t="s">
        <v>64</v>
      </c>
      <c r="AC177" s="5" t="s">
        <v>65</v>
      </c>
      <c r="AD177" s="5" t="s">
        <v>65</v>
      </c>
      <c r="AE177" s="5" t="s">
        <v>66</v>
      </c>
      <c r="AF177" s="5"/>
      <c r="AG177" s="4"/>
    </row>
    <row r="178" spans="1:33" ht="17.100000000000001" customHeight="1">
      <c r="A178" s="1" t="s">
        <v>802</v>
      </c>
      <c r="D178" s="1" t="s">
        <v>74</v>
      </c>
      <c r="E178" s="13" t="str">
        <f t="shared" si="17"/>
        <v>HerculanoHouzel</v>
      </c>
      <c r="F178" s="13" t="str">
        <f t="array" ref="F178">_xlfn.LET(
 _xlpm.authors,_xlfn.TEXTBEFORE(A178," ("&amp;G178&amp;")"),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8" s="13" t="str">
        <f t="shared" si="18"/>
        <v>2015</v>
      </c>
      <c r="H178" s="13" t="str">
        <f t="shared" si="19"/>
        <v>HerculanoHouzel_etal_2015</v>
      </c>
      <c r="I178" s="13" t="str">
        <f t="shared" si="25"/>
        <v>10.1159%2F000437413</v>
      </c>
      <c r="J178" s="13" t="str">
        <f t="shared" si="20"/>
        <v>HerculanoHouzel_etal_2015_Table5</v>
      </c>
      <c r="K178" s="13" t="str">
        <f t="shared" si="24"/>
        <v>10.1159%2F000437413_Table5</v>
      </c>
      <c r="L178" s="13" t="str">
        <f t="array" ref="L178">IFERROR(INDEX(AUTO_Public_TSV_FileList!$A$1:$A$1000,MATCH(TRUE(),EXACT(K178,IFERROR(_xlfn.TEXTBEFORE(AUTO_Public_TSV_FileList!$A$1:$A$1000,".tsv"),"")),0)),"notfound")</f>
        <v>10.1159%2F000437413_Table5.tsv</v>
      </c>
      <c r="M178" s="5" t="s">
        <v>809</v>
      </c>
      <c r="N178" s="5" t="s">
        <v>35</v>
      </c>
      <c r="O178" s="5"/>
      <c r="P178" s="5" t="s">
        <v>36</v>
      </c>
      <c r="Q178" s="5"/>
      <c r="R178" s="5" t="s">
        <v>615</v>
      </c>
      <c r="S178" s="4"/>
      <c r="T178" s="4"/>
      <c r="U178" s="4"/>
      <c r="V178" s="4"/>
      <c r="W178" s="5" t="s">
        <v>805</v>
      </c>
      <c r="X178" s="5" t="s">
        <v>509</v>
      </c>
      <c r="Y178" s="4"/>
      <c r="Z178" s="4"/>
      <c r="AA178" s="5" t="s">
        <v>63</v>
      </c>
      <c r="AB178" s="5" t="s">
        <v>64</v>
      </c>
      <c r="AC178" s="5" t="s">
        <v>65</v>
      </c>
      <c r="AD178" s="5" t="s">
        <v>65</v>
      </c>
      <c r="AE178" s="5" t="s">
        <v>66</v>
      </c>
      <c r="AF178" s="5"/>
      <c r="AG178" s="4"/>
    </row>
    <row r="179" spans="1:33" ht="17.100000000000001" customHeight="1">
      <c r="A179" s="1" t="s">
        <v>810</v>
      </c>
      <c r="D179" s="1" t="s">
        <v>58</v>
      </c>
      <c r="E179" s="13" t="str">
        <f t="shared" si="17"/>
        <v>HerculanoHouzel</v>
      </c>
      <c r="F179" s="13" t="str">
        <f t="array" ref="F179">_xlfn.LET(
 _xlpm.authors,_xlfn.TEXTBEFORE(A179," ("&amp;G179&amp;")"),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79" s="13" t="str">
        <f t="shared" si="18"/>
        <v>2020</v>
      </c>
      <c r="H179" s="13" t="str">
        <f t="shared" si="19"/>
        <v>HerculanoHouzel_etal_2020</v>
      </c>
      <c r="I179" s="13" t="str">
        <f t="shared" si="25"/>
        <v>10.1002%2Fcne.24985</v>
      </c>
      <c r="J179" s="13" t="str">
        <f t="shared" si="20"/>
        <v>HerculanoHouzel_etal_2020_TABLE1</v>
      </c>
      <c r="K179" s="13" t="str">
        <f t="shared" si="24"/>
        <v>10.1002%2Fcne.24985_TABLE1</v>
      </c>
      <c r="L179" s="13" t="str">
        <f t="array" ref="L179">IFERROR(INDEX(AUTO_Public_TSV_FileList!$A$1:$A$1000,MATCH(TRUE(),EXACT(K179,IFERROR(_xlfn.TEXTBEFORE(AUTO_Public_TSV_FileList!$A$1:$A$1000,".tsv"),"")),0)),"notfound")</f>
        <v>10.1002%2Fcne.24985_TABLE1.tsv</v>
      </c>
      <c r="M179" s="5" t="s">
        <v>811</v>
      </c>
      <c r="N179" s="5" t="s">
        <v>35</v>
      </c>
      <c r="O179" s="5"/>
      <c r="P179" s="5" t="s">
        <v>36</v>
      </c>
      <c r="Q179" s="5"/>
      <c r="R179" s="5" t="s">
        <v>812</v>
      </c>
      <c r="S179" s="5" t="s">
        <v>273</v>
      </c>
      <c r="T179" s="4"/>
      <c r="U179" s="4"/>
      <c r="V179" s="4"/>
      <c r="W179" s="5" t="s">
        <v>813</v>
      </c>
      <c r="X179" s="5" t="s">
        <v>814</v>
      </c>
      <c r="Y179" s="4"/>
      <c r="Z179" s="4"/>
      <c r="AA179" s="5" t="s">
        <v>63</v>
      </c>
      <c r="AB179" s="5" t="s">
        <v>815</v>
      </c>
      <c r="AC179" s="5" t="s">
        <v>65</v>
      </c>
      <c r="AD179" s="5" t="s">
        <v>65</v>
      </c>
      <c r="AE179" s="5" t="s">
        <v>66</v>
      </c>
      <c r="AF179" s="5"/>
      <c r="AG179" s="4"/>
    </row>
    <row r="180" spans="1:33" ht="17.100000000000001" customHeight="1">
      <c r="A180" s="1" t="s">
        <v>810</v>
      </c>
      <c r="D180" s="1" t="s">
        <v>110</v>
      </c>
      <c r="E180" s="13" t="str">
        <f t="shared" si="17"/>
        <v>HerculanoHouzel</v>
      </c>
      <c r="F180" s="13" t="str">
        <f t="array" ref="F180">_xlfn.LET(
 _xlpm.authors,_xlfn.TEXTBEFORE(A180," ("&amp;G180&amp;")"),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0" s="13" t="str">
        <f t="shared" si="18"/>
        <v>2020</v>
      </c>
      <c r="H180" s="13" t="str">
        <f t="shared" si="19"/>
        <v>HerculanoHouzel_etal_2020</v>
      </c>
      <c r="I180" s="13" t="str">
        <f t="shared" si="25"/>
        <v>10.1002%2Fcne.24985</v>
      </c>
      <c r="J180" s="13" t="str">
        <f t="shared" si="20"/>
        <v>HerculanoHouzel_etal_2020_TABLE2</v>
      </c>
      <c r="K180" s="13" t="str">
        <f t="shared" si="24"/>
        <v>10.1002%2Fcne.24985_TABLE2</v>
      </c>
      <c r="L180" s="13" t="str">
        <f t="array" ref="L180">IFERROR(INDEX(AUTO_Public_TSV_FileList!$A$1:$A$1000,MATCH(TRUE(),EXACT(K180,IFERROR(_xlfn.TEXTBEFORE(AUTO_Public_TSV_FileList!$A$1:$A$1000,".tsv"),"")),0)),"notfound")</f>
        <v>10.1002%2Fcne.24985_TABLE2.tsv</v>
      </c>
      <c r="M180" s="5" t="s">
        <v>816</v>
      </c>
      <c r="N180" s="5" t="s">
        <v>35</v>
      </c>
      <c r="O180" s="5"/>
      <c r="P180" s="5" t="s">
        <v>36</v>
      </c>
      <c r="Q180" s="5"/>
      <c r="R180" s="5" t="s">
        <v>812</v>
      </c>
      <c r="S180" s="5" t="s">
        <v>273</v>
      </c>
      <c r="T180" s="4"/>
      <c r="U180" s="4"/>
      <c r="V180" s="4"/>
      <c r="W180" s="5" t="s">
        <v>813</v>
      </c>
      <c r="X180" s="5" t="s">
        <v>817</v>
      </c>
      <c r="Y180" s="4"/>
      <c r="Z180" s="4"/>
      <c r="AA180" s="5" t="s">
        <v>63</v>
      </c>
      <c r="AB180" s="5" t="s">
        <v>64</v>
      </c>
      <c r="AC180" s="5" t="s">
        <v>65</v>
      </c>
      <c r="AD180" s="5" t="s">
        <v>65</v>
      </c>
      <c r="AE180" s="5" t="s">
        <v>66</v>
      </c>
      <c r="AF180" s="5"/>
      <c r="AG180" s="4"/>
    </row>
    <row r="181" spans="1:33" ht="17.100000000000001" customHeight="1">
      <c r="A181" s="17" t="s">
        <v>818</v>
      </c>
      <c r="D181" s="17" t="s">
        <v>70</v>
      </c>
      <c r="E181" s="12" t="str">
        <f t="shared" si="17"/>
        <v>HerculanoHouzel</v>
      </c>
      <c r="F181" s="13" t="str">
        <f t="array" ref="F181">_xlfn.LET(
 _xlpm.authors,_xlfn.TEXTBEFORE(A181," ("&amp;G181&amp;")"),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1" s="13" t="str">
        <f t="shared" si="18"/>
        <v>2016</v>
      </c>
      <c r="H181" s="12" t="str">
        <f t="shared" si="19"/>
        <v>HerculanoHouzel_etal_2016</v>
      </c>
      <c r="I181" s="12" t="str">
        <f>_xlfn.LET(_xlpm.doi,IF(C181&lt;&gt;"",C181,_xlfn.TEXTAFTER(A181,"https://doi.org/")),SUBSTITUTE(SUBSTITUTE(SUBSTITUTE(SUBSTITUTE(_xlpm.doi,"/","%2F"),":","%3A"),"&lt;","%3C"),"&gt;","%3E"))</f>
        <v>10.1002%2Fcne.23792</v>
      </c>
      <c r="J181" s="12" t="str">
        <f t="shared" si="20"/>
        <v>HerculanoHouzel_etal_2016_Table2</v>
      </c>
      <c r="K181" s="13" t="str">
        <f t="shared" si="24"/>
        <v>10.1002%2Fcne.23792_Table2</v>
      </c>
      <c r="L181" s="13" t="str">
        <f t="array" ref="L181">IFERROR(INDEX(AUTO_Public_TSV_FileList!$A$1:$A$1000,MATCH(TRUE(),EXACT(K181,IFERROR(_xlfn.TEXTBEFORE(AUTO_Public_TSV_FileList!$A$1:$A$1000,".tsv"),"")),0)),"notfound")</f>
        <v>10.1002%2Fcne.23792_Table2.tsv</v>
      </c>
      <c r="M181" s="4" t="s">
        <v>819</v>
      </c>
      <c r="N181" s="4" t="s">
        <v>35</v>
      </c>
      <c r="O181" s="4"/>
      <c r="P181" s="4" t="s">
        <v>36</v>
      </c>
      <c r="Q181" s="4"/>
      <c r="R181" s="4"/>
      <c r="S181" s="4"/>
      <c r="T181" s="4"/>
      <c r="U181" s="4"/>
      <c r="V181" s="4"/>
      <c r="W181" s="4" t="s">
        <v>100</v>
      </c>
      <c r="X181" s="4" t="s">
        <v>820</v>
      </c>
      <c r="Y181" s="4" t="s">
        <v>821</v>
      </c>
      <c r="Z181" s="4" t="s">
        <v>822</v>
      </c>
      <c r="AA181" s="4" t="s">
        <v>823</v>
      </c>
      <c r="AB181" s="4" t="s">
        <v>64</v>
      </c>
      <c r="AC181" s="4"/>
      <c r="AD181" s="4"/>
      <c r="AE181" s="4" t="s">
        <v>824</v>
      </c>
      <c r="AF181" s="4" t="s">
        <v>825</v>
      </c>
      <c r="AG181" s="4"/>
    </row>
    <row r="182" spans="1:33" ht="17.100000000000001" customHeight="1">
      <c r="A182" s="1" t="s">
        <v>826</v>
      </c>
      <c r="D182" s="1" t="s">
        <v>827</v>
      </c>
      <c r="E182" s="13" t="str">
        <f t="shared" si="17"/>
        <v>HerculanoHouzel</v>
      </c>
      <c r="F182" s="13" t="str">
        <f t="array" ref="F182">_xlfn.LET(
 _xlpm.authors,_xlfn.TEXTBEFORE(A182," ("&amp;G182&amp;")"),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2" s="13" t="str">
        <f t="shared" si="18"/>
        <v>2013</v>
      </c>
      <c r="H182" s="13" t="str">
        <f t="shared" si="19"/>
        <v>HerculanoHouzel_etal_2013</v>
      </c>
      <c r="I182" s="13" t="str">
        <f t="shared" ref="I182:I199" si="26">_xlfn.LET(
_xlpm.doi,IF(C182&lt;&gt;"",C182,_xlfn.TEXTAFTER(A182,"https://doi.org/")),
SUBSTITUTE(
SUBSTITUTE(
SUBSTITUTE(
SUBSTITUTE(
_xlpm.doi,
"/","%2F"),
":","%3A"),
"&lt;","%3C"),
"&gt;","%3E")
)</f>
        <v>10.3389%2Ffnana.2013.00035</v>
      </c>
      <c r="J182" s="13" t="str">
        <f t="shared" si="20"/>
        <v>HerculanoHouzel_etal_2013_Figure2TopLeft</v>
      </c>
      <c r="K182" s="13" t="str">
        <f t="shared" si="24"/>
        <v>10.3389%2Ffnana.2013.00035_Figure2TopLeft</v>
      </c>
      <c r="L182" s="13" t="str">
        <f t="array" ref="L182">IFERROR(INDEX(AUTO_Public_TSV_FileList!$A$1:$A$1000,MATCH(TRUE(),EXACT(K182,IFERROR(_xlfn.TEXTBEFORE(AUTO_Public_TSV_FileList!$A$1:$A$1000,".tsv"),"")),0)),"notfound")</f>
        <v>10.3389%2Ffnana.2013.00035_Figure2TopLeft.tsv</v>
      </c>
      <c r="M182" s="4"/>
      <c r="N182" s="4"/>
      <c r="O182" s="4"/>
      <c r="P182" s="5" t="s">
        <v>36</v>
      </c>
      <c r="Q182" s="4"/>
      <c r="R182" s="4"/>
      <c r="S182" s="4"/>
      <c r="T182" s="4"/>
      <c r="U182" s="4"/>
      <c r="V182" s="4"/>
      <c r="W182" s="5" t="s">
        <v>138</v>
      </c>
      <c r="X182" s="5" t="s">
        <v>817</v>
      </c>
      <c r="Y182" s="4"/>
      <c r="Z182" s="4"/>
      <c r="AA182" s="5" t="s">
        <v>63</v>
      </c>
      <c r="AB182" s="5" t="s">
        <v>64</v>
      </c>
      <c r="AC182" s="5" t="s">
        <v>65</v>
      </c>
      <c r="AD182" s="5" t="s">
        <v>65</v>
      </c>
      <c r="AE182" s="5" t="s">
        <v>66</v>
      </c>
      <c r="AF182" s="5"/>
      <c r="AG182" s="4"/>
    </row>
    <row r="183" spans="1:33" ht="17.100000000000001" customHeight="1">
      <c r="A183" s="1" t="s">
        <v>826</v>
      </c>
      <c r="D183" s="1" t="s">
        <v>828</v>
      </c>
      <c r="E183" s="13" t="str">
        <f t="shared" si="17"/>
        <v>HerculanoHouzel</v>
      </c>
      <c r="F183" s="13" t="str">
        <f t="array" ref="F183">_xlfn.LET(
 _xlpm.authors,_xlfn.TEXTBEFORE(A183," ("&amp;G183&amp;")"),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3" s="13" t="str">
        <f t="shared" si="18"/>
        <v>2013</v>
      </c>
      <c r="H183" s="13" t="str">
        <f t="shared" si="19"/>
        <v>HerculanoHouzel_etal_2013</v>
      </c>
      <c r="I183" s="13" t="str">
        <f t="shared" si="26"/>
        <v>10.3389%2Ffnana.2013.00035</v>
      </c>
      <c r="J183" s="13" t="str">
        <f t="shared" si="20"/>
        <v>HerculanoHouzel_etal_2013_Table1-a</v>
      </c>
      <c r="K183" s="13" t="str">
        <f t="shared" si="24"/>
        <v>10.3389%2Ffnana.2013.00035_Table1-a</v>
      </c>
      <c r="L183" s="13" t="str">
        <f t="array" ref="L183">IFERROR(INDEX(AUTO_Public_TSV_FileList!$A$1:$A$1000,MATCH(TRUE(),EXACT(K183,IFERROR(_xlfn.TEXTBEFORE(AUTO_Public_TSV_FileList!$A$1:$A$1000,".tsv"),"")),0)),"notfound")</f>
        <v>10.3389%2Ffnana.2013.00035_Table1-a.tsv</v>
      </c>
      <c r="M183" s="4"/>
      <c r="N183" s="5" t="s">
        <v>35</v>
      </c>
      <c r="O183" s="4"/>
      <c r="P183" s="5" t="s">
        <v>36</v>
      </c>
      <c r="Q183" s="4"/>
      <c r="R183" s="4"/>
      <c r="S183" s="4"/>
      <c r="T183" s="4"/>
      <c r="U183" s="4"/>
      <c r="V183" s="4"/>
      <c r="W183" s="5" t="s">
        <v>138</v>
      </c>
      <c r="X183" s="5" t="s">
        <v>817</v>
      </c>
      <c r="Y183" s="4"/>
      <c r="Z183" s="4"/>
      <c r="AA183" s="5" t="s">
        <v>63</v>
      </c>
      <c r="AB183" s="5" t="s">
        <v>64</v>
      </c>
      <c r="AC183" s="5" t="s">
        <v>65</v>
      </c>
      <c r="AD183" s="5" t="s">
        <v>65</v>
      </c>
      <c r="AE183" s="5" t="s">
        <v>66</v>
      </c>
      <c r="AF183" s="5"/>
      <c r="AG183" s="4"/>
    </row>
    <row r="184" spans="1:33" ht="17.100000000000001" customHeight="1">
      <c r="A184" s="1" t="s">
        <v>826</v>
      </c>
      <c r="D184" s="1" t="s">
        <v>829</v>
      </c>
      <c r="E184" s="13" t="str">
        <f t="shared" si="17"/>
        <v>HerculanoHouzel</v>
      </c>
      <c r="F184" s="13" t="str">
        <f t="array" ref="F184">_xlfn.LET(
 _xlpm.authors,_xlfn.TEXTBEFORE(A184," ("&amp;G184&amp;")"),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4" s="13" t="str">
        <f t="shared" si="18"/>
        <v>2013</v>
      </c>
      <c r="H184" s="13" t="str">
        <f t="shared" si="19"/>
        <v>HerculanoHouzel_etal_2013</v>
      </c>
      <c r="I184" s="13" t="str">
        <f t="shared" si="26"/>
        <v>10.3389%2Ffnana.2013.00035</v>
      </c>
      <c r="J184" s="13" t="str">
        <f t="shared" si="20"/>
        <v>HerculanoHouzel_etal_2013_Table1-b</v>
      </c>
      <c r="K184" s="13" t="str">
        <f t="shared" si="24"/>
        <v>10.3389%2Ffnana.2013.00035_Table1-b</v>
      </c>
      <c r="L184" s="13" t="str">
        <f t="array" ref="L184">IFERROR(INDEX(AUTO_Public_TSV_FileList!$A$1:$A$1000,MATCH(TRUE(),EXACT(K184,IFERROR(_xlfn.TEXTBEFORE(AUTO_Public_TSV_FileList!$A$1:$A$1000,".tsv"),"")),0)),"notfound")</f>
        <v>10.3389%2Ffnana.2013.00035_Table1-b.tsv</v>
      </c>
      <c r="M184" s="4"/>
      <c r="N184" s="5" t="s">
        <v>35</v>
      </c>
      <c r="O184" s="4"/>
      <c r="P184" s="5" t="s">
        <v>36</v>
      </c>
      <c r="Q184" s="4"/>
      <c r="R184" s="4"/>
      <c r="S184" s="4"/>
      <c r="T184" s="4"/>
      <c r="U184" s="4"/>
      <c r="V184" s="4"/>
      <c r="W184" s="5" t="s">
        <v>138</v>
      </c>
      <c r="X184" s="5" t="s">
        <v>817</v>
      </c>
      <c r="Y184" s="4"/>
      <c r="Z184" s="4"/>
      <c r="AA184" s="5" t="s">
        <v>63</v>
      </c>
      <c r="AB184" s="5" t="s">
        <v>64</v>
      </c>
      <c r="AC184" s="5" t="s">
        <v>65</v>
      </c>
      <c r="AD184" s="5" t="s">
        <v>65</v>
      </c>
      <c r="AE184" s="5" t="s">
        <v>66</v>
      </c>
      <c r="AF184" s="5"/>
      <c r="AG184" s="4"/>
    </row>
    <row r="185" spans="1:33" ht="17.100000000000001" customHeight="1">
      <c r="A185" s="1" t="s">
        <v>830</v>
      </c>
      <c r="D185" s="1" t="s">
        <v>831</v>
      </c>
      <c r="E185" s="13" t="str">
        <f t="shared" si="17"/>
        <v>Heuer</v>
      </c>
      <c r="F185" s="13" t="str">
        <f t="array" ref="F185">_xlfn.LET(
 _xlpm.authors,_xlfn.TEXTBEFORE(A185," ("&amp;G185&amp;")"),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5" s="13" t="str">
        <f t="shared" si="18"/>
        <v>2019</v>
      </c>
      <c r="H185" s="13" t="str">
        <f t="shared" si="19"/>
        <v>Heuer_etal_2019</v>
      </c>
      <c r="I185" s="13" t="str">
        <f t="shared" si="26"/>
        <v>10.1016%2Fj.cortex.2019.04.011</v>
      </c>
      <c r="J185" s="13" t="str">
        <f t="shared" si="20"/>
        <v>Heuer_etal_2019_S1</v>
      </c>
      <c r="K185" s="13" t="str">
        <f t="shared" si="24"/>
        <v>10.1016%2Fj.cortex.2019.04.011_S1</v>
      </c>
      <c r="L185" s="13" t="str">
        <f t="array" ref="L185">IFERROR(INDEX(AUTO_Public_TSV_FileList!$A$1:$A$1000,MATCH(TRUE(),EXACT(K185,IFERROR(_xlfn.TEXTBEFORE(AUTO_Public_TSV_FileList!$A$1:$A$1000,".tsv"),"")),0)),"notfound")</f>
        <v>10.1016%2Fj.cortex.2019.04.011_S1.tsv</v>
      </c>
      <c r="M185" s="4"/>
      <c r="N185" s="5" t="s">
        <v>35</v>
      </c>
      <c r="O185" s="4"/>
      <c r="P185" s="5" t="s">
        <v>36</v>
      </c>
      <c r="Q185" s="5" t="s">
        <v>832</v>
      </c>
      <c r="R185" s="4"/>
      <c r="S185" s="4"/>
      <c r="T185" s="4"/>
      <c r="U185" s="4"/>
      <c r="V185" s="4"/>
      <c r="W185" s="5" t="s">
        <v>100</v>
      </c>
      <c r="X185" s="5" t="s">
        <v>833</v>
      </c>
      <c r="Y185" s="4"/>
      <c r="Z185" s="4"/>
      <c r="AA185" s="4"/>
      <c r="AB185" s="5" t="s">
        <v>834</v>
      </c>
      <c r="AC185" s="5" t="s">
        <v>835</v>
      </c>
      <c r="AD185" s="4"/>
      <c r="AE185" s="5" t="s">
        <v>179</v>
      </c>
      <c r="AF185" s="5"/>
      <c r="AG185" s="5" t="s">
        <v>836</v>
      </c>
    </row>
    <row r="186" spans="1:33" ht="17.100000000000001" customHeight="1">
      <c r="A186" s="1" t="s">
        <v>830</v>
      </c>
      <c r="D186" s="1" t="s">
        <v>81</v>
      </c>
      <c r="E186" s="13" t="str">
        <f t="shared" si="17"/>
        <v>Heuer</v>
      </c>
      <c r="F186" s="13" t="str">
        <f t="array" ref="F186">_xlfn.LET(
 _xlpm.authors,_xlfn.TEXTBEFORE(A186," ("&amp;G186&amp;")"),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6" s="13" t="str">
        <f t="shared" si="18"/>
        <v>2019</v>
      </c>
      <c r="H186" s="13" t="str">
        <f t="shared" si="19"/>
        <v>Heuer_etal_2019</v>
      </c>
      <c r="I186" s="13" t="str">
        <f t="shared" si="26"/>
        <v>10.1016%2Fj.cortex.2019.04.011</v>
      </c>
      <c r="J186" s="13" t="str">
        <f t="shared" si="20"/>
        <v>Heuer_etal_2019_Table1</v>
      </c>
      <c r="K186" s="13" t="str">
        <f t="shared" si="24"/>
        <v>10.1016%2Fj.cortex.2019.04.011_Table1</v>
      </c>
      <c r="L186" s="13" t="str">
        <f t="array" ref="L186">IFERROR(INDEX(AUTO_Public_TSV_FileList!$A$1:$A$1000,MATCH(TRUE(),EXACT(K186,IFERROR(_xlfn.TEXTBEFORE(AUTO_Public_TSV_FileList!$A$1:$A$1000,".tsv"),"")),0)),"notfound")</f>
        <v>10.1016%2Fj.cortex.2019.04.011_Table1.tsv</v>
      </c>
      <c r="M186" s="4"/>
      <c r="N186" s="5" t="s">
        <v>35</v>
      </c>
      <c r="O186" s="4"/>
      <c r="P186" s="5" t="s">
        <v>36</v>
      </c>
      <c r="Q186" s="5"/>
      <c r="R186" s="4"/>
      <c r="S186" s="4"/>
      <c r="T186" s="4"/>
      <c r="U186" s="4"/>
      <c r="V186" s="4"/>
      <c r="W186" s="5" t="s">
        <v>100</v>
      </c>
      <c r="X186" s="5" t="s">
        <v>837</v>
      </c>
      <c r="Y186" s="4"/>
      <c r="Z186" s="4"/>
      <c r="AA186" s="5"/>
      <c r="AB186" s="5"/>
      <c r="AC186" s="5" t="s">
        <v>835</v>
      </c>
      <c r="AD186" s="5"/>
      <c r="AE186" s="5" t="s">
        <v>179</v>
      </c>
      <c r="AF186" s="5"/>
      <c r="AG186" s="5" t="s">
        <v>838</v>
      </c>
    </row>
    <row r="187" spans="1:33" ht="17.100000000000001" customHeight="1">
      <c r="A187" s="1" t="s">
        <v>839</v>
      </c>
      <c r="D187" s="1" t="s">
        <v>840</v>
      </c>
      <c r="E187" s="13" t="str">
        <f t="shared" si="17"/>
        <v>Heuer</v>
      </c>
      <c r="F187" s="13" t="str">
        <f t="array" ref="F187">_xlfn.LET(
 _xlpm.authors,_xlfn.TEXTBEFORE(A187," ("&amp;G187&amp;")"),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7" s="13" t="str">
        <f t="shared" si="18"/>
        <v>2023</v>
      </c>
      <c r="H187" s="13" t="str">
        <f t="shared" si="19"/>
        <v>Heuer_etal_2023</v>
      </c>
      <c r="I187" s="13" t="str">
        <f t="shared" si="26"/>
        <v>10.7554%2FeLife.85907</v>
      </c>
      <c r="J187" s="13" t="str">
        <f t="shared" si="20"/>
        <v>Heuer_etal_2023_Data</v>
      </c>
      <c r="K187" s="13" t="str">
        <f t="shared" si="24"/>
        <v>10.7554%2FeLife.85907_Data</v>
      </c>
      <c r="L187" s="13" t="str">
        <f t="array" ref="L187">IFERROR(INDEX(AUTO_Public_TSV_FileList!$A$1:$A$1000,MATCH(TRUE(),EXACT(K187,IFERROR(_xlfn.TEXTBEFORE(AUTO_Public_TSV_FileList!$A$1:$A$1000,".tsv"),"")),0)),"notfound")</f>
        <v>10.7554%2FeLife.85907_Data.tsv</v>
      </c>
      <c r="M187" s="4"/>
      <c r="N187" s="5" t="s">
        <v>35</v>
      </c>
      <c r="O187" s="5" t="s">
        <v>841</v>
      </c>
      <c r="P187" s="5" t="s">
        <v>36</v>
      </c>
      <c r="Q187" s="5" t="s">
        <v>842</v>
      </c>
      <c r="R187" s="5" t="s">
        <v>843</v>
      </c>
      <c r="S187" s="4"/>
      <c r="T187" s="4"/>
      <c r="U187" s="4"/>
      <c r="V187" s="5" t="s">
        <v>844</v>
      </c>
      <c r="W187" s="5" t="s">
        <v>138</v>
      </c>
      <c r="X187" s="5" t="s">
        <v>845</v>
      </c>
      <c r="Y187" s="5" t="s">
        <v>846</v>
      </c>
      <c r="Z187" s="5"/>
      <c r="AA187" s="5" t="s">
        <v>847</v>
      </c>
      <c r="AB187" s="5" t="s">
        <v>848</v>
      </c>
      <c r="AC187" s="5" t="s">
        <v>835</v>
      </c>
      <c r="AD187" s="4"/>
      <c r="AE187" s="5" t="s">
        <v>66</v>
      </c>
      <c r="AF187" s="5"/>
      <c r="AG187" s="5" t="s">
        <v>849</v>
      </c>
    </row>
    <row r="188" spans="1:33" ht="17.100000000000001" customHeight="1">
      <c r="A188" s="1" t="s">
        <v>850</v>
      </c>
      <c r="D188" s="1" t="s">
        <v>70</v>
      </c>
      <c r="E188" s="13" t="str">
        <f t="shared" si="17"/>
        <v>Isler</v>
      </c>
      <c r="F188" s="13" t="str">
        <f t="array" ref="F188">_xlfn.LET(
 _xlpm.authors,_xlfn.TEXTBEFORE(A188," ("&amp;G188&amp;")"),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8" s="13" t="str">
        <f t="shared" si="18"/>
        <v>2008</v>
      </c>
      <c r="H188" s="13" t="str">
        <f t="shared" si="19"/>
        <v>Isler_etal_2008</v>
      </c>
      <c r="I188" s="13" t="str">
        <f t="shared" si="26"/>
        <v>10.1016%2Fj.jhevol.2008.08.004</v>
      </c>
      <c r="J188" s="13" t="str">
        <f t="shared" si="20"/>
        <v>Isler_etal_2008_Table2</v>
      </c>
      <c r="K188" s="13" t="str">
        <f t="shared" si="24"/>
        <v>10.1016%2Fj.jhevol.2008.08.004_Table2</v>
      </c>
      <c r="L188" s="13" t="str">
        <f t="array" ref="L188">IFERROR(INDEX(AUTO_Public_TSV_FileList!$A$1:$A$1000,MATCH(TRUE(),EXACT(K188,IFERROR(_xlfn.TEXTBEFORE(AUTO_Public_TSV_FileList!$A$1:$A$1000,".tsv"),"")),0)),"notfound")</f>
        <v>10.1016%2Fj.jhevol.2008.08.004_Table2.tsv</v>
      </c>
      <c r="M188" s="4"/>
      <c r="N188" s="5" t="s">
        <v>35</v>
      </c>
      <c r="O188" s="4"/>
      <c r="P188" s="5" t="s">
        <v>36</v>
      </c>
      <c r="Q188" s="4"/>
      <c r="R188" s="4"/>
      <c r="S188" s="4"/>
      <c r="T188" s="4"/>
      <c r="U188" s="4"/>
      <c r="V188" s="4"/>
      <c r="W188" s="5" t="s">
        <v>100</v>
      </c>
      <c r="X188" s="5" t="s">
        <v>851</v>
      </c>
      <c r="Y188" s="4"/>
      <c r="Z188" s="4"/>
      <c r="AA188" s="4"/>
      <c r="AB188" s="5" t="s">
        <v>852</v>
      </c>
      <c r="AC188" s="4"/>
      <c r="AD188" s="4"/>
      <c r="AE188" s="5" t="s">
        <v>179</v>
      </c>
      <c r="AF188" s="5"/>
      <c r="AG188" s="4"/>
    </row>
    <row r="189" spans="1:33" ht="17.100000000000001" customHeight="1">
      <c r="A189" s="1" t="s">
        <v>850</v>
      </c>
      <c r="D189" s="1" t="s">
        <v>853</v>
      </c>
      <c r="E189" s="13" t="str">
        <f t="shared" si="17"/>
        <v>Isler</v>
      </c>
      <c r="F189" s="13" t="str">
        <f t="array" ref="F189">_xlfn.LET(
 _xlpm.authors,_xlfn.TEXTBEFORE(A189," ("&amp;G189&amp;")"),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89" s="13" t="str">
        <f t="shared" si="18"/>
        <v>2008</v>
      </c>
      <c r="H189" s="13" t="str">
        <f t="shared" si="19"/>
        <v>Isler_etal_2008</v>
      </c>
      <c r="I189" s="13" t="str">
        <f t="shared" si="26"/>
        <v>10.1016%2Fj.jhevol.2008.08.004</v>
      </c>
      <c r="J189" s="13" t="str">
        <f t="shared" si="20"/>
        <v>Isler_etal_2008_Table7</v>
      </c>
      <c r="K189" s="13" t="str">
        <f t="shared" si="24"/>
        <v>10.1016%2Fj.jhevol.2008.08.004_Table7</v>
      </c>
      <c r="L189" s="13" t="str">
        <f t="array" ref="L189">IFERROR(INDEX(AUTO_Public_TSV_FileList!$A$1:$A$1000,MATCH(TRUE(),EXACT(K189,IFERROR(_xlfn.TEXTBEFORE(AUTO_Public_TSV_FileList!$A$1:$A$1000,".tsv"),"")),0)),"notfound")</f>
        <v>10.1016%2Fj.jhevol.2008.08.004_Table7.tsv</v>
      </c>
      <c r="M189" s="4"/>
      <c r="N189" s="5" t="s">
        <v>35</v>
      </c>
      <c r="O189" s="4"/>
      <c r="P189" s="5" t="s">
        <v>36</v>
      </c>
      <c r="Q189" s="4"/>
      <c r="R189" s="4"/>
      <c r="S189" s="4"/>
      <c r="T189" s="4"/>
      <c r="U189" s="4"/>
      <c r="V189" s="4"/>
      <c r="W189" s="5" t="s">
        <v>100</v>
      </c>
      <c r="X189" s="5" t="s">
        <v>851</v>
      </c>
      <c r="Y189" s="4"/>
      <c r="Z189" s="4"/>
      <c r="AA189" s="4"/>
      <c r="AB189" s="5" t="s">
        <v>852</v>
      </c>
      <c r="AC189" s="4"/>
      <c r="AD189" s="4"/>
      <c r="AE189" s="5" t="s">
        <v>179</v>
      </c>
      <c r="AF189" s="5"/>
      <c r="AG189" s="4"/>
    </row>
    <row r="190" spans="1:33" ht="17.100000000000001" customHeight="1">
      <c r="A190" s="1" t="s">
        <v>850</v>
      </c>
      <c r="D190" s="1" t="s">
        <v>231</v>
      </c>
      <c r="E190" s="13" t="str">
        <f t="shared" si="17"/>
        <v>Isler</v>
      </c>
      <c r="F190" s="13" t="str">
        <f t="array" ref="F190">_xlfn.LET(
 _xlpm.authors,_xlfn.TEXTBEFORE(A190," ("&amp;G190&amp;")"),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0" s="13" t="str">
        <f t="shared" si="18"/>
        <v>2008</v>
      </c>
      <c r="H190" s="13" t="str">
        <f t="shared" si="19"/>
        <v>Isler_etal_2008</v>
      </c>
      <c r="I190" s="13" t="str">
        <f t="shared" si="26"/>
        <v>10.1016%2Fj.jhevol.2008.08.004</v>
      </c>
      <c r="J190" s="13" t="str">
        <f t="shared" si="20"/>
        <v>Isler_etal_2008_TableS1</v>
      </c>
      <c r="K190" s="13" t="str">
        <f t="shared" si="24"/>
        <v>10.1016%2Fj.jhevol.2008.08.004_TableS1</v>
      </c>
      <c r="L190" s="13" t="str">
        <f t="array" ref="L190">IFERROR(INDEX(AUTO_Public_TSV_FileList!$A$1:$A$1000,MATCH(TRUE(),EXACT(K190,IFERROR(_xlfn.TEXTBEFORE(AUTO_Public_TSV_FileList!$A$1:$A$1000,".tsv"),"")),0)),"notfound")</f>
        <v>10.1016%2Fj.jhevol.2008.08.004_TableS1.tsv</v>
      </c>
      <c r="M190" s="4"/>
      <c r="N190" s="5" t="s">
        <v>35</v>
      </c>
      <c r="O190" s="4"/>
      <c r="P190" s="5" t="s">
        <v>36</v>
      </c>
      <c r="Q190" s="4"/>
      <c r="R190" s="4"/>
      <c r="S190" s="4"/>
      <c r="T190" s="4"/>
      <c r="U190" s="4"/>
      <c r="V190" s="4"/>
      <c r="W190" s="5" t="s">
        <v>100</v>
      </c>
      <c r="X190" s="5" t="s">
        <v>851</v>
      </c>
      <c r="Y190" s="4"/>
      <c r="Z190" s="4"/>
      <c r="AA190" s="4"/>
      <c r="AB190" s="5" t="s">
        <v>852</v>
      </c>
      <c r="AC190" s="4"/>
      <c r="AD190" s="4"/>
      <c r="AE190" s="5" t="s">
        <v>179</v>
      </c>
      <c r="AF190" s="5"/>
      <c r="AG190" s="4"/>
    </row>
    <row r="191" spans="1:33" ht="17.100000000000001" customHeight="1">
      <c r="A191" s="1" t="s">
        <v>850</v>
      </c>
      <c r="D191" s="1" t="s">
        <v>558</v>
      </c>
      <c r="E191" s="13" t="str">
        <f t="shared" si="17"/>
        <v>Isler</v>
      </c>
      <c r="F191" s="13" t="str">
        <f t="array" ref="F191">_xlfn.LET(
 _xlpm.authors,_xlfn.TEXTBEFORE(A191," ("&amp;G191&amp;")"),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1" s="13" t="str">
        <f t="shared" si="18"/>
        <v>2008</v>
      </c>
      <c r="H191" s="13" t="str">
        <f t="shared" si="19"/>
        <v>Isler_etal_2008</v>
      </c>
      <c r="I191" s="13" t="str">
        <f t="shared" si="26"/>
        <v>10.1016%2Fj.jhevol.2008.08.004</v>
      </c>
      <c r="J191" s="13" t="str">
        <f t="shared" si="20"/>
        <v>Isler_etal_2008_TableS2</v>
      </c>
      <c r="K191" s="13" t="str">
        <f t="shared" si="24"/>
        <v>10.1016%2Fj.jhevol.2008.08.004_TableS2</v>
      </c>
      <c r="L191" s="13" t="str">
        <f t="array" ref="L191">IFERROR(INDEX(AUTO_Public_TSV_FileList!$A$1:$A$1000,MATCH(TRUE(),EXACT(K191,IFERROR(_xlfn.TEXTBEFORE(AUTO_Public_TSV_FileList!$A$1:$A$1000,".tsv"),"")),0)),"notfound")</f>
        <v>10.1016%2Fj.jhevol.2008.08.004_TableS2.tsv</v>
      </c>
      <c r="M191" s="4"/>
      <c r="N191" s="5" t="s">
        <v>35</v>
      </c>
      <c r="O191" s="4"/>
      <c r="P191" s="5" t="s">
        <v>36</v>
      </c>
      <c r="Q191" s="4"/>
      <c r="R191" s="4"/>
      <c r="S191" s="4"/>
      <c r="T191" s="4"/>
      <c r="U191" s="4"/>
      <c r="V191" s="4"/>
      <c r="W191" s="5" t="s">
        <v>100</v>
      </c>
      <c r="X191" s="5" t="s">
        <v>851</v>
      </c>
      <c r="Y191" s="4"/>
      <c r="Z191" s="4"/>
      <c r="AA191" s="4"/>
      <c r="AB191" s="5" t="s">
        <v>852</v>
      </c>
      <c r="AC191" s="4"/>
      <c r="AD191" s="4"/>
      <c r="AE191" s="5" t="s">
        <v>179</v>
      </c>
      <c r="AF191" s="5"/>
      <c r="AG191" s="4"/>
    </row>
    <row r="192" spans="1:33" ht="17.100000000000001" customHeight="1">
      <c r="A192" s="1" t="s">
        <v>850</v>
      </c>
      <c r="B192" s="8"/>
      <c r="C192" s="8"/>
      <c r="D192" s="1" t="s">
        <v>560</v>
      </c>
      <c r="E192" s="13" t="str">
        <f t="shared" si="17"/>
        <v>Isler</v>
      </c>
      <c r="F192" s="13" t="str">
        <f t="array" ref="F192">_xlfn.LET(
 _xlpm.authors,_xlfn.TEXTBEFORE(A192," ("&amp;G192&amp;")"),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2" s="13" t="str">
        <f t="shared" si="18"/>
        <v>2008</v>
      </c>
      <c r="H192" s="13" t="str">
        <f t="shared" si="19"/>
        <v>Isler_etal_2008</v>
      </c>
      <c r="I192" s="13" t="str">
        <f t="shared" si="26"/>
        <v>10.1016%2Fj.jhevol.2008.08.004</v>
      </c>
      <c r="J192" s="13" t="str">
        <f t="shared" si="20"/>
        <v>Isler_etal_2008_TableS3</v>
      </c>
      <c r="K192" s="13" t="str">
        <f t="shared" si="24"/>
        <v>10.1016%2Fj.jhevol.2008.08.004_TableS3</v>
      </c>
      <c r="L192" s="13" t="str">
        <f t="array" ref="L192">IFERROR(INDEX(AUTO_Public_TSV_FileList!$A$1:$A$1000,MATCH(TRUE(),EXACT(K192,IFERROR(_xlfn.TEXTBEFORE(AUTO_Public_TSV_FileList!$A$1:$A$1000,".tsv"),"")),0)),"notfound")</f>
        <v>10.1016%2Fj.jhevol.2008.08.004_TableS3.tsv</v>
      </c>
      <c r="M192" s="4"/>
      <c r="N192" s="5" t="s">
        <v>35</v>
      </c>
      <c r="O192" s="4"/>
      <c r="P192" s="5" t="s">
        <v>36</v>
      </c>
      <c r="Q192" s="4"/>
      <c r="R192" s="4"/>
      <c r="S192" s="4"/>
      <c r="T192" s="4"/>
      <c r="U192" s="4"/>
      <c r="V192" s="4"/>
      <c r="W192" s="5" t="s">
        <v>100</v>
      </c>
      <c r="X192" s="5" t="s">
        <v>851</v>
      </c>
      <c r="Y192" s="4"/>
      <c r="Z192" s="4"/>
      <c r="AA192" s="4"/>
      <c r="AB192" s="5" t="s">
        <v>852</v>
      </c>
      <c r="AC192" s="4"/>
      <c r="AD192" s="4"/>
      <c r="AE192" s="5" t="s">
        <v>179</v>
      </c>
      <c r="AF192" s="5"/>
      <c r="AG192" s="4"/>
    </row>
    <row r="193" spans="1:33" ht="17.100000000000001" customHeight="1">
      <c r="A193" s="1" t="s">
        <v>850</v>
      </c>
      <c r="B193" s="8"/>
      <c r="C193" s="8"/>
      <c r="D193" s="1" t="s">
        <v>854</v>
      </c>
      <c r="E193" s="13" t="str">
        <f t="shared" si="17"/>
        <v>Isler</v>
      </c>
      <c r="F193" s="13" t="str">
        <f t="array" ref="F193">_xlfn.LET(
 _xlpm.authors,_xlfn.TEXTBEFORE(A193," ("&amp;G193&amp;")"),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3" s="13" t="str">
        <f t="shared" si="18"/>
        <v>2008</v>
      </c>
      <c r="H193" s="13" t="str">
        <f t="shared" si="19"/>
        <v>Isler_etal_2008</v>
      </c>
      <c r="I193" s="13" t="str">
        <f t="shared" si="26"/>
        <v>10.1016%2Fj.jhevol.2008.08.004</v>
      </c>
      <c r="J193" s="13" t="str">
        <f t="shared" si="20"/>
        <v>Isler_etal_2008_Tree.nex</v>
      </c>
      <c r="K193" s="13" t="str">
        <f t="shared" si="24"/>
        <v>10.1016%2Fj.jhevol.2008.08.004_Tree.nex</v>
      </c>
      <c r="L193" s="13" t="str">
        <f t="array" ref="L193">IFERROR(INDEX(AUTO_Public_TSV_FileList!$A$1:$A$1000,MATCH(TRUE(),EXACT(K193,IFERROR(_xlfn.TEXTBEFORE(AUTO_Public_TSV_FileList!$A$1:$A$1000,".tsv"),"")),0)),"notfound")</f>
        <v>notfound</v>
      </c>
      <c r="M193" s="4"/>
      <c r="N193" s="5" t="s">
        <v>855</v>
      </c>
      <c r="O193" s="4" t="s">
        <v>856</v>
      </c>
      <c r="P193" s="4" t="s">
        <v>36</v>
      </c>
      <c r="Q193" s="4"/>
      <c r="R193" s="4"/>
      <c r="S193" s="4"/>
      <c r="T193" s="4"/>
      <c r="U193" s="4"/>
      <c r="V193" s="4"/>
      <c r="W193" s="5" t="s">
        <v>100</v>
      </c>
      <c r="X193" s="5" t="s">
        <v>857</v>
      </c>
      <c r="Y193" s="4"/>
      <c r="Z193" s="4"/>
      <c r="AA193" s="4"/>
      <c r="AB193" s="5" t="s">
        <v>858</v>
      </c>
      <c r="AC193" s="4"/>
      <c r="AD193" s="4"/>
      <c r="AE193" s="5" t="s">
        <v>179</v>
      </c>
      <c r="AF193" s="5"/>
      <c r="AG193" s="4"/>
    </row>
    <row r="194" spans="1:33" ht="17.100000000000001" customHeight="1">
      <c r="A194" s="1" t="s">
        <v>859</v>
      </c>
      <c r="D194" s="1" t="s">
        <v>81</v>
      </c>
      <c r="E194" s="13" t="str">
        <f t="shared" ref="E194:E256" si="27">SUBSTITUTE(SUBSTITUTE(_xlfn.TEXTBEFORE(A194,","), "-", ""), " ", "")</f>
        <v>Iwaniuk</v>
      </c>
      <c r="F194" s="13" t="str">
        <f t="array" ref="F194">_xlfn.LET(
 _xlpm.authors,_xlfn.TEXTBEFORE(A194," ("&amp;G194&amp;")"),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4" s="13" t="str">
        <f t="shared" ref="G194:G256" si="28">_xlfn.TEXTBEFORE(_xlfn.TEXTAFTER(A194, "("), ")")</f>
        <v>2001</v>
      </c>
      <c r="H194" s="13" t="str">
        <f t="shared" ref="H194:H256" si="29">E194 &amp; IF(F194&lt;&gt;"", "_" &amp; F194, "_") &amp; IF(G194&lt;&gt;"", "_" &amp; G194, "_") &amp; IF(B194&lt;&gt;"", "_" &amp; B194, "")</f>
        <v>Iwaniuk_etal_2001</v>
      </c>
      <c r="I194" s="13" t="str">
        <f t="shared" si="26"/>
        <v>10.1037%2F0735-7036.115.1.29</v>
      </c>
      <c r="J194" s="13" t="str">
        <f t="shared" ref="J194:J256" si="30">TRIM(_xlfn.TEXTJOIN("_",FALSE(),H194,(SUBSTITUTE(SUBSTITUTE(D194," ",""), "_", ""))))</f>
        <v>Iwaniuk_etal_2001_Table1</v>
      </c>
      <c r="K194" s="13" t="str">
        <f t="shared" si="24"/>
        <v>10.1037%2F0735-7036.115.1.29_Table1</v>
      </c>
      <c r="L194" s="13" t="str">
        <f t="array" ref="L194">IFERROR(INDEX(AUTO_Public_TSV_FileList!$A$1:$A$1000,MATCH(TRUE(),EXACT(K194,IFERROR(_xlfn.TEXTBEFORE(AUTO_Public_TSV_FileList!$A$1:$A$1000,".tsv"),"")),0)),"notfound")</f>
        <v>10.1037%2F0735-7036.115.1.29_Table1.tsv</v>
      </c>
      <c r="M194" s="5" t="s">
        <v>860</v>
      </c>
      <c r="N194" s="5" t="s">
        <v>35</v>
      </c>
      <c r="O194" s="4"/>
      <c r="P194" s="5" t="s">
        <v>36</v>
      </c>
      <c r="Q194" s="4"/>
      <c r="R194" s="4"/>
      <c r="S194" s="4"/>
      <c r="T194" s="4"/>
      <c r="U194" s="4"/>
      <c r="V194" s="5"/>
      <c r="W194" s="5" t="s">
        <v>138</v>
      </c>
      <c r="X194" s="5" t="s">
        <v>861</v>
      </c>
      <c r="Y194" s="4"/>
      <c r="Z194" s="4"/>
      <c r="AA194" s="4"/>
      <c r="AB194" s="5" t="s">
        <v>862</v>
      </c>
      <c r="AC194" s="4"/>
      <c r="AD194" s="4"/>
      <c r="AE194" s="5" t="s">
        <v>179</v>
      </c>
      <c r="AF194" s="5"/>
      <c r="AG194" s="4"/>
    </row>
    <row r="195" spans="1:33" ht="17.100000000000001" customHeight="1">
      <c r="A195" s="1" t="s">
        <v>859</v>
      </c>
      <c r="D195" s="1" t="s">
        <v>70</v>
      </c>
      <c r="E195" s="13" t="str">
        <f t="shared" si="27"/>
        <v>Iwaniuk</v>
      </c>
      <c r="F195" s="13" t="str">
        <f t="array" ref="F195">_xlfn.LET(
 _xlpm.authors,_xlfn.TEXTBEFORE(A195," ("&amp;G195&amp;")"),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5" s="13" t="str">
        <f t="shared" si="28"/>
        <v>2001</v>
      </c>
      <c r="H195" s="13" t="str">
        <f t="shared" si="29"/>
        <v>Iwaniuk_etal_2001</v>
      </c>
      <c r="I195" s="13" t="str">
        <f t="shared" si="26"/>
        <v>10.1037%2F0735-7036.115.1.29</v>
      </c>
      <c r="J195" s="13" t="str">
        <f t="shared" si="30"/>
        <v>Iwaniuk_etal_2001_Table2</v>
      </c>
      <c r="K195" s="13" t="str">
        <f t="shared" si="24"/>
        <v>10.1037%2F0735-7036.115.1.29_Table2</v>
      </c>
      <c r="L195" s="13" t="str">
        <f t="array" ref="L195">IFERROR(INDEX(AUTO_Public_TSV_FileList!$A$1:$A$1000,MATCH(TRUE(),EXACT(K195,IFERROR(_xlfn.TEXTBEFORE(AUTO_Public_TSV_FileList!$A$1:$A$1000,".tsv"),"")),0)),"notfound")</f>
        <v>10.1037%2F0735-7036.115.1.29_Table2.tsv</v>
      </c>
      <c r="M195" s="5" t="s">
        <v>863</v>
      </c>
      <c r="N195" s="5" t="s">
        <v>35</v>
      </c>
      <c r="O195" s="4"/>
      <c r="P195" s="5" t="s">
        <v>36</v>
      </c>
      <c r="Q195" s="4"/>
      <c r="R195" s="4"/>
      <c r="S195" s="4"/>
      <c r="T195" s="4"/>
      <c r="U195" s="4"/>
      <c r="V195" s="5"/>
      <c r="W195" s="5" t="s">
        <v>138</v>
      </c>
      <c r="X195" s="5" t="s">
        <v>861</v>
      </c>
      <c r="Y195" s="4"/>
      <c r="Z195" s="4"/>
      <c r="AA195" s="4"/>
      <c r="AB195" s="5" t="s">
        <v>862</v>
      </c>
      <c r="AC195" s="4"/>
      <c r="AD195" s="4"/>
      <c r="AE195" s="5" t="s">
        <v>179</v>
      </c>
      <c r="AF195" s="5"/>
      <c r="AG195" s="4"/>
    </row>
    <row r="196" spans="1:33" ht="17.100000000000001" customHeight="1">
      <c r="A196" s="1" t="s">
        <v>859</v>
      </c>
      <c r="D196" s="1" t="s">
        <v>72</v>
      </c>
      <c r="E196" s="13" t="str">
        <f t="shared" si="27"/>
        <v>Iwaniuk</v>
      </c>
      <c r="F196" s="13" t="str">
        <f t="array" ref="F196">_xlfn.LET(
 _xlpm.authors,_xlfn.TEXTBEFORE(A196," ("&amp;G196&amp;")"),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6" s="13" t="str">
        <f t="shared" si="28"/>
        <v>2001</v>
      </c>
      <c r="H196" s="13" t="str">
        <f t="shared" si="29"/>
        <v>Iwaniuk_etal_2001</v>
      </c>
      <c r="I196" s="13" t="str">
        <f t="shared" si="26"/>
        <v>10.1037%2F0735-7036.115.1.29</v>
      </c>
      <c r="J196" s="13" t="str">
        <f t="shared" si="30"/>
        <v>Iwaniuk_etal_2001_Table3</v>
      </c>
      <c r="K196" s="13" t="str">
        <f t="shared" si="24"/>
        <v>10.1037%2F0735-7036.115.1.29_Table3</v>
      </c>
      <c r="L196" s="13" t="str">
        <f t="array" ref="L196">IFERROR(INDEX(AUTO_Public_TSV_FileList!$A$1:$A$1000,MATCH(TRUE(),EXACT(K196,IFERROR(_xlfn.TEXTBEFORE(AUTO_Public_TSV_FileList!$A$1:$A$1000,".tsv"),"")),0)),"notfound")</f>
        <v>10.1037%2F0735-7036.115.1.29_Table3.tsv</v>
      </c>
      <c r="M196" s="5" t="s">
        <v>864</v>
      </c>
      <c r="N196" s="5" t="s">
        <v>35</v>
      </c>
      <c r="O196" s="4"/>
      <c r="P196" s="5" t="s">
        <v>36</v>
      </c>
      <c r="Q196" s="4"/>
      <c r="R196" s="4"/>
      <c r="S196" s="4"/>
      <c r="T196" s="4"/>
      <c r="U196" s="4"/>
      <c r="V196" s="5"/>
      <c r="W196" s="5" t="s">
        <v>138</v>
      </c>
      <c r="X196" s="5" t="s">
        <v>861</v>
      </c>
      <c r="Y196" s="4"/>
      <c r="Z196" s="4"/>
      <c r="AA196" s="4"/>
      <c r="AB196" s="5" t="s">
        <v>862</v>
      </c>
      <c r="AC196" s="4"/>
      <c r="AD196" s="4"/>
      <c r="AE196" s="5" t="s">
        <v>179</v>
      </c>
      <c r="AF196" s="5"/>
      <c r="AG196" s="4"/>
    </row>
    <row r="197" spans="1:33" ht="17.100000000000001" customHeight="1">
      <c r="A197" s="1" t="s">
        <v>859</v>
      </c>
      <c r="D197" s="1" t="s">
        <v>34</v>
      </c>
      <c r="E197" s="13" t="str">
        <f t="shared" si="27"/>
        <v>Iwaniuk</v>
      </c>
      <c r="F197" s="13" t="str">
        <f t="array" ref="F197">_xlfn.LET(
 _xlpm.authors,_xlfn.TEXTBEFORE(A197," ("&amp;G197&amp;")"),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7" s="13" t="str">
        <f t="shared" si="28"/>
        <v>2001</v>
      </c>
      <c r="H197" s="13" t="str">
        <f t="shared" si="29"/>
        <v>Iwaniuk_etal_2001</v>
      </c>
      <c r="I197" s="13" t="str">
        <f t="shared" si="26"/>
        <v>10.1037%2F0735-7036.115.1.29</v>
      </c>
      <c r="J197" s="13" t="str">
        <f t="shared" si="30"/>
        <v>Iwaniuk_etal_2001_Table4</v>
      </c>
      <c r="K197" s="13" t="str">
        <f t="shared" si="24"/>
        <v>10.1037%2F0735-7036.115.1.29_Table4</v>
      </c>
      <c r="L197" s="13" t="str">
        <f t="array" ref="L197">IFERROR(INDEX(AUTO_Public_TSV_FileList!$A$1:$A$1000,MATCH(TRUE(),EXACT(K197,IFERROR(_xlfn.TEXTBEFORE(AUTO_Public_TSV_FileList!$A$1:$A$1000,".tsv"),"")),0)),"notfound")</f>
        <v>10.1037%2F0735-7036.115.1.29_Table4.tsv</v>
      </c>
      <c r="M197" s="5" t="s">
        <v>865</v>
      </c>
      <c r="N197" s="5" t="s">
        <v>35</v>
      </c>
      <c r="O197" s="4"/>
      <c r="P197" s="5" t="s">
        <v>36</v>
      </c>
      <c r="Q197" s="4"/>
      <c r="R197" s="4"/>
      <c r="S197" s="4"/>
      <c r="T197" s="4"/>
      <c r="U197" s="4"/>
      <c r="V197" s="5"/>
      <c r="W197" s="5" t="s">
        <v>138</v>
      </c>
      <c r="X197" s="5" t="s">
        <v>861</v>
      </c>
      <c r="Y197" s="4"/>
      <c r="Z197" s="4"/>
      <c r="AA197" s="4"/>
      <c r="AB197" s="5" t="s">
        <v>862</v>
      </c>
      <c r="AC197" s="4"/>
      <c r="AD197" s="4"/>
      <c r="AE197" s="5" t="s">
        <v>179</v>
      </c>
      <c r="AF197" s="5"/>
      <c r="AG197" s="4"/>
    </row>
    <row r="198" spans="1:33" ht="17.100000000000001" customHeight="1">
      <c r="A198" s="1" t="s">
        <v>866</v>
      </c>
      <c r="D198" s="1" t="s">
        <v>867</v>
      </c>
      <c r="E198" s="13" t="str">
        <f t="shared" si="27"/>
        <v>Iwaniuk</v>
      </c>
      <c r="F198" s="13" t="str">
        <f t="array" ref="F198">_xlfn.LET(
 _xlpm.authors,_xlfn.TEXTBEFORE(A198," ("&amp;G198&amp;")"),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8" s="13" t="str">
        <f t="shared" si="28"/>
        <v>1999</v>
      </c>
      <c r="H198" s="13" t="str">
        <f t="shared" si="29"/>
        <v>Iwaniuk_etal_1999</v>
      </c>
      <c r="I198" s="13" t="str">
        <f t="shared" si="26"/>
        <v>10.1016%2Fs0166-4328(98)00151-x</v>
      </c>
      <c r="J198" s="13" t="str">
        <f t="shared" si="30"/>
        <v>Iwaniuk_etal_1999_References</v>
      </c>
      <c r="K198" s="13" t="str">
        <f t="shared" si="24"/>
        <v>10.1016%2Fs0166-4328(98)00151-x_References</v>
      </c>
      <c r="L198" s="13" t="str">
        <f t="array" ref="L198">IFERROR(INDEX(AUTO_Public_TSV_FileList!$A$1:$A$1000,MATCH(TRUE(),EXACT(K198,IFERROR(_xlfn.TEXTBEFORE(AUTO_Public_TSV_FileList!$A$1:$A$1000,".tsv"),"")),0)),"notfound")</f>
        <v>10.1016%2Fs0166-4328(98)00151-x_References.tsv</v>
      </c>
      <c r="M198" s="5" t="s">
        <v>867</v>
      </c>
      <c r="N198" s="5" t="s">
        <v>868</v>
      </c>
      <c r="O198" s="4"/>
      <c r="P198" s="5" t="s">
        <v>36</v>
      </c>
      <c r="Q198" s="4"/>
      <c r="R198" s="4"/>
      <c r="S198" s="4"/>
      <c r="T198" s="4"/>
      <c r="U198" s="4"/>
      <c r="V198" s="4"/>
      <c r="W198" s="5" t="s">
        <v>138</v>
      </c>
      <c r="X198" s="5" t="s">
        <v>869</v>
      </c>
      <c r="Y198" s="4"/>
      <c r="Z198" s="4"/>
      <c r="AA198" s="4"/>
      <c r="AB198" s="5" t="s">
        <v>870</v>
      </c>
      <c r="AC198" s="4"/>
      <c r="AD198" s="4"/>
      <c r="AE198" s="5" t="s">
        <v>179</v>
      </c>
      <c r="AF198" s="5"/>
      <c r="AG198" s="4"/>
    </row>
    <row r="199" spans="1:33" ht="17.100000000000001" customHeight="1">
      <c r="A199" s="1" t="s">
        <v>866</v>
      </c>
      <c r="D199" s="1" t="s">
        <v>81</v>
      </c>
      <c r="E199" s="13" t="str">
        <f t="shared" si="27"/>
        <v>Iwaniuk</v>
      </c>
      <c r="F199" s="13" t="str">
        <f t="array" ref="F199">_xlfn.LET(
 _xlpm.authors,_xlfn.TEXTBEFORE(A199," ("&amp;G199&amp;")"),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199" s="13" t="str">
        <f t="shared" si="28"/>
        <v>1999</v>
      </c>
      <c r="H199" s="13" t="str">
        <f t="shared" si="29"/>
        <v>Iwaniuk_etal_1999</v>
      </c>
      <c r="I199" s="13" t="str">
        <f t="shared" si="26"/>
        <v>10.1016%2Fs0166-4328(98)00151-x</v>
      </c>
      <c r="J199" s="13" t="str">
        <f t="shared" si="30"/>
        <v>Iwaniuk_etal_1999_Table1</v>
      </c>
      <c r="K199" s="13" t="str">
        <f t="shared" si="24"/>
        <v>10.1016%2Fs0166-4328(98)00151-x_Table1</v>
      </c>
      <c r="L199" s="13" t="str">
        <f t="array" ref="L199">IFERROR(INDEX(AUTO_Public_TSV_FileList!$A$1:$A$1000,MATCH(TRUE(),EXACT(K199,IFERROR(_xlfn.TEXTBEFORE(AUTO_Public_TSV_FileList!$A$1:$A$1000,".tsv"),"")),0)),"notfound")</f>
        <v>10.1016%2Fs0166-4328(98)00151-x_Table1.tsv</v>
      </c>
      <c r="M199" s="5" t="s">
        <v>871</v>
      </c>
      <c r="N199" s="5" t="s">
        <v>35</v>
      </c>
      <c r="O199" s="4"/>
      <c r="P199" s="5" t="s">
        <v>36</v>
      </c>
      <c r="Q199" s="4"/>
      <c r="R199" s="4"/>
      <c r="S199" s="4"/>
      <c r="T199" s="4"/>
      <c r="U199" s="4"/>
      <c r="V199" s="4"/>
      <c r="W199" s="5" t="s">
        <v>138</v>
      </c>
      <c r="X199" s="5" t="s">
        <v>869</v>
      </c>
      <c r="Y199" s="4"/>
      <c r="Z199" s="4"/>
      <c r="AA199" s="4"/>
      <c r="AB199" s="5" t="s">
        <v>870</v>
      </c>
      <c r="AC199" s="4"/>
      <c r="AD199" s="4"/>
      <c r="AE199" s="5" t="s">
        <v>179</v>
      </c>
      <c r="AF199" s="5"/>
      <c r="AG199" s="4"/>
    </row>
    <row r="200" spans="1:33" ht="17.100000000000001" customHeight="1">
      <c r="A200" s="17" t="s">
        <v>872</v>
      </c>
      <c r="D200" s="17" t="s">
        <v>873</v>
      </c>
      <c r="E200" s="12" t="str">
        <f t="shared" si="27"/>
        <v>Jacob</v>
      </c>
      <c r="F200" s="13" t="str">
        <f t="array" ref="F200">_xlfn.LET(
 _xlpm.authors,_xlfn.TEXTBEFORE(A200," ("&amp;G200&amp;")"),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0" s="13" t="str">
        <f t="shared" si="28"/>
        <v>2021</v>
      </c>
      <c r="H200" s="12" t="str">
        <f t="shared" si="29"/>
        <v>Jacob_etal_2021</v>
      </c>
      <c r="I200" s="12" t="str">
        <f>_xlfn.LET(_xlpm.doi,IF(C200&lt;&gt;"",C200,_xlfn.TEXTAFTER(A200,"https://doi.org/")),SUBSTITUTE(SUBSTITUTE(SUBSTITUTE(SUBSTITUTE(_xlpm.doi,"/","%2F"),":","%3A"),"&lt;","%3C"),"&gt;","%3E"))</f>
        <v>10.1002%2Fcne.25197</v>
      </c>
      <c r="J200" s="12" t="str">
        <f t="shared" si="30"/>
        <v>Jacob_etal_2021_FIGURE4</v>
      </c>
      <c r="K200" s="13" t="str">
        <f t="shared" si="24"/>
        <v>10.1002%2Fcne.25197_FIGURE4</v>
      </c>
      <c r="L200" s="13" t="str">
        <f t="array" ref="L200">IFERROR(INDEX(AUTO_Public_TSV_FileList!$A$1:$A$1000,MATCH(TRUE(),EXACT(K200,IFERROR(_xlfn.TEXTBEFORE(AUTO_Public_TSV_FileList!$A$1:$A$1000,".tsv"),"")),0)),"notfound")</f>
        <v>10.1002%2Fcne.25197_FIGURE4.tsv</v>
      </c>
      <c r="M200" s="4" t="s">
        <v>873</v>
      </c>
      <c r="N200" s="4"/>
      <c r="O200" s="4"/>
      <c r="P200" s="4" t="s">
        <v>36</v>
      </c>
      <c r="Q200" s="4"/>
      <c r="R200" s="4"/>
      <c r="S200" s="4"/>
      <c r="T200" s="4"/>
      <c r="U200" s="4"/>
      <c r="V200" s="4"/>
      <c r="W200" s="4"/>
      <c r="X200" s="4"/>
      <c r="Y200" s="4"/>
      <c r="Z200" s="4"/>
      <c r="AA200" s="4"/>
      <c r="AB200" s="4"/>
      <c r="AC200" s="4"/>
      <c r="AD200" s="4"/>
      <c r="AE200" s="4"/>
      <c r="AF200" s="4"/>
      <c r="AG200" s="4"/>
    </row>
    <row r="201" spans="1:33" ht="17.100000000000001" customHeight="1">
      <c r="A201" s="17" t="s">
        <v>760</v>
      </c>
      <c r="D201" s="17" t="s">
        <v>81</v>
      </c>
      <c r="E201" s="12" t="str">
        <f t="shared" si="27"/>
        <v>Heffner</v>
      </c>
      <c r="F201" s="13" t="str">
        <f t="array" ref="F201">_xlfn.LET(
 _xlpm.authors,_xlfn.TEXTBEFORE(A201," ("&amp;G201&amp;")"),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1" s="13" t="str">
        <f t="shared" si="28"/>
        <v>2008</v>
      </c>
      <c r="H201" s="12" t="str">
        <f t="shared" si="29"/>
        <v>Heffner_etal_2008</v>
      </c>
      <c r="I201" s="12" t="str">
        <f t="shared" ref="I201:I219" si="31">_xlfn.LET(
_xlpm.doi,IF(C201&lt;&gt;"",C201,_xlfn.TEXTAFTER(A201,"https://doi.org/")),
SUBSTITUTE(
SUBSTITUTE(
SUBSTITUTE(
SUBSTITUTE(
_xlpm.doi,
"/","%2F"),
":","%3A"),
"&lt;","%3C"),
"&gt;","%3E")
)</f>
        <v>10.1016%2Fj.heares.2008.05.001</v>
      </c>
      <c r="J201" s="12" t="str">
        <f t="shared" si="30"/>
        <v>Heffner_etal_2008_Table1</v>
      </c>
      <c r="K201" s="13" t="str">
        <f t="shared" ref="K201:K206" si="32">I201 &amp; "_" &amp; SUBSTITUTE(SUBSTITUTE(SUBSTITUTE(D201,CHAR(160),""), " ", ""), "_", "")</f>
        <v>10.1016%2Fj.heares.2008.05.001_Table1</v>
      </c>
      <c r="L201" s="13" t="str">
        <f t="array" ref="L201">IFERROR(INDEX(AUTO_Public_TSV_FileList!$A$1:$A$1000,MATCH(TRUE(),EXACT(K201,IFERROR(_xlfn.TEXTBEFORE(AUTO_Public_TSV_FileList!$A$1:$A$1000,".tsv"),"")),0)),"notfound")</f>
        <v>notfound</v>
      </c>
      <c r="M201" s="4" t="s">
        <v>874</v>
      </c>
      <c r="N201" s="4" t="s">
        <v>35</v>
      </c>
      <c r="O201" s="4" t="s">
        <v>875</v>
      </c>
      <c r="P201" s="4" t="s">
        <v>36</v>
      </c>
      <c r="R201" s="4" t="s">
        <v>763</v>
      </c>
      <c r="V201" s="4" t="s">
        <v>876</v>
      </c>
      <c r="W201" s="4" t="s">
        <v>877</v>
      </c>
      <c r="X201" s="4" t="s">
        <v>878</v>
      </c>
      <c r="Z201" s="4" t="s">
        <v>879</v>
      </c>
      <c r="AA201" s="4" t="s">
        <v>880</v>
      </c>
      <c r="AB201" s="4" t="s">
        <v>881</v>
      </c>
      <c r="AC201" s="4" t="s">
        <v>669</v>
      </c>
      <c r="AE201" s="4" t="s">
        <v>51</v>
      </c>
    </row>
    <row r="202" spans="1:33" ht="17.100000000000001" customHeight="1">
      <c r="A202" s="17" t="s">
        <v>882</v>
      </c>
      <c r="D202" s="17" t="s">
        <v>568</v>
      </c>
      <c r="E202" s="12" t="str">
        <f t="shared" si="27"/>
        <v>Heffner</v>
      </c>
      <c r="F202" s="13" t="str">
        <f t="array" ref="F202">_xlfn.LET(
 _xlpm.authors,_xlfn.TEXTBEFORE(A202," ("&amp;G202&amp;")"),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2" s="13" t="str">
        <f t="shared" si="28"/>
        <v>2015</v>
      </c>
      <c r="H202" s="12" t="str">
        <f t="shared" si="29"/>
        <v>Heffner_etal_2015</v>
      </c>
      <c r="I202" s="12" t="str">
        <f t="shared" si="31"/>
        <v>10.1121%2F1.4904529</v>
      </c>
      <c r="J202" s="12" t="str">
        <f t="shared" si="30"/>
        <v>Heffner_etal_2015_TableI</v>
      </c>
      <c r="K202" s="13" t="str">
        <f t="shared" si="32"/>
        <v>10.1121%2F1.4904529_TableI</v>
      </c>
      <c r="L202" s="13" t="str">
        <f t="array" ref="L202">IFERROR(INDEX(AUTO_Public_TSV_FileList!$A$1:$A$1000,MATCH(TRUE(),EXACT(K202,IFERROR(_xlfn.TEXTBEFORE(AUTO_Public_TSV_FileList!$A$1:$A$1000,".tsv"),"")),0)),"notfound")</f>
        <v>10.1121%2F1.4904529_TableI.tsv</v>
      </c>
      <c r="M202" s="4" t="s">
        <v>883</v>
      </c>
      <c r="N202" s="4" t="s">
        <v>35</v>
      </c>
      <c r="O202" s="4" t="s">
        <v>884</v>
      </c>
      <c r="P202" s="4" t="s">
        <v>36</v>
      </c>
      <c r="R202" s="4" t="s">
        <v>770</v>
      </c>
      <c r="V202" s="4" t="s">
        <v>876</v>
      </c>
      <c r="W202" s="4" t="s">
        <v>877</v>
      </c>
      <c r="X202" s="4" t="s">
        <v>885</v>
      </c>
      <c r="Y202" s="4" t="s">
        <v>886</v>
      </c>
      <c r="Z202" s="4" t="s">
        <v>879</v>
      </c>
      <c r="AA202" s="4" t="s">
        <v>880</v>
      </c>
      <c r="AB202" s="4" t="s">
        <v>887</v>
      </c>
      <c r="AC202" s="4" t="s">
        <v>669</v>
      </c>
      <c r="AE202" s="4" t="s">
        <v>51</v>
      </c>
    </row>
    <row r="203" spans="1:33" ht="17.100000000000001" customHeight="1">
      <c r="A203" s="16" t="s">
        <v>888</v>
      </c>
      <c r="D203" s="16" t="s">
        <v>70</v>
      </c>
      <c r="E203" s="13" t="str">
        <f t="shared" si="27"/>
        <v>Pettigrew</v>
      </c>
      <c r="F203" s="13" t="str">
        <f t="array" ref="F203">_xlfn.LET(
 _xlpm.authors,_xlfn.TEXTBEFORE(A203," ("&amp;G203&amp;")"),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3" s="13" t="str">
        <f t="shared" si="28"/>
        <v>1998</v>
      </c>
      <c r="H203" s="13" t="str">
        <f t="shared" si="29"/>
        <v>Pettigrew_etal_1998</v>
      </c>
      <c r="I203" s="13" t="str">
        <f t="shared" si="31"/>
        <v>10.1098%2Frstb.1998.0276</v>
      </c>
      <c r="J203" s="13" t="str">
        <f t="shared" si="30"/>
        <v>Pettigrew_etal_1998_Table2</v>
      </c>
      <c r="K203" s="13" t="str">
        <f t="shared" si="32"/>
        <v>10.1098%2Frstb.1998.0276_Table2</v>
      </c>
      <c r="L203" s="13" t="str">
        <f t="array" ref="L203">IFERROR(INDEX(AUTO_Public_TSV_FileList!$A$1:$A$1000,MATCH(TRUE(),EXACT(K203,IFERROR(_xlfn.TEXTBEFORE(AUTO_Public_TSV_FileList!$A$1:$A$1000,".tsv"),"")),0)),"notfound")</f>
        <v>10.1098%2Frstb.1998.0276_Table2.tsv</v>
      </c>
      <c r="M203" s="4" t="s">
        <v>889</v>
      </c>
      <c r="N203" s="3" t="s">
        <v>35</v>
      </c>
      <c r="O203" s="3" t="s">
        <v>890</v>
      </c>
      <c r="P203" s="3" t="s">
        <v>36</v>
      </c>
      <c r="R203" s="3" t="s">
        <v>891</v>
      </c>
      <c r="V203" s="3" t="s">
        <v>876</v>
      </c>
      <c r="W203" s="3" t="s">
        <v>892</v>
      </c>
      <c r="X203" s="3" t="s">
        <v>893</v>
      </c>
      <c r="Z203" s="3" t="s">
        <v>894</v>
      </c>
      <c r="AA203" s="3" t="s">
        <v>895</v>
      </c>
      <c r="AB203" s="3" t="s">
        <v>896</v>
      </c>
      <c r="AC203" s="3" t="s">
        <v>897</v>
      </c>
      <c r="AE203" s="3" t="s">
        <v>51</v>
      </c>
    </row>
    <row r="204" spans="1:33" ht="17.100000000000001" customHeight="1">
      <c r="A204" s="16" t="s">
        <v>898</v>
      </c>
      <c r="D204" s="16" t="s">
        <v>81</v>
      </c>
      <c r="E204" s="13" t="str">
        <f t="shared" si="27"/>
        <v>Heffner</v>
      </c>
      <c r="F204" t="str">
        <f t="array" ref="F204">_xlfn.LET(
 _xlpm.authors,_xlfn.TEXTBEFORE(A204," ("&amp;G204&amp;")"),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04" s="13" t="str">
        <f t="shared" si="28"/>
        <v>1998</v>
      </c>
      <c r="H204" s="13" t="str">
        <f t="shared" si="29"/>
        <v>Heffner__1998</v>
      </c>
      <c r="I204" s="13" t="str">
        <f t="shared" si="31"/>
        <v>10.1016%2FS0168-1591(98)00101-4</v>
      </c>
      <c r="J204" s="13" t="str">
        <f t="shared" si="30"/>
        <v>Heffner__1998_Table1</v>
      </c>
      <c r="K204" s="13" t="str">
        <f t="shared" si="32"/>
        <v>10.1016%2FS0168-1591(98)00101-4_Table1</v>
      </c>
      <c r="L204" s="13" t="str">
        <f t="array" ref="L204">IFERROR(INDEX(AUTO_Public_TSV_FileList!$A$1:$A$1000,MATCH(TRUE(),EXACT(K204,IFERROR(_xlfn.TEXTBEFORE(AUTO_Public_TSV_FileList!$A$1:$A$1000,".tsv"),"")),0)),"notfound")</f>
        <v>10.1016%2FS0168-1591(98)00101-4_Table1.tsv</v>
      </c>
      <c r="M204" s="4" t="s">
        <v>659</v>
      </c>
      <c r="N204" s="3" t="s">
        <v>35</v>
      </c>
      <c r="O204" s="4" t="s">
        <v>899</v>
      </c>
      <c r="P204" s="3" t="s">
        <v>36</v>
      </c>
      <c r="R204" s="3" t="s">
        <v>662</v>
      </c>
      <c r="V204" s="3" t="s">
        <v>876</v>
      </c>
      <c r="W204" s="3" t="s">
        <v>900</v>
      </c>
      <c r="X204" s="3" t="s">
        <v>901</v>
      </c>
      <c r="Z204" s="3" t="s">
        <v>902</v>
      </c>
      <c r="AA204" s="3" t="s">
        <v>880</v>
      </c>
      <c r="AB204" s="3" t="s">
        <v>903</v>
      </c>
      <c r="AC204" s="3" t="s">
        <v>669</v>
      </c>
      <c r="AD204" s="3" t="s">
        <v>904</v>
      </c>
      <c r="AE204" s="3" t="s">
        <v>179</v>
      </c>
      <c r="AF204" s="3" t="s">
        <v>904</v>
      </c>
    </row>
    <row r="205" spans="1:33" ht="17.100000000000001" customHeight="1">
      <c r="A205" s="1" t="s">
        <v>905</v>
      </c>
      <c r="D205" s="1" t="s">
        <v>407</v>
      </c>
      <c r="E205" s="13" t="str">
        <f t="shared" si="27"/>
        <v>Mooney</v>
      </c>
      <c r="F205" s="13" t="str">
        <f t="array" ref="F205">_xlfn.LET(
 _xlpm.authors,_xlfn.TEXTBEFORE(A205," ("&amp;G205&amp;")"),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5" s="13" t="str">
        <f t="shared" si="28"/>
        <v>2012</v>
      </c>
      <c r="H205" s="13" t="str">
        <f t="shared" si="29"/>
        <v>Mooney_etal_2012</v>
      </c>
      <c r="I205" s="13" t="str">
        <f t="shared" si="31"/>
        <v>10.1016%2FB978-0-12-394282-1.00004-1</v>
      </c>
      <c r="J205" s="13" t="str">
        <f t="shared" si="30"/>
        <v>Mooney_etal_2012_Table4.1</v>
      </c>
      <c r="K205" s="13" t="str">
        <f t="shared" si="32"/>
        <v>10.1016%2FB978-0-12-394282-1.00004-1_Table4.1</v>
      </c>
      <c r="L205" s="13" t="str">
        <f t="array" ref="L205">IFERROR(INDEX(AUTO_Public_TSV_FileList!$A$1:$A$1000,MATCH(TRUE(),EXACT(K205,IFERROR(_xlfn.TEXTBEFORE(AUTO_Public_TSV_FileList!$A$1:$A$1000,".tsv"),"")),0)),"notfound")</f>
        <v>10.1016%2FB978-0-12-394282-1.00004-1_Table4.1.tsv</v>
      </c>
      <c r="M205" s="4" t="s">
        <v>906</v>
      </c>
      <c r="N205" s="5" t="s">
        <v>35</v>
      </c>
      <c r="O205" s="4" t="s">
        <v>907</v>
      </c>
      <c r="P205" s="5" t="s">
        <v>36</v>
      </c>
      <c r="R205" s="4" t="s">
        <v>908</v>
      </c>
      <c r="V205" s="4" t="s">
        <v>876</v>
      </c>
      <c r="W205" s="5" t="s">
        <v>909</v>
      </c>
      <c r="X205" s="5" t="s">
        <v>910</v>
      </c>
      <c r="Z205" s="4" t="s">
        <v>911</v>
      </c>
      <c r="AA205" s="4" t="s">
        <v>912</v>
      </c>
      <c r="AB205" s="5" t="s">
        <v>913</v>
      </c>
      <c r="AC205" s="5" t="s">
        <v>914</v>
      </c>
      <c r="AD205" s="4" t="s">
        <v>915</v>
      </c>
      <c r="AE205" s="5" t="s">
        <v>179</v>
      </c>
      <c r="AF205" s="5" t="s">
        <v>915</v>
      </c>
    </row>
    <row r="206" spans="1:33" ht="17.100000000000001" customHeight="1">
      <c r="A206" s="1" t="s">
        <v>916</v>
      </c>
      <c r="D206" s="1" t="s">
        <v>81</v>
      </c>
      <c r="E206" s="13" t="str">
        <f t="shared" si="27"/>
        <v>Heffner</v>
      </c>
      <c r="F206" t="str">
        <f t="array" ref="F206">_xlfn.LET(
 _xlpm.authors,_xlfn.TEXTBEFORE(A206," ("&amp;G206&amp;")"),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06" s="13" t="str">
        <f t="shared" si="28"/>
        <v>2004</v>
      </c>
      <c r="H206" s="13" t="str">
        <f t="shared" si="29"/>
        <v>Heffner__2004</v>
      </c>
      <c r="I206" s="13" t="str">
        <f t="shared" si="31"/>
        <v>10.1002%2Far.a.20117</v>
      </c>
      <c r="J206" s="13" t="str">
        <f t="shared" si="30"/>
        <v>Heffner__2004_Table1</v>
      </c>
      <c r="K206" s="13" t="str">
        <f t="shared" si="32"/>
        <v>10.1002%2Far.a.20117_Table1</v>
      </c>
      <c r="L206" s="13" t="str">
        <f t="array" ref="L206">IFERROR(INDEX(AUTO_Public_TSV_FileList!$A$1:$A$1000,MATCH(TRUE(),EXACT(K206,IFERROR(_xlfn.TEXTBEFORE(AUTO_Public_TSV_FileList!$A$1:$A$1000,".tsv"),"")),0)),"notfound")</f>
        <v>10.1002%2Far.a.20117_Table1.tsv</v>
      </c>
      <c r="M206" s="4" t="s">
        <v>917</v>
      </c>
      <c r="N206" s="5" t="s">
        <v>35</v>
      </c>
      <c r="O206" s="4" t="s">
        <v>918</v>
      </c>
      <c r="P206" s="5" t="s">
        <v>36</v>
      </c>
      <c r="R206" s="4" t="s">
        <v>687</v>
      </c>
      <c r="V206" s="4" t="s">
        <v>876</v>
      </c>
      <c r="W206" s="5" t="s">
        <v>919</v>
      </c>
      <c r="X206" s="5" t="s">
        <v>920</v>
      </c>
      <c r="Z206" s="4" t="s">
        <v>902</v>
      </c>
      <c r="AA206" s="4" t="s">
        <v>880</v>
      </c>
      <c r="AB206" s="5" t="s">
        <v>921</v>
      </c>
      <c r="AC206" s="5" t="s">
        <v>669</v>
      </c>
      <c r="AD206" s="4" t="s">
        <v>922</v>
      </c>
      <c r="AE206" s="5" t="s">
        <v>179</v>
      </c>
      <c r="AF206" s="5" t="s">
        <v>922</v>
      </c>
    </row>
    <row r="207" spans="1:33" ht="17.100000000000001" customHeight="1">
      <c r="A207" s="1" t="s">
        <v>923</v>
      </c>
      <c r="B207" s="8"/>
      <c r="C207" s="8"/>
      <c r="D207" s="1" t="s">
        <v>81</v>
      </c>
      <c r="E207" s="13" t="str">
        <f t="shared" si="27"/>
        <v>Jacobs</v>
      </c>
      <c r="F207" s="13" t="str">
        <f t="array" ref="F207">_xlfn.LET(
 _xlpm.authors,_xlfn.TEXTBEFORE(A207," ("&amp;G207&amp;")"),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7" s="13" t="str">
        <f t="shared" si="28"/>
        <v>2015</v>
      </c>
      <c r="H207" s="13" t="str">
        <f t="shared" si="29"/>
        <v>Jacobs_etal_2015</v>
      </c>
      <c r="I207" s="13" t="str">
        <f t="shared" si="31"/>
        <v>10.1007%2Fs00429-014-0830-9</v>
      </c>
      <c r="J207" s="13" t="str">
        <f t="shared" si="30"/>
        <v>Jacobs_etal_2015_Table1</v>
      </c>
      <c r="K207" s="13" t="str">
        <f t="shared" ref="K207:K238" si="33">I207 &amp; "_" &amp; SUBSTITUTE(SUBSTITUTE(SUBSTITUTE(D207,CHAR(160),"")," ",""),"_","")</f>
        <v>10.1007%2Fs00429-014-0830-9_Table1</v>
      </c>
      <c r="L207" s="13" t="str">
        <f t="array" ref="L207">IFERROR(INDEX(AUTO_Public_TSV_FileList!$A$1:$A$1000,MATCH(TRUE(),EXACT(K207,IFERROR(_xlfn.TEXTBEFORE(AUTO_Public_TSV_FileList!$A$1:$A$1000,".tsv"),"")),0)),"notfound")</f>
        <v>10.1007%2Fs00429-014-0830-9_Table1.tsv</v>
      </c>
      <c r="M207" s="5" t="s">
        <v>924</v>
      </c>
      <c r="N207" s="4"/>
      <c r="O207" s="4"/>
      <c r="P207" s="5" t="s">
        <v>36</v>
      </c>
      <c r="Q207" s="4"/>
      <c r="R207" s="4"/>
      <c r="S207" s="4"/>
      <c r="T207" s="4"/>
      <c r="U207" s="4"/>
      <c r="V207" s="4"/>
      <c r="W207" s="4"/>
      <c r="X207" s="4"/>
      <c r="Y207" s="4"/>
      <c r="Z207" s="4"/>
      <c r="AA207" s="4"/>
      <c r="AB207" s="4"/>
      <c r="AC207" s="4"/>
      <c r="AD207" s="4"/>
      <c r="AE207" s="4"/>
      <c r="AF207" s="4"/>
      <c r="AG207" s="4"/>
    </row>
    <row r="208" spans="1:33" ht="17.100000000000001" customHeight="1">
      <c r="A208" s="1" t="s">
        <v>923</v>
      </c>
      <c r="B208" s="8"/>
      <c r="C208" s="8"/>
      <c r="D208" s="1" t="s">
        <v>72</v>
      </c>
      <c r="E208" s="13" t="str">
        <f t="shared" si="27"/>
        <v>Jacobs</v>
      </c>
      <c r="F208" s="13" t="str">
        <f t="array" ref="F208">_xlfn.LET(
 _xlpm.authors,_xlfn.TEXTBEFORE(A208," ("&amp;G208&amp;")"),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8" s="13" t="str">
        <f t="shared" si="28"/>
        <v>2015</v>
      </c>
      <c r="H208" s="13" t="str">
        <f t="shared" si="29"/>
        <v>Jacobs_etal_2015</v>
      </c>
      <c r="I208" s="13" t="str">
        <f t="shared" si="31"/>
        <v>10.1007%2Fs00429-014-0830-9</v>
      </c>
      <c r="J208" s="13" t="str">
        <f t="shared" si="30"/>
        <v>Jacobs_etal_2015_Table3</v>
      </c>
      <c r="K208" s="13" t="str">
        <f t="shared" si="33"/>
        <v>10.1007%2Fs00429-014-0830-9_Table3</v>
      </c>
      <c r="L208" s="13" t="str">
        <f t="array" ref="L208">IFERROR(INDEX(AUTO_Public_TSV_FileList!$A$1:$A$1000,MATCH(TRUE(),EXACT(K208,IFERROR(_xlfn.TEXTBEFORE(AUTO_Public_TSV_FileList!$A$1:$A$1000,".tsv"),"")),0)),"notfound")</f>
        <v>10.1007%2Fs00429-014-0830-9_Table3.tsv</v>
      </c>
      <c r="M208" s="4" t="s">
        <v>925</v>
      </c>
      <c r="N208" s="4"/>
      <c r="O208" s="4"/>
      <c r="P208" s="4" t="s">
        <v>36</v>
      </c>
      <c r="Q208" s="4"/>
      <c r="R208" s="4"/>
      <c r="S208" s="4"/>
      <c r="T208" s="4"/>
      <c r="U208" s="4"/>
      <c r="V208" s="4"/>
      <c r="W208" s="4"/>
      <c r="X208" s="4"/>
      <c r="Y208" s="4"/>
      <c r="Z208" s="4"/>
      <c r="AA208" s="4"/>
      <c r="AB208" s="4"/>
      <c r="AC208" s="4"/>
      <c r="AD208" s="4"/>
      <c r="AE208" s="4"/>
      <c r="AF208" s="4"/>
      <c r="AG208" s="4"/>
    </row>
    <row r="209" spans="1:33" ht="17.100000000000001" customHeight="1">
      <c r="A209" s="1" t="s">
        <v>923</v>
      </c>
      <c r="B209" s="8"/>
      <c r="C209" s="8"/>
      <c r="D209" s="17" t="s">
        <v>34</v>
      </c>
      <c r="E209" s="13" t="str">
        <f t="shared" si="27"/>
        <v>Jacobs</v>
      </c>
      <c r="F209" s="13" t="str">
        <f t="array" ref="F209">_xlfn.LET(
 _xlpm.authors,_xlfn.TEXTBEFORE(A209," ("&amp;G209&amp;")"),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09" s="13" t="str">
        <f t="shared" si="28"/>
        <v>2015</v>
      </c>
      <c r="H209" s="13" t="str">
        <f t="shared" si="29"/>
        <v>Jacobs_etal_2015</v>
      </c>
      <c r="I209" s="13" t="str">
        <f t="shared" si="31"/>
        <v>10.1007%2Fs00429-014-0830-9</v>
      </c>
      <c r="J209" s="13" t="str">
        <f t="shared" si="30"/>
        <v>Jacobs_etal_2015_Table4</v>
      </c>
      <c r="K209" s="13" t="str">
        <f t="shared" si="33"/>
        <v>10.1007%2Fs00429-014-0830-9_Table4</v>
      </c>
      <c r="L209" s="13" t="str">
        <f t="array" ref="L209">IFERROR(INDEX(AUTO_Public_TSV_FileList!$A$1:$A$1000,MATCH(TRUE(),EXACT(K209,IFERROR(_xlfn.TEXTBEFORE(AUTO_Public_TSV_FileList!$A$1:$A$1000,".tsv"),"")),0)),"notfound")</f>
        <v>10.1007%2Fs00429-014-0830-9_Table4.tsv</v>
      </c>
      <c r="M209" s="4" t="s">
        <v>926</v>
      </c>
      <c r="N209" s="4"/>
      <c r="O209" s="4"/>
      <c r="P209" s="4" t="s">
        <v>36</v>
      </c>
      <c r="Q209" s="4"/>
      <c r="R209" s="4"/>
      <c r="S209" s="4"/>
      <c r="T209" s="4"/>
      <c r="U209" s="4"/>
      <c r="V209" s="4"/>
      <c r="W209" s="4"/>
      <c r="X209" s="4"/>
      <c r="Y209" s="4"/>
      <c r="Z209" s="4"/>
      <c r="AA209" s="4"/>
      <c r="AB209" s="4"/>
      <c r="AC209" s="4"/>
      <c r="AD209" s="4"/>
      <c r="AE209" s="4"/>
      <c r="AF209" s="4"/>
      <c r="AG209" s="4"/>
    </row>
    <row r="210" spans="1:33" ht="17.100000000000001" customHeight="1">
      <c r="A210" s="17" t="s">
        <v>927</v>
      </c>
      <c r="B210" s="8"/>
      <c r="C210" s="8"/>
      <c r="D210" s="17" t="s">
        <v>81</v>
      </c>
      <c r="E210" s="13" t="str">
        <f t="shared" si="27"/>
        <v>Jacobs</v>
      </c>
      <c r="F210" s="13" t="str">
        <f t="array" ref="F210">_xlfn.LET(
 _xlpm.authors,_xlfn.TEXTBEFORE(A210," ("&amp;G210&amp;")"),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0" s="13" t="str">
        <f t="shared" si="28"/>
        <v>2016</v>
      </c>
      <c r="H210" s="13" t="str">
        <f t="shared" si="29"/>
        <v>Jacobs_etal_2016</v>
      </c>
      <c r="I210" s="13" t="str">
        <f t="shared" si="31"/>
        <v>10.1002%2Fcne.23841</v>
      </c>
      <c r="J210" s="13" t="str">
        <f t="shared" si="30"/>
        <v>Jacobs_etal_2016_Table1</v>
      </c>
      <c r="K210" s="13" t="str">
        <f t="shared" si="33"/>
        <v>10.1002%2Fcne.23841_Table1</v>
      </c>
      <c r="L210" s="13" t="str">
        <f t="array" ref="L210">IFERROR(INDEX(AUTO_Public_TSV_FileList!$A$1:$A$1000,MATCH(TRUE(),EXACT(K210,IFERROR(_xlfn.TEXTBEFORE(AUTO_Public_TSV_FileList!$A$1:$A$1000,".tsv"),"")),0)),"notfound")</f>
        <v>10.1002%2Fcne.23841_Table1.tsv</v>
      </c>
      <c r="M210" s="4"/>
      <c r="N210" s="5" t="s">
        <v>35</v>
      </c>
      <c r="O210" s="4"/>
      <c r="P210" s="4" t="s">
        <v>36</v>
      </c>
      <c r="Q210" s="4"/>
      <c r="R210" s="4" t="s">
        <v>928</v>
      </c>
      <c r="S210" s="4"/>
      <c r="T210" s="4"/>
      <c r="U210" s="4"/>
      <c r="V210" s="4" t="s">
        <v>929</v>
      </c>
      <c r="W210" s="4" t="s">
        <v>930</v>
      </c>
      <c r="X210" s="4" t="s">
        <v>931</v>
      </c>
      <c r="Y210" s="4"/>
      <c r="Z210" s="4"/>
      <c r="AA210" s="4"/>
      <c r="AB210" s="4" t="s">
        <v>932</v>
      </c>
      <c r="AC210" s="4"/>
      <c r="AD210" s="4"/>
      <c r="AE210" s="4" t="s">
        <v>66</v>
      </c>
      <c r="AF210" s="4"/>
      <c r="AG210" s="4"/>
    </row>
    <row r="211" spans="1:33" ht="17.100000000000001" customHeight="1">
      <c r="A211" s="1" t="s">
        <v>927</v>
      </c>
      <c r="B211" s="8"/>
      <c r="C211" s="8"/>
      <c r="D211" s="1" t="s">
        <v>81</v>
      </c>
      <c r="E211" s="13" t="str">
        <f t="shared" si="27"/>
        <v>Jacobs</v>
      </c>
      <c r="F211" s="13" t="str">
        <f t="array" ref="F211">_xlfn.LET(
 _xlpm.authors,_xlfn.TEXTBEFORE(A211," ("&amp;G211&amp;")"),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1" s="13" t="str">
        <f t="shared" si="28"/>
        <v>2016</v>
      </c>
      <c r="H211" s="13" t="str">
        <f t="shared" si="29"/>
        <v>Jacobs_etal_2016</v>
      </c>
      <c r="I211" s="13" t="str">
        <f t="shared" si="31"/>
        <v>10.1002%2Fcne.23841</v>
      </c>
      <c r="J211" s="13" t="str">
        <f t="shared" si="30"/>
        <v>Jacobs_etal_2016_Table1</v>
      </c>
      <c r="K211" s="13" t="str">
        <f t="shared" si="33"/>
        <v>10.1002%2Fcne.23841_Table1</v>
      </c>
      <c r="L211" s="13" t="str">
        <f t="array" ref="L211">IFERROR(INDEX(AUTO_Public_TSV_FileList!$A$1:$A$1000,MATCH(TRUE(),EXACT(K211,IFERROR(_xlfn.TEXTBEFORE(AUTO_Public_TSV_FileList!$A$1:$A$1000,".tsv"),"")),0)),"notfound")</f>
        <v>10.1002%2Fcne.23841_Table1.tsv</v>
      </c>
      <c r="M211" s="4"/>
      <c r="N211" s="5" t="s">
        <v>35</v>
      </c>
      <c r="O211" s="4"/>
      <c r="P211" s="5" t="s">
        <v>36</v>
      </c>
      <c r="Q211" s="4"/>
      <c r="R211" s="4" t="s">
        <v>928</v>
      </c>
      <c r="S211" s="4"/>
      <c r="T211" s="4"/>
      <c r="U211" s="4"/>
      <c r="V211" s="5" t="s">
        <v>929</v>
      </c>
      <c r="W211" s="5" t="s">
        <v>930</v>
      </c>
      <c r="X211" s="5" t="s">
        <v>931</v>
      </c>
      <c r="Y211" s="4"/>
      <c r="Z211" s="4"/>
      <c r="AA211" s="4"/>
      <c r="AB211" s="5" t="s">
        <v>932</v>
      </c>
      <c r="AC211" s="4"/>
      <c r="AD211" s="4"/>
      <c r="AE211" s="5" t="s">
        <v>66</v>
      </c>
      <c r="AF211" s="5"/>
      <c r="AG211" s="4"/>
    </row>
    <row r="212" spans="1:33" ht="17.100000000000001" customHeight="1">
      <c r="A212" s="16" t="s">
        <v>933</v>
      </c>
      <c r="B212" s="16"/>
      <c r="C212" s="16"/>
      <c r="D212" s="16" t="s">
        <v>81</v>
      </c>
      <c r="E212" s="13" t="str">
        <f t="shared" si="27"/>
        <v>Jacobs</v>
      </c>
      <c r="F212" s="13" t="str">
        <f t="array" ref="F212">_xlfn.LET(
 _xlpm.authors,_xlfn.TEXTBEFORE(A212," ("&amp;G212&amp;")"),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2" s="13" t="str">
        <f t="shared" si="28"/>
        <v>2001</v>
      </c>
      <c r="H212" s="13" t="str">
        <f t="shared" si="29"/>
        <v>Jacobs_etal_2001</v>
      </c>
      <c r="I212" s="13" t="str">
        <f t="shared" si="31"/>
        <v>10.1093%2Fcercor%2F11.6.558</v>
      </c>
      <c r="J212" s="13" t="str">
        <f t="shared" si="30"/>
        <v>Jacobs_etal_2001_Table1</v>
      </c>
      <c r="K212" s="13" t="str">
        <f t="shared" si="33"/>
        <v>10.1093%2Fcercor%2F11.6.558_Table1</v>
      </c>
      <c r="L212" s="13" t="str">
        <f t="array" ref="L212">IFERROR(INDEX(AUTO_Public_TSV_FileList!$A$1:$A$1000,MATCH(TRUE(),EXACT(K212,IFERROR(_xlfn.TEXTBEFORE(AUTO_Public_TSV_FileList!$A$1:$A$1000,".tsv"),"")),0)),"notfound")</f>
        <v>10.1093%2Fcercor%2F11.6.558_Table1.tsv</v>
      </c>
      <c r="M212" s="4"/>
      <c r="N212" s="3" t="s">
        <v>215</v>
      </c>
      <c r="O212" s="3"/>
      <c r="P212" s="3" t="s">
        <v>36</v>
      </c>
      <c r="Q212" s="3"/>
      <c r="R212" s="3" t="s">
        <v>934</v>
      </c>
      <c r="S212" s="3"/>
      <c r="T212" s="3" t="s">
        <v>217</v>
      </c>
      <c r="U212" s="3"/>
      <c r="V212" s="3" t="s">
        <v>218</v>
      </c>
      <c r="W212" s="3" t="s">
        <v>100</v>
      </c>
      <c r="X212" s="3" t="s">
        <v>219</v>
      </c>
      <c r="Y212" s="3" t="s">
        <v>935</v>
      </c>
      <c r="Z212" s="3"/>
      <c r="AA212" s="3" t="s">
        <v>221</v>
      </c>
      <c r="AB212" s="3" t="s">
        <v>222</v>
      </c>
      <c r="AC212" s="3"/>
      <c r="AD212" s="3"/>
      <c r="AE212" s="3" t="s">
        <v>936</v>
      </c>
      <c r="AF212" s="3"/>
      <c r="AG212" s="3" t="s">
        <v>937</v>
      </c>
    </row>
    <row r="213" spans="1:33" ht="17.100000000000001" customHeight="1">
      <c r="A213" s="16" t="s">
        <v>933</v>
      </c>
      <c r="B213" s="16"/>
      <c r="C213" s="16"/>
      <c r="D213" s="16" t="s">
        <v>70</v>
      </c>
      <c r="E213" s="13" t="str">
        <f t="shared" si="27"/>
        <v>Jacobs</v>
      </c>
      <c r="F213" s="13" t="str">
        <f t="array" ref="F213">_xlfn.LET(
 _xlpm.authors,_xlfn.TEXTBEFORE(A213," ("&amp;G213&amp;")"),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3" s="13" t="str">
        <f t="shared" si="28"/>
        <v>2001</v>
      </c>
      <c r="H213" s="13" t="str">
        <f t="shared" si="29"/>
        <v>Jacobs_etal_2001</v>
      </c>
      <c r="I213" s="13" t="str">
        <f t="shared" si="31"/>
        <v>10.1093%2Fcercor%2F11.6.558</v>
      </c>
      <c r="J213" s="13" t="str">
        <f t="shared" si="30"/>
        <v>Jacobs_etal_2001_Table2</v>
      </c>
      <c r="K213" s="13" t="str">
        <f t="shared" si="33"/>
        <v>10.1093%2Fcercor%2F11.6.558_Table2</v>
      </c>
      <c r="L213" s="13" t="str">
        <f t="array" ref="L213">IFERROR(INDEX(AUTO_Public_TSV_FileList!$A$1:$A$1000,MATCH(TRUE(),EXACT(K213,IFERROR(_xlfn.TEXTBEFORE(AUTO_Public_TSV_FileList!$A$1:$A$1000,".tsv"),"")),0)),"notfound")</f>
        <v>10.1093%2Fcercor%2F11.6.558_Table2.tsv</v>
      </c>
      <c r="M213" s="4"/>
      <c r="N213" s="3" t="s">
        <v>215</v>
      </c>
      <c r="O213" s="4"/>
      <c r="P213" s="3" t="s">
        <v>36</v>
      </c>
      <c r="Q213" s="3"/>
      <c r="R213" s="3" t="s">
        <v>934</v>
      </c>
      <c r="S213" s="3"/>
      <c r="T213" s="3" t="s">
        <v>217</v>
      </c>
      <c r="U213" s="3"/>
      <c r="V213" s="3" t="s">
        <v>218</v>
      </c>
      <c r="W213" s="3" t="s">
        <v>100</v>
      </c>
      <c r="X213" s="3" t="s">
        <v>219</v>
      </c>
      <c r="Y213" s="3" t="s">
        <v>938</v>
      </c>
      <c r="Z213" s="3"/>
      <c r="AA213" s="3" t="s">
        <v>221</v>
      </c>
      <c r="AB213" s="3" t="s">
        <v>222</v>
      </c>
      <c r="AC213" s="3"/>
      <c r="AD213" s="3"/>
      <c r="AE213" s="3" t="s">
        <v>66</v>
      </c>
      <c r="AF213" s="3"/>
      <c r="AG213" s="3" t="s">
        <v>939</v>
      </c>
    </row>
    <row r="214" spans="1:33" ht="17.100000000000001" customHeight="1">
      <c r="A214" s="5" t="s">
        <v>940</v>
      </c>
      <c r="B214" s="4"/>
      <c r="C214" s="4"/>
      <c r="D214" s="5" t="s">
        <v>81</v>
      </c>
      <c r="E214" s="13" t="str">
        <f t="shared" si="27"/>
        <v>JardimMesseder</v>
      </c>
      <c r="F214" s="13" t="str">
        <f t="array" ref="F214">_xlfn.LET(
 _xlpm.authors,_xlfn.TEXTBEFORE(A214," ("&amp;G214&amp;")"),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4" s="13" t="str">
        <f t="shared" si="28"/>
        <v>2017</v>
      </c>
      <c r="H214" s="13" t="str">
        <f t="shared" si="29"/>
        <v>JardimMesseder_etal_2017</v>
      </c>
      <c r="I214" s="13" t="str">
        <f t="shared" si="31"/>
        <v>10.3389%2Ffnana.2017.00118</v>
      </c>
      <c r="J214" s="13" t="str">
        <f t="shared" si="30"/>
        <v>JardimMesseder_etal_2017_Table1</v>
      </c>
      <c r="K214" s="13" t="str">
        <f t="shared" si="33"/>
        <v>10.3389%2Ffnana.2017.00118_Table1</v>
      </c>
      <c r="L214" s="13" t="str">
        <f t="array" ref="L214">IFERROR(INDEX(AUTO_Public_TSV_FileList!$A$1:$A$1000,MATCH(TRUE(),EXACT(K214,IFERROR(_xlfn.TEXTBEFORE(AUTO_Public_TSV_FileList!$A$1:$A$1000,".tsv"),"")),0)),"notfound")</f>
        <v>10.3389%2Ffnana.2017.00118_Table1.tsv</v>
      </c>
      <c r="M214" s="5" t="s">
        <v>941</v>
      </c>
      <c r="N214" s="5" t="s">
        <v>35</v>
      </c>
      <c r="O214" s="4"/>
      <c r="P214" s="5" t="s">
        <v>36</v>
      </c>
      <c r="Q214" s="5"/>
      <c r="R214" s="5" t="s">
        <v>942</v>
      </c>
      <c r="S214" s="4"/>
      <c r="T214" s="4"/>
      <c r="U214" s="4"/>
      <c r="V214" s="4"/>
      <c r="W214" s="5" t="s">
        <v>943</v>
      </c>
      <c r="X214" s="5" t="s">
        <v>509</v>
      </c>
      <c r="Y214" s="4"/>
      <c r="Z214" s="4"/>
      <c r="AA214" s="5" t="s">
        <v>63</v>
      </c>
      <c r="AB214" s="5" t="s">
        <v>64</v>
      </c>
      <c r="AC214" s="5" t="s">
        <v>65</v>
      </c>
      <c r="AD214" s="5" t="s">
        <v>65</v>
      </c>
      <c r="AE214" s="5" t="s">
        <v>66</v>
      </c>
      <c r="AF214" s="5"/>
      <c r="AG214" s="4"/>
    </row>
    <row r="215" spans="1:33" ht="17.100000000000001" customHeight="1">
      <c r="A215" s="5" t="s">
        <v>944</v>
      </c>
      <c r="B215" s="4"/>
      <c r="C215" s="4"/>
      <c r="D215" s="5" t="s">
        <v>70</v>
      </c>
      <c r="E215" s="13" t="str">
        <f t="shared" si="27"/>
        <v>Johansen</v>
      </c>
      <c r="F215" s="13" t="str">
        <f t="array" ref="F215">_xlfn.LET(
 _xlpm.authors,_xlfn.TEXTBEFORE(A215," ("&amp;G215&amp;")"),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5" s="13" t="str">
        <f t="shared" si="28"/>
        <v>2024</v>
      </c>
      <c r="H215" s="13" t="str">
        <f t="shared" si="29"/>
        <v>Johansen_etal_2024</v>
      </c>
      <c r="I215" s="13" t="str">
        <f t="shared" si="31"/>
        <v>10.1523%2FJNEUROSCI.1750-23.2024</v>
      </c>
      <c r="J215" s="13" t="str">
        <f t="shared" si="30"/>
        <v>Johansen_etal_2024_Table2</v>
      </c>
      <c r="K215" s="13" t="str">
        <f t="shared" si="33"/>
        <v>10.1523%2FJNEUROSCI.1750-23.2024_Table2</v>
      </c>
      <c r="L215" s="13" t="str">
        <f t="array" ref="L215">IFERROR(INDEX(AUTO_Public_TSV_FileList!$A$1:$A$1000,MATCH(TRUE(),EXACT(K215,IFERROR(_xlfn.TEXTBEFORE(AUTO_Public_TSV_FileList!$A$1:$A$1000,".tsv"),"")),0)),"notfound")</f>
        <v>10.1523%2FJNEUROSCI.1750-23.2024_Table2.tsv</v>
      </c>
      <c r="M215" s="5" t="s">
        <v>945</v>
      </c>
      <c r="N215" s="5" t="s">
        <v>35</v>
      </c>
      <c r="O215" s="4"/>
      <c r="P215" s="5" t="s">
        <v>36</v>
      </c>
      <c r="Q215" s="4"/>
      <c r="R215" s="4"/>
      <c r="S215" s="4"/>
      <c r="T215" s="4"/>
      <c r="U215" s="4"/>
      <c r="V215" s="4"/>
      <c r="W215" s="5" t="s">
        <v>946</v>
      </c>
      <c r="X215" s="5" t="s">
        <v>947</v>
      </c>
      <c r="Y215" s="4"/>
      <c r="Z215" s="4"/>
      <c r="AA215" s="4"/>
      <c r="AB215" s="5" t="s">
        <v>948</v>
      </c>
      <c r="AC215" s="4"/>
      <c r="AD215" s="4"/>
      <c r="AE215" s="5" t="s">
        <v>66</v>
      </c>
      <c r="AF215" s="5"/>
      <c r="AG215" s="4"/>
    </row>
    <row r="216" spans="1:33" ht="17.100000000000001" customHeight="1">
      <c r="A216" s="4" t="s">
        <v>949</v>
      </c>
      <c r="B216" s="4"/>
      <c r="C216" s="4"/>
      <c r="D216" s="4" t="s">
        <v>81</v>
      </c>
      <c r="E216" s="13" t="str">
        <f t="shared" si="27"/>
        <v>Johnson</v>
      </c>
      <c r="F216" s="13" t="str">
        <f t="array" ref="F216">_xlfn.LET(
 _xlpm.authors,_xlfn.TEXTBEFORE(A216," ("&amp;G216&amp;")"),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6" s="13" t="str">
        <f t="shared" si="28"/>
        <v>2016</v>
      </c>
      <c r="H216" s="13" t="str">
        <f t="shared" si="29"/>
        <v>Johnson_etal_2016</v>
      </c>
      <c r="I216" s="13" t="str">
        <f t="shared" si="31"/>
        <v>10.1002%2Fcne.24022</v>
      </c>
      <c r="J216" s="13" t="str">
        <f t="shared" si="30"/>
        <v>Johnson_etal_2016_Table1</v>
      </c>
      <c r="K216" s="13" t="str">
        <f t="shared" si="33"/>
        <v>10.1002%2Fcne.24022_Table1</v>
      </c>
      <c r="L216" s="13" t="str">
        <f t="array" ref="L216">IFERROR(INDEX(AUTO_Public_TSV_FileList!$A$1:$A$1000,MATCH(TRUE(),EXACT(K216,IFERROR(_xlfn.TEXTBEFORE(AUTO_Public_TSV_FileList!$A$1:$A$1000,".tsv"),"")),0)),"notfound")</f>
        <v>10.1002%2Fcne.24022_Table1.tsv</v>
      </c>
      <c r="M216" s="4"/>
      <c r="N216" s="5" t="s">
        <v>35</v>
      </c>
      <c r="O216" s="4"/>
      <c r="P216" s="4" t="s">
        <v>36</v>
      </c>
      <c r="Q216" s="4"/>
      <c r="R216" s="4" t="s">
        <v>950</v>
      </c>
      <c r="S216" s="4"/>
      <c r="T216" s="4"/>
      <c r="U216" s="4"/>
      <c r="V216" s="4" t="s">
        <v>929</v>
      </c>
      <c r="W216" s="4" t="s">
        <v>951</v>
      </c>
      <c r="X216" s="4" t="s">
        <v>931</v>
      </c>
      <c r="Y216" s="4"/>
      <c r="Z216" s="4"/>
      <c r="AA216" s="4"/>
      <c r="AB216" s="4" t="s">
        <v>932</v>
      </c>
      <c r="AC216" s="4"/>
      <c r="AD216" s="4"/>
      <c r="AE216" s="4" t="s">
        <v>66</v>
      </c>
      <c r="AF216" s="4"/>
      <c r="AG216" s="4"/>
    </row>
    <row r="217" spans="1:33" ht="17.100000000000001" customHeight="1">
      <c r="A217" s="5" t="s">
        <v>949</v>
      </c>
      <c r="B217" s="4"/>
      <c r="C217" s="4"/>
      <c r="D217" s="5" t="s">
        <v>81</v>
      </c>
      <c r="E217" s="13" t="str">
        <f t="shared" si="27"/>
        <v>Johnson</v>
      </c>
      <c r="F217" s="13" t="str">
        <f t="array" ref="F217">_xlfn.LET(
 _xlpm.authors,_xlfn.TEXTBEFORE(A217," ("&amp;G217&amp;")"),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7" s="13" t="str">
        <f t="shared" si="28"/>
        <v>2016</v>
      </c>
      <c r="H217" s="13" t="str">
        <f t="shared" si="29"/>
        <v>Johnson_etal_2016</v>
      </c>
      <c r="I217" s="13" t="str">
        <f t="shared" si="31"/>
        <v>10.1002%2Fcne.24022</v>
      </c>
      <c r="J217" s="13" t="str">
        <f t="shared" si="30"/>
        <v>Johnson_etal_2016_Table1</v>
      </c>
      <c r="K217" s="13" t="str">
        <f t="shared" si="33"/>
        <v>10.1002%2Fcne.24022_Table1</v>
      </c>
      <c r="L217" s="13" t="str">
        <f t="array" ref="L217">IFERROR(INDEX(AUTO_Public_TSV_FileList!$A$1:$A$1000,MATCH(TRUE(),EXACT(K217,IFERROR(_xlfn.TEXTBEFORE(AUTO_Public_TSV_FileList!$A$1:$A$1000,".tsv"),"")),0)),"notfound")</f>
        <v>10.1002%2Fcne.24022_Table1.tsv</v>
      </c>
      <c r="M217" s="4"/>
      <c r="N217" s="5" t="s">
        <v>35</v>
      </c>
      <c r="O217" s="4"/>
      <c r="P217" s="5" t="s">
        <v>36</v>
      </c>
      <c r="Q217" s="4"/>
      <c r="R217" s="4" t="s">
        <v>950</v>
      </c>
      <c r="S217" s="4"/>
      <c r="T217" s="4"/>
      <c r="U217" s="4"/>
      <c r="V217" s="5" t="s">
        <v>929</v>
      </c>
      <c r="W217" s="5" t="s">
        <v>951</v>
      </c>
      <c r="X217" s="5" t="s">
        <v>931</v>
      </c>
      <c r="Y217" s="4"/>
      <c r="Z217" s="4"/>
      <c r="AA217" s="4"/>
      <c r="AB217" s="5" t="s">
        <v>932</v>
      </c>
      <c r="AC217" s="4"/>
      <c r="AD217" s="4"/>
      <c r="AE217" s="5" t="s">
        <v>66</v>
      </c>
      <c r="AF217" s="5"/>
      <c r="AG217" s="4"/>
    </row>
    <row r="218" spans="1:33" ht="17.100000000000001" customHeight="1">
      <c r="A218" s="5" t="s">
        <v>949</v>
      </c>
      <c r="B218" s="4"/>
      <c r="C218" s="5"/>
      <c r="D218" s="5" t="s">
        <v>81</v>
      </c>
      <c r="E218" s="13" t="str">
        <f t="shared" si="27"/>
        <v>Johnson</v>
      </c>
      <c r="F218" s="13" t="str">
        <f t="array" ref="F218">_xlfn.LET(
 _xlpm.authors,_xlfn.TEXTBEFORE(A218," ("&amp;G218&amp;")"),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8" s="13" t="str">
        <f t="shared" si="28"/>
        <v>2016</v>
      </c>
      <c r="H218" s="13" t="str">
        <f t="shared" si="29"/>
        <v>Johnson_etal_2016</v>
      </c>
      <c r="I218" s="13" t="str">
        <f t="shared" si="31"/>
        <v>10.1002%2Fcne.24022</v>
      </c>
      <c r="J218" s="13" t="str">
        <f t="shared" si="30"/>
        <v>Johnson_etal_2016_Table1</v>
      </c>
      <c r="K218" s="13" t="str">
        <f t="shared" si="33"/>
        <v>10.1002%2Fcne.24022_Table1</v>
      </c>
      <c r="L218" s="13" t="str">
        <f t="array" ref="L218">IFERROR(INDEX(AUTO_Public_TSV_FileList!$A$1:$A$1000,MATCH(TRUE(),EXACT(K218,IFERROR(_xlfn.TEXTBEFORE(AUTO_Public_TSV_FileList!$A$1:$A$1000,".tsv"),"")),0)),"notfound")</f>
        <v>10.1002%2Fcne.24022_Table1.tsv</v>
      </c>
      <c r="M218" s="4"/>
      <c r="N218" s="5" t="s">
        <v>35</v>
      </c>
      <c r="O218" s="4"/>
      <c r="P218" s="4" t="s">
        <v>36</v>
      </c>
      <c r="Q218" s="4"/>
      <c r="R218" s="4" t="s">
        <v>950</v>
      </c>
      <c r="S218" s="4"/>
      <c r="T218" s="4"/>
      <c r="U218" s="4"/>
      <c r="V218" s="4" t="s">
        <v>929</v>
      </c>
      <c r="W218" s="5" t="s">
        <v>951</v>
      </c>
      <c r="X218" s="5" t="s">
        <v>931</v>
      </c>
      <c r="Y218" s="4"/>
      <c r="Z218" s="5"/>
      <c r="AA218" s="5" t="s">
        <v>130</v>
      </c>
      <c r="AB218" s="5" t="s">
        <v>932</v>
      </c>
      <c r="AC218" s="5" t="s">
        <v>119</v>
      </c>
      <c r="AD218" s="5" t="s">
        <v>417</v>
      </c>
      <c r="AE218" s="5" t="s">
        <v>66</v>
      </c>
      <c r="AF218" s="5"/>
      <c r="AG218" s="4"/>
    </row>
    <row r="219" spans="1:33" ht="17.100000000000001" customHeight="1">
      <c r="A219" s="7" t="s">
        <v>952</v>
      </c>
      <c r="B219" s="3"/>
      <c r="C219" s="3"/>
      <c r="D219" s="7" t="s">
        <v>81</v>
      </c>
      <c r="E219" s="13" t="str">
        <f t="shared" si="27"/>
        <v>Johnson</v>
      </c>
      <c r="F219" s="13" t="str">
        <f t="array" ref="F219">_xlfn.LET(
 _xlpm.authors,_xlfn.TEXTBEFORE(A219," ("&amp;G219&amp;")"),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19" s="13" t="str">
        <f t="shared" si="28"/>
        <v>2002</v>
      </c>
      <c r="H219" s="13" t="str">
        <f t="shared" si="29"/>
        <v>Johnson_etal_2002</v>
      </c>
      <c r="I219" s="13" t="str">
        <f t="shared" si="31"/>
        <v>10.1198%2F016214502753479185</v>
      </c>
      <c r="J219" s="13" t="str">
        <f t="shared" si="30"/>
        <v>Johnson_etal_2002_Table1</v>
      </c>
      <c r="K219" s="13" t="str">
        <f t="shared" si="33"/>
        <v>10.1198%2F016214502753479185_Table1</v>
      </c>
      <c r="L219" s="13" t="str">
        <f t="array" ref="L219">IFERROR(INDEX(AUTO_Public_TSV_FileList!$A$1:$A$1000,MATCH(TRUE(),EXACT(K219,IFERROR(_xlfn.TEXTBEFORE(AUTO_Public_TSV_FileList!$A$1:$A$1000,".tsv"),"")),0)),"notfound")</f>
        <v>notfound</v>
      </c>
      <c r="M219" s="4"/>
      <c r="N219" s="5" t="s">
        <v>35</v>
      </c>
      <c r="O219" s="4"/>
      <c r="P219" s="4"/>
      <c r="Q219" s="3"/>
      <c r="R219" s="3" t="s">
        <v>953</v>
      </c>
      <c r="S219" s="3" t="s">
        <v>338</v>
      </c>
      <c r="T219" s="3" t="s">
        <v>339</v>
      </c>
      <c r="U219" s="3"/>
      <c r="V219" s="3" t="s">
        <v>954</v>
      </c>
      <c r="W219" s="7" t="s">
        <v>100</v>
      </c>
      <c r="X219" s="3" t="s">
        <v>955</v>
      </c>
      <c r="Y219" s="3" t="s">
        <v>955</v>
      </c>
      <c r="Z219" s="3"/>
      <c r="AA219" s="3"/>
      <c r="AB219" s="7"/>
      <c r="AC219" s="3"/>
      <c r="AD219" s="3"/>
      <c r="AE219" s="7" t="s">
        <v>66</v>
      </c>
      <c r="AF219" s="7"/>
      <c r="AG219" s="4" t="s">
        <v>956</v>
      </c>
    </row>
    <row r="220" spans="1:33" ht="17.100000000000001" customHeight="1">
      <c r="A220" s="4" t="s">
        <v>957</v>
      </c>
      <c r="B220" s="4"/>
      <c r="C220" s="4"/>
      <c r="D220" s="4" t="s">
        <v>958</v>
      </c>
      <c r="E220" s="12" t="str">
        <f t="shared" si="27"/>
        <v>Jones</v>
      </c>
      <c r="F220" s="13" t="str">
        <f t="array" ref="F220">_xlfn.LET(
 _xlpm.authors,_xlfn.TEXTBEFORE(A220," ("&amp;G220&amp;")"),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0" s="13" t="str">
        <f t="shared" si="28"/>
        <v>2009</v>
      </c>
      <c r="H220" s="12" t="str">
        <f t="shared" si="29"/>
        <v>Jones_etal_2009</v>
      </c>
      <c r="I220" s="12" t="str">
        <f t="shared" ref="I220:I230" si="34">_xlfn.LET(_xlpm.doi,IF(C220&lt;&gt;"",C220,_xlfn.TEXTAFTER(A220,"https://doi.org/")),SUBSTITUTE(SUBSTITUTE(SUBSTITUTE(SUBSTITUTE(_xlpm.doi,"/","%2F"),":","%3A"),"&lt;","%3C"),"&gt;","%3E"))</f>
        <v>10.1890%2F08-1494.1</v>
      </c>
      <c r="J220" s="12" t="str">
        <f t="shared" si="30"/>
        <v>Jones_etal_2009_PanTHERIA1-0WR05Aug2008.txt</v>
      </c>
      <c r="K220" s="13" t="str">
        <f t="shared" si="33"/>
        <v>10.1890%2F08-1494.1_PanTHERIA1-0WR05Aug2008.txt</v>
      </c>
      <c r="L220" s="13" t="str">
        <f t="array" ref="L220">IFERROR(INDEX(AUTO_Public_TSV_FileList!$A$1:$A$1000,MATCH(TRUE(),EXACT(K220,IFERROR(_xlfn.TEXTBEFORE(AUTO_Public_TSV_FileList!$A$1:$A$1000,".tsv"),"")),0)),"notfound")</f>
        <v>notfound</v>
      </c>
      <c r="M220" s="4"/>
      <c r="N220" s="4"/>
      <c r="O220" s="4"/>
      <c r="P220" s="4"/>
      <c r="Q220" s="4"/>
      <c r="R220" s="4"/>
      <c r="S220" s="4"/>
      <c r="T220" s="4"/>
      <c r="U220" s="4"/>
      <c r="V220" s="4"/>
      <c r="W220" s="4"/>
      <c r="X220" s="4"/>
      <c r="Y220" s="4"/>
      <c r="Z220" s="4"/>
      <c r="AA220" s="4"/>
      <c r="AB220" s="4"/>
      <c r="AC220" s="4"/>
      <c r="AD220" s="4"/>
      <c r="AE220" s="4"/>
      <c r="AF220" s="4"/>
      <c r="AG220" s="4"/>
    </row>
    <row r="221" spans="1:33" ht="17.100000000000001" customHeight="1">
      <c r="A221" s="4" t="s">
        <v>957</v>
      </c>
      <c r="B221" s="4"/>
      <c r="C221" s="4"/>
      <c r="D221" s="4" t="s">
        <v>959</v>
      </c>
      <c r="E221" s="12" t="str">
        <f t="shared" si="27"/>
        <v>Jones</v>
      </c>
      <c r="F221" s="13" t="str">
        <f t="array" ref="F221">_xlfn.LET(
 _xlpm.authors,_xlfn.TEXTBEFORE(A221," ("&amp;G221&amp;")"),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1" s="13" t="str">
        <f t="shared" si="28"/>
        <v>2009</v>
      </c>
      <c r="H221" s="12" t="str">
        <f t="shared" si="29"/>
        <v>Jones_etal_2009</v>
      </c>
      <c r="I221" s="12" t="str">
        <f t="shared" si="34"/>
        <v>10.1890%2F08-1494.1</v>
      </c>
      <c r="J221" s="12" t="str">
        <f t="shared" si="30"/>
        <v>Jones_etal_2009_PanTHERIA1-0WR93Aug2008.txt</v>
      </c>
      <c r="K221" s="13" t="str">
        <f t="shared" si="33"/>
        <v>10.1890%2F08-1494.1_PanTHERIA1-0WR93Aug2008.txt</v>
      </c>
      <c r="L221" s="13" t="str">
        <f t="array" ref="L221">IFERROR(INDEX(AUTO_Public_TSV_FileList!$A$1:$A$1000,MATCH(TRUE(),EXACT(K221,IFERROR(_xlfn.TEXTBEFORE(AUTO_Public_TSV_FileList!$A$1:$A$1000,".tsv"),"")),0)),"notfound")</f>
        <v>notfound</v>
      </c>
      <c r="M221" s="4"/>
      <c r="N221" s="4"/>
      <c r="O221" s="4"/>
      <c r="P221" s="4"/>
      <c r="Q221" s="4"/>
      <c r="R221" s="4"/>
      <c r="S221" s="4"/>
      <c r="T221" s="4"/>
      <c r="U221" s="4"/>
      <c r="V221" s="4"/>
      <c r="W221" s="4"/>
      <c r="X221" s="4"/>
      <c r="Y221" s="4"/>
      <c r="Z221" s="4"/>
      <c r="AA221" s="4"/>
      <c r="AB221" s="4"/>
      <c r="AC221" s="4"/>
      <c r="AD221" s="4"/>
      <c r="AE221" s="4"/>
      <c r="AF221" s="4"/>
      <c r="AG221" s="4"/>
    </row>
    <row r="222" spans="1:33" ht="17.100000000000001" customHeight="1">
      <c r="A222" s="4" t="s">
        <v>960</v>
      </c>
      <c r="B222" s="4"/>
      <c r="C222" s="4"/>
      <c r="D222" s="4" t="s">
        <v>231</v>
      </c>
      <c r="E222" s="12" t="str">
        <f t="shared" si="27"/>
        <v>Jorstad</v>
      </c>
      <c r="F222" s="13" t="str">
        <f t="array" ref="F222">_xlfn.LET(
 _xlpm.authors,_xlfn.TEXTBEFORE(A222," ("&amp;G222&amp;")"),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2" s="13" t="str">
        <f t="shared" si="28"/>
        <v>2023</v>
      </c>
      <c r="H222" s="12" t="str">
        <f t="shared" si="29"/>
        <v>Jorstad_etal_2023</v>
      </c>
      <c r="I222" s="12" t="str">
        <f t="shared" si="34"/>
        <v>10.1126%2Fscience.adf6812</v>
      </c>
      <c r="J222" s="12" t="str">
        <f t="shared" si="30"/>
        <v>Jorstad_etal_2023_TableS1</v>
      </c>
      <c r="K222" s="13" t="str">
        <f t="shared" si="33"/>
        <v>10.1126%2Fscience.adf6812_TableS1</v>
      </c>
      <c r="L222" s="13" t="str">
        <f t="array" ref="L222">IFERROR(INDEX(AUTO_Public_TSV_FileList!$A$1:$A$1000,MATCH(TRUE(),EXACT(K222,IFERROR(_xlfn.TEXTBEFORE(AUTO_Public_TSV_FileList!$A$1:$A$1000,".tsv"),"")),0)),"notfound")</f>
        <v>notfound</v>
      </c>
      <c r="M222" s="4" t="s">
        <v>961</v>
      </c>
      <c r="N222" s="5" t="s">
        <v>35</v>
      </c>
      <c r="O222" s="4"/>
      <c r="P222" s="4" t="s">
        <v>36</v>
      </c>
      <c r="Q222" s="4" t="s">
        <v>962</v>
      </c>
      <c r="R222" s="4" t="s">
        <v>963</v>
      </c>
      <c r="S222" s="4" t="s">
        <v>964</v>
      </c>
      <c r="T222" s="4" t="s">
        <v>965</v>
      </c>
      <c r="U222" s="4" t="s">
        <v>966</v>
      </c>
      <c r="V222" s="4"/>
      <c r="W222" s="4" t="s">
        <v>100</v>
      </c>
      <c r="X222" s="4" t="s">
        <v>967</v>
      </c>
      <c r="Y222" s="4" t="s">
        <v>968</v>
      </c>
      <c r="Z222" s="4"/>
      <c r="AA222" s="4" t="s">
        <v>969</v>
      </c>
      <c r="AB222" s="4" t="s">
        <v>970</v>
      </c>
      <c r="AC222" s="4" t="s">
        <v>971</v>
      </c>
      <c r="AD222" s="4"/>
      <c r="AE222" s="4" t="s">
        <v>972</v>
      </c>
      <c r="AF222" s="4"/>
      <c r="AG222" s="4"/>
    </row>
    <row r="223" spans="1:33" ht="17.100000000000001" customHeight="1">
      <c r="A223" s="4" t="s">
        <v>960</v>
      </c>
      <c r="B223" s="4"/>
      <c r="C223" s="4"/>
      <c r="D223" s="4" t="s">
        <v>558</v>
      </c>
      <c r="E223" s="12" t="str">
        <f t="shared" si="27"/>
        <v>Jorstad</v>
      </c>
      <c r="F223" s="13" t="str">
        <f t="array" ref="F223">_xlfn.LET(
 _xlpm.authors,_xlfn.TEXTBEFORE(A223," ("&amp;G223&amp;")"),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3" s="13" t="str">
        <f t="shared" si="28"/>
        <v>2023</v>
      </c>
      <c r="H223" s="12" t="str">
        <f t="shared" si="29"/>
        <v>Jorstad_etal_2023</v>
      </c>
      <c r="I223" s="12" t="str">
        <f t="shared" si="34"/>
        <v>10.1126%2Fscience.adf6812</v>
      </c>
      <c r="J223" s="12" t="str">
        <f t="shared" si="30"/>
        <v>Jorstad_etal_2023_TableS2</v>
      </c>
      <c r="K223" s="13" t="str">
        <f t="shared" si="33"/>
        <v>10.1126%2Fscience.adf6812_TableS2</v>
      </c>
      <c r="L223" s="13" t="str">
        <f t="array" ref="L223">IFERROR(INDEX(AUTO_Public_TSV_FileList!$A$1:$A$1000,MATCH(TRUE(),EXACT(K223,IFERROR(_xlfn.TEXTBEFORE(AUTO_Public_TSV_FileList!$A$1:$A$1000,".tsv"),"")),0)),"notfound")</f>
        <v>notfound</v>
      </c>
      <c r="M223" s="4" t="s">
        <v>973</v>
      </c>
      <c r="N223" s="5" t="s">
        <v>35</v>
      </c>
      <c r="O223" s="4"/>
      <c r="P223" s="4" t="s">
        <v>36</v>
      </c>
      <c r="Q223" s="4" t="s">
        <v>962</v>
      </c>
      <c r="R223" s="4" t="s">
        <v>963</v>
      </c>
      <c r="S223" s="4" t="s">
        <v>964</v>
      </c>
      <c r="T223" s="4" t="s">
        <v>965</v>
      </c>
      <c r="U223" s="4" t="s">
        <v>966</v>
      </c>
      <c r="V223" s="4"/>
      <c r="W223" s="4" t="s">
        <v>100</v>
      </c>
      <c r="X223" s="4" t="s">
        <v>967</v>
      </c>
      <c r="Y223" s="4" t="s">
        <v>968</v>
      </c>
      <c r="Z223" s="4"/>
      <c r="AA223" s="4" t="s">
        <v>969</v>
      </c>
      <c r="AB223" s="4" t="s">
        <v>970</v>
      </c>
      <c r="AC223" s="4" t="s">
        <v>971</v>
      </c>
      <c r="AD223" s="4"/>
      <c r="AE223" s="4" t="s">
        <v>974</v>
      </c>
      <c r="AF223" s="4"/>
      <c r="AG223" s="4"/>
    </row>
    <row r="224" spans="1:33" ht="17.100000000000001" customHeight="1">
      <c r="A224" s="4" t="s">
        <v>960</v>
      </c>
      <c r="B224" s="4"/>
      <c r="C224" s="4"/>
      <c r="D224" s="4" t="s">
        <v>560</v>
      </c>
      <c r="E224" s="12" t="str">
        <f t="shared" si="27"/>
        <v>Jorstad</v>
      </c>
      <c r="F224" s="13" t="str">
        <f t="array" ref="F224">_xlfn.LET(
 _xlpm.authors,_xlfn.TEXTBEFORE(A224," ("&amp;G224&amp;")"),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4" s="13" t="str">
        <f t="shared" si="28"/>
        <v>2023</v>
      </c>
      <c r="H224" s="12" t="str">
        <f t="shared" si="29"/>
        <v>Jorstad_etal_2023</v>
      </c>
      <c r="I224" s="12" t="str">
        <f t="shared" si="34"/>
        <v>10.1126%2Fscience.adf6812</v>
      </c>
      <c r="J224" s="12" t="str">
        <f t="shared" si="30"/>
        <v>Jorstad_etal_2023_TableS3</v>
      </c>
      <c r="K224" s="13" t="str">
        <f t="shared" si="33"/>
        <v>10.1126%2Fscience.adf6812_TableS3</v>
      </c>
      <c r="L224" s="13" t="str">
        <f t="array" ref="L224">IFERROR(INDEX(AUTO_Public_TSV_FileList!$A$1:$A$1000,MATCH(TRUE(),EXACT(K224,IFERROR(_xlfn.TEXTBEFORE(AUTO_Public_TSV_FileList!$A$1:$A$1000,".tsv"),"")),0)),"notfound")</f>
        <v>notfound</v>
      </c>
      <c r="M224" s="4" t="s">
        <v>975</v>
      </c>
      <c r="N224" s="5" t="s">
        <v>35</v>
      </c>
      <c r="O224" s="4"/>
      <c r="P224" s="4" t="s">
        <v>36</v>
      </c>
      <c r="Q224" s="4" t="s">
        <v>962</v>
      </c>
      <c r="R224" s="4" t="s">
        <v>963</v>
      </c>
      <c r="S224" s="4" t="s">
        <v>964</v>
      </c>
      <c r="T224" s="4" t="s">
        <v>965</v>
      </c>
      <c r="U224" s="4" t="s">
        <v>966</v>
      </c>
      <c r="V224" s="4"/>
      <c r="W224" s="4" t="s">
        <v>100</v>
      </c>
      <c r="X224" s="4" t="s">
        <v>967</v>
      </c>
      <c r="Y224" s="4" t="s">
        <v>968</v>
      </c>
      <c r="Z224" s="4"/>
      <c r="AA224" s="4" t="s">
        <v>969</v>
      </c>
      <c r="AB224" s="4" t="s">
        <v>970</v>
      </c>
      <c r="AC224" s="4" t="s">
        <v>971</v>
      </c>
      <c r="AD224" s="4"/>
      <c r="AE224" s="4" t="s">
        <v>976</v>
      </c>
      <c r="AF224" s="4"/>
      <c r="AG224" s="4"/>
    </row>
    <row r="225" spans="1:33" ht="17.100000000000001" customHeight="1">
      <c r="A225" s="4" t="s">
        <v>960</v>
      </c>
      <c r="B225" s="4"/>
      <c r="C225" s="4"/>
      <c r="D225" s="4" t="s">
        <v>562</v>
      </c>
      <c r="E225" s="12" t="str">
        <f t="shared" si="27"/>
        <v>Jorstad</v>
      </c>
      <c r="F225" s="13" t="str">
        <f t="array" ref="F225">_xlfn.LET(
 _xlpm.authors,_xlfn.TEXTBEFORE(A225," ("&amp;G225&amp;")"),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5" s="13" t="str">
        <f t="shared" si="28"/>
        <v>2023</v>
      </c>
      <c r="H225" s="12" t="str">
        <f t="shared" si="29"/>
        <v>Jorstad_etal_2023</v>
      </c>
      <c r="I225" s="12" t="str">
        <f t="shared" si="34"/>
        <v>10.1126%2Fscience.adf6812</v>
      </c>
      <c r="J225" s="12" t="str">
        <f t="shared" si="30"/>
        <v>Jorstad_etal_2023_TableS4</v>
      </c>
      <c r="K225" s="13" t="str">
        <f t="shared" si="33"/>
        <v>10.1126%2Fscience.adf6812_TableS4</v>
      </c>
      <c r="L225" s="13" t="str">
        <f t="array" ref="L225">IFERROR(INDEX(AUTO_Public_TSV_FileList!$A$1:$A$1000,MATCH(TRUE(),EXACT(K225,IFERROR(_xlfn.TEXTBEFORE(AUTO_Public_TSV_FileList!$A$1:$A$1000,".tsv"),"")),0)),"notfound")</f>
        <v>notfound</v>
      </c>
      <c r="M225" s="4" t="s">
        <v>977</v>
      </c>
      <c r="N225" s="5" t="s">
        <v>35</v>
      </c>
      <c r="O225" s="4"/>
      <c r="P225" s="4" t="s">
        <v>36</v>
      </c>
      <c r="Q225" s="4" t="s">
        <v>962</v>
      </c>
      <c r="R225" s="4" t="s">
        <v>963</v>
      </c>
      <c r="S225" s="4" t="s">
        <v>964</v>
      </c>
      <c r="T225" s="4" t="s">
        <v>965</v>
      </c>
      <c r="U225" s="4" t="s">
        <v>966</v>
      </c>
      <c r="V225" s="4"/>
      <c r="W225" s="4" t="s">
        <v>100</v>
      </c>
      <c r="X225" s="4" t="s">
        <v>967</v>
      </c>
      <c r="Y225" s="4" t="s">
        <v>968</v>
      </c>
      <c r="Z225" s="4"/>
      <c r="AA225" s="4" t="s">
        <v>969</v>
      </c>
      <c r="AB225" s="4" t="s">
        <v>970</v>
      </c>
      <c r="AC225" s="4" t="s">
        <v>971</v>
      </c>
      <c r="AD225" s="4"/>
      <c r="AE225" s="4" t="s">
        <v>978</v>
      </c>
      <c r="AF225" s="4"/>
      <c r="AG225" s="4"/>
    </row>
    <row r="226" spans="1:33" ht="17.100000000000001" customHeight="1">
      <c r="A226" s="4" t="s">
        <v>979</v>
      </c>
      <c r="B226" s="4"/>
      <c r="C226" s="4"/>
      <c r="D226" s="4" t="s">
        <v>980</v>
      </c>
      <c r="E226" s="12" t="str">
        <f t="shared" si="27"/>
        <v>Jung</v>
      </c>
      <c r="F226" s="13" t="str">
        <f t="array" ref="F226">_xlfn.LET(
 _xlpm.authors,_xlfn.TEXTBEFORE(A226," ("&amp;G226&amp;")"),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6" s="13" t="str">
        <f t="shared" si="28"/>
        <v>2022</v>
      </c>
      <c r="H226" s="12" t="str">
        <f t="shared" si="29"/>
        <v>Jung_etal_2022</v>
      </c>
      <c r="I226" s="12" t="str">
        <f t="shared" si="34"/>
        <v>10.1126%2Fsciadv.abn0954</v>
      </c>
      <c r="J226" s="12" t="str">
        <f t="shared" si="30"/>
        <v>Jung_etal_2022_Reportedresults</v>
      </c>
      <c r="K226" s="13" t="str">
        <f t="shared" si="33"/>
        <v>10.1126%2Fsciadv.abn0954_Reportedresults</v>
      </c>
      <c r="L226" s="13" t="str">
        <f t="array" ref="L226">IFERROR(INDEX(AUTO_Public_TSV_FileList!$A$1:$A$1000,MATCH(TRUE(),EXACT(K226,IFERROR(_xlfn.TEXTBEFORE(AUTO_Public_TSV_FileList!$A$1:$A$1000,".tsv"),"")),0)),"notfound")</f>
        <v>10.1126%2Fsciadv.abn0954_Reportedresults.tsv</v>
      </c>
      <c r="M226" s="4" t="s">
        <v>981</v>
      </c>
      <c r="N226" s="5" t="s">
        <v>35</v>
      </c>
      <c r="O226" s="4"/>
      <c r="P226" s="4" t="s">
        <v>36</v>
      </c>
      <c r="Q226" s="4"/>
      <c r="R226" s="4" t="s">
        <v>982</v>
      </c>
      <c r="S226" s="4"/>
      <c r="T226" s="4"/>
      <c r="U226" s="4"/>
      <c r="V226" s="4"/>
      <c r="W226" s="5" t="s">
        <v>138</v>
      </c>
      <c r="X226" s="4" t="s">
        <v>983</v>
      </c>
      <c r="Y226" s="4"/>
      <c r="Z226" s="4"/>
      <c r="AA226" s="4"/>
      <c r="AB226" s="4"/>
      <c r="AC226" s="4"/>
      <c r="AD226" s="4"/>
      <c r="AE226" s="4" t="s">
        <v>51</v>
      </c>
      <c r="AF226" s="4"/>
      <c r="AG226" s="4"/>
    </row>
    <row r="227" spans="1:33" ht="17.100000000000001" customHeight="1">
      <c r="A227" s="4" t="s">
        <v>979</v>
      </c>
      <c r="B227" s="4"/>
      <c r="C227" s="4"/>
      <c r="D227" s="4" t="s">
        <v>231</v>
      </c>
      <c r="E227" s="12" t="str">
        <f t="shared" si="27"/>
        <v>Jung</v>
      </c>
      <c r="F227" s="13" t="str">
        <f t="array" ref="F227">_xlfn.LET(
 _xlpm.authors,_xlfn.TEXTBEFORE(A227," ("&amp;G227&amp;")"),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7" s="13" t="str">
        <f t="shared" si="28"/>
        <v>2022</v>
      </c>
      <c r="H227" s="12" t="str">
        <f t="shared" si="29"/>
        <v>Jung_etal_2022</v>
      </c>
      <c r="I227" s="12" t="str">
        <f t="shared" si="34"/>
        <v>10.1126%2Fsciadv.abn0954</v>
      </c>
      <c r="J227" s="12" t="str">
        <f t="shared" si="30"/>
        <v>Jung_etal_2022_TableS1</v>
      </c>
      <c r="K227" s="12" t="str">
        <f t="shared" si="33"/>
        <v>10.1126%2Fsciadv.abn0954_TableS1</v>
      </c>
      <c r="L227" s="13" t="str">
        <f t="array" ref="L227">IFERROR(INDEX(AUTO_Public_TSV_FileList!$A$1:$A$1000,MATCH(TRUE(),EXACT(K227,IFERROR(_xlfn.TEXTBEFORE(AUTO_Public_TSV_FileList!$A$1:$A$1000,".tsv"),"")),0)),"notfound")</f>
        <v>notfound</v>
      </c>
      <c r="M227" s="4" t="s">
        <v>984</v>
      </c>
      <c r="N227" s="5" t="s">
        <v>35</v>
      </c>
      <c r="O227" s="4"/>
      <c r="P227" s="4"/>
      <c r="Q227" s="4"/>
      <c r="R227" s="4" t="s">
        <v>982</v>
      </c>
      <c r="S227" s="4"/>
      <c r="T227" s="4"/>
      <c r="U227" s="4"/>
      <c r="V227" s="4"/>
      <c r="W227" s="5" t="s">
        <v>138</v>
      </c>
      <c r="X227" s="4" t="s">
        <v>983</v>
      </c>
      <c r="Y227" s="4"/>
      <c r="Z227" s="4"/>
      <c r="AA227" s="4"/>
      <c r="AB227" s="4"/>
      <c r="AC227" s="4"/>
      <c r="AD227" s="4"/>
      <c r="AE227" s="4" t="s">
        <v>51</v>
      </c>
      <c r="AF227" s="4"/>
      <c r="AG227" s="4"/>
    </row>
    <row r="228" spans="1:33" ht="17.100000000000001" customHeight="1">
      <c r="A228" s="4" t="s">
        <v>979</v>
      </c>
      <c r="B228" s="4"/>
      <c r="C228" s="4"/>
      <c r="D228" s="4" t="s">
        <v>558</v>
      </c>
      <c r="E228" s="12" t="str">
        <f t="shared" si="27"/>
        <v>Jung</v>
      </c>
      <c r="F228" s="13" t="str">
        <f t="array" ref="F228">_xlfn.LET(
 _xlpm.authors,_xlfn.TEXTBEFORE(A228," ("&amp;G228&amp;")"),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28" s="13" t="str">
        <f t="shared" si="28"/>
        <v>2022</v>
      </c>
      <c r="H228" s="12" t="str">
        <f t="shared" si="29"/>
        <v>Jung_etal_2022</v>
      </c>
      <c r="I228" s="12" t="str">
        <f t="shared" si="34"/>
        <v>10.1126%2Fsciadv.abn0954</v>
      </c>
      <c r="J228" s="12" t="str">
        <f t="shared" si="30"/>
        <v>Jung_etal_2022_TableS2</v>
      </c>
      <c r="K228" s="12" t="str">
        <f t="shared" si="33"/>
        <v>10.1126%2Fsciadv.abn0954_TableS2</v>
      </c>
      <c r="L228" s="13" t="str">
        <f t="array" ref="L228">IFERROR(INDEX(AUTO_Public_TSV_FileList!$A$1:$A$1000,MATCH(TRUE(),EXACT(K228,IFERROR(_xlfn.TEXTBEFORE(AUTO_Public_TSV_FileList!$A$1:$A$1000,".tsv"),"")),0)),"notfound")</f>
        <v>notfound</v>
      </c>
      <c r="M228" s="4" t="s">
        <v>985</v>
      </c>
      <c r="N228" s="5" t="s">
        <v>35</v>
      </c>
      <c r="O228" s="4"/>
      <c r="P228" s="4"/>
      <c r="Q228" s="4"/>
      <c r="R228" s="4" t="s">
        <v>982</v>
      </c>
      <c r="S228" s="4"/>
      <c r="T228" s="4"/>
      <c r="U228" s="4"/>
      <c r="V228" s="4"/>
      <c r="W228" s="5" t="s">
        <v>138</v>
      </c>
      <c r="X228" s="4" t="s">
        <v>983</v>
      </c>
      <c r="Y228" s="4"/>
      <c r="Z228" s="4"/>
      <c r="AA228" s="4"/>
      <c r="AB228" s="4"/>
      <c r="AC228" s="4"/>
      <c r="AD228" s="4"/>
      <c r="AE228" s="4" t="s">
        <v>51</v>
      </c>
      <c r="AF228" s="4"/>
      <c r="AG228" s="4"/>
    </row>
    <row r="229" spans="1:33" ht="17.100000000000001" customHeight="1">
      <c r="A229" s="4" t="s">
        <v>986</v>
      </c>
      <c r="B229" s="4"/>
      <c r="C229" s="4" t="s">
        <v>987</v>
      </c>
      <c r="D229" s="4" t="s">
        <v>58</v>
      </c>
      <c r="E229" s="12" t="str">
        <f t="shared" si="27"/>
        <v>Kamiya</v>
      </c>
      <c r="F229" s="13" t="str">
        <f t="array" ref="F229">_xlfn.LET(
 _xlpm.authors,_xlfn.TEXTBEFORE(A229," ("&amp;G229&amp;")"),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Pirlot</v>
      </c>
      <c r="G229" s="13" t="str">
        <f t="shared" si="28"/>
        <v>1980</v>
      </c>
      <c r="H229" s="12" t="str">
        <f t="shared" si="29"/>
        <v>Kamiya_Pirlot_1980</v>
      </c>
      <c r="I229" s="12" t="str">
        <f t="shared" si="34"/>
        <v>SRWRI%3A32%3A105-126</v>
      </c>
      <c r="J229" s="12" t="str">
        <f t="shared" si="30"/>
        <v>Kamiya_Pirlot_1980_TABLE1</v>
      </c>
      <c r="K229" s="13" t="str">
        <f t="shared" si="33"/>
        <v>SRWRI%3A32%3A105-126_TABLE1</v>
      </c>
      <c r="L229" s="13" t="str">
        <f t="array" ref="L229">IFERROR(INDEX(AUTO_Public_TSV_FileList!$A$1:$A$1000,MATCH(TRUE(),EXACT(K229,IFERROR(_xlfn.TEXTBEFORE(AUTO_Public_TSV_FileList!$A$1:$A$1000,".tsv"),"")),0)),"notfound")</f>
        <v>SRWRI%3A32%3A105-126_TABLE1.tsv</v>
      </c>
      <c r="M229" s="4"/>
      <c r="N229" s="4"/>
      <c r="O229" s="4"/>
      <c r="P229" s="4"/>
      <c r="Q229" s="4"/>
      <c r="R229" s="4"/>
      <c r="S229" s="4"/>
      <c r="T229" s="4"/>
      <c r="U229" s="4"/>
      <c r="V229" s="4"/>
      <c r="W229" s="4"/>
      <c r="X229" s="4"/>
      <c r="Y229" s="4"/>
      <c r="Z229" s="4"/>
      <c r="AA229" s="4"/>
      <c r="AB229" s="4"/>
      <c r="AC229" s="4"/>
      <c r="AD229" s="4"/>
      <c r="AE229" s="4"/>
      <c r="AF229" s="4"/>
      <c r="AG229" s="4"/>
    </row>
    <row r="230" spans="1:33" ht="17.100000000000001" customHeight="1">
      <c r="A230" s="4" t="s">
        <v>988</v>
      </c>
      <c r="B230" s="4"/>
      <c r="C230" s="4"/>
      <c r="D230" s="4" t="s">
        <v>81</v>
      </c>
      <c r="E230" s="12" t="str">
        <f t="shared" si="27"/>
        <v>Kamiya</v>
      </c>
      <c r="F230" s="13" t="str">
        <f t="array" ref="F230">_xlfn.LET(
 _xlpm.authors,_xlfn.TEXTBEFORE(A230," ("&amp;G230&amp;")"),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Pirlot</v>
      </c>
      <c r="G230" s="13" t="str">
        <f t="shared" si="28"/>
        <v>1988</v>
      </c>
      <c r="H230" s="12" t="str">
        <f t="shared" si="29"/>
        <v>Kamiya_Pirlot_1988</v>
      </c>
      <c r="I230" s="12" t="str">
        <f t="shared" si="34"/>
        <v>10.1111%2Fj.1439-0469.1988.tb00644.x</v>
      </c>
      <c r="J230" s="12" t="str">
        <f t="shared" si="30"/>
        <v>Kamiya_Pirlot_1988_Table1</v>
      </c>
      <c r="K230" s="13" t="str">
        <f t="shared" si="33"/>
        <v>10.1111%2Fj.1439-0469.1988.tb00644.x_Table1</v>
      </c>
      <c r="L230" s="13" t="str">
        <f t="array" ref="L230">IFERROR(INDEX(AUTO_Public_TSV_FileList!$A$1:$A$1000,MATCH(TRUE(),EXACT(K230,IFERROR(_xlfn.TEXTBEFORE(AUTO_Public_TSV_FileList!$A$1:$A$1000,".tsv"),"")),0)),"notfound")</f>
        <v>10.1111%2Fj.1439-0469.1988.tb00644.x_Table1.tsv</v>
      </c>
      <c r="M230" s="4" t="s">
        <v>989</v>
      </c>
      <c r="N230" s="4"/>
      <c r="O230" s="4"/>
      <c r="P230" s="4"/>
      <c r="Q230" s="4"/>
      <c r="R230" s="4"/>
      <c r="S230" s="4"/>
      <c r="T230" s="4"/>
      <c r="U230" s="4"/>
      <c r="V230" s="4"/>
      <c r="W230" s="4"/>
      <c r="X230" s="4"/>
      <c r="Y230" s="4"/>
      <c r="Z230" s="4"/>
      <c r="AA230" s="4"/>
      <c r="AB230" s="4"/>
      <c r="AC230" s="4"/>
      <c r="AD230" s="4"/>
      <c r="AE230" s="4"/>
      <c r="AF230" s="4"/>
      <c r="AG230" s="4"/>
    </row>
    <row r="231" spans="1:33" ht="17.100000000000001" customHeight="1">
      <c r="A231" s="5" t="s">
        <v>990</v>
      </c>
      <c r="B231" s="4"/>
      <c r="C231" s="4"/>
      <c r="D231" s="5" t="s">
        <v>81</v>
      </c>
      <c r="E231" s="13" t="str">
        <f t="shared" si="27"/>
        <v>Karbowski</v>
      </c>
      <c r="F231" s="13" t="str">
        <f t="array" ref="F231">_xlfn.LET(
 _xlpm.authors,_xlfn.TEXTBEFORE(A231," ("&amp;G231&amp;")"),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1" s="13" t="str">
        <f t="shared" si="28"/>
        <v>2007</v>
      </c>
      <c r="H231" s="13" t="str">
        <f t="shared" si="29"/>
        <v>Karbowski__2007</v>
      </c>
      <c r="I231" s="13" t="str">
        <f t="shared" ref="I231:I279" si="35">_xlfn.LET(
_xlpm.doi,IF(C231&lt;&gt;"",C231,_xlfn.TEXTAFTER(A231,"https://doi.org/")),
SUBSTITUTE(
SUBSTITUTE(
SUBSTITUTE(
SUBSTITUTE(
_xlpm.doi,
"/","%2F"),
":","%3A"),
"&lt;","%3C"),
"&gt;","%3E")
)</f>
        <v>10.1186%2F1741-7007-5-18</v>
      </c>
      <c r="J231" s="13" t="str">
        <f t="shared" si="30"/>
        <v>Karbowski__2007_Table1</v>
      </c>
      <c r="K231" s="13" t="str">
        <f t="shared" si="33"/>
        <v>10.1186%2F1741-7007-5-18_Table1</v>
      </c>
      <c r="L231" s="13" t="str">
        <f t="array" ref="L231">IFERROR(INDEX(AUTO_Public_TSV_FileList!$A$1:$A$1000,MATCH(TRUE(),EXACT(K231,IFERROR(_xlfn.TEXTBEFORE(AUTO_Public_TSV_FileList!$A$1:$A$1000,".tsv"),"")),0)),"notfound")</f>
        <v>notfound</v>
      </c>
      <c r="M231" s="4"/>
      <c r="N231" s="5" t="s">
        <v>35</v>
      </c>
      <c r="O231" s="4"/>
      <c r="P231" s="4"/>
      <c r="Q231" s="4"/>
      <c r="R231" s="4"/>
      <c r="S231" s="4"/>
      <c r="T231" s="4"/>
      <c r="U231" s="4"/>
      <c r="V231" s="4"/>
      <c r="W231" s="5" t="s">
        <v>138</v>
      </c>
      <c r="X231" s="5" t="s">
        <v>991</v>
      </c>
      <c r="Y231" s="4"/>
      <c r="Z231" s="4"/>
      <c r="AA231" s="5"/>
      <c r="AB231" s="5" t="s">
        <v>992</v>
      </c>
      <c r="AC231" s="4"/>
      <c r="AD231" s="4"/>
      <c r="AE231" s="5" t="s">
        <v>179</v>
      </c>
      <c r="AF231" s="5"/>
      <c r="AG231" s="4"/>
    </row>
    <row r="232" spans="1:33" ht="17.100000000000001" customHeight="1">
      <c r="A232" s="5" t="s">
        <v>990</v>
      </c>
      <c r="B232" s="4"/>
      <c r="C232" s="4"/>
      <c r="D232" s="5" t="s">
        <v>231</v>
      </c>
      <c r="E232" s="13" t="str">
        <f t="shared" si="27"/>
        <v>Karbowski</v>
      </c>
      <c r="F232" s="13" t="str">
        <f t="array" ref="F232">_xlfn.LET(
 _xlpm.authors,_xlfn.TEXTBEFORE(A232," ("&amp;G232&amp;")"),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2" s="13" t="str">
        <f t="shared" si="28"/>
        <v>2007</v>
      </c>
      <c r="H232" s="13" t="str">
        <f t="shared" si="29"/>
        <v>Karbowski__2007</v>
      </c>
      <c r="I232" s="13" t="str">
        <f t="shared" si="35"/>
        <v>10.1186%2F1741-7007-5-18</v>
      </c>
      <c r="J232" s="13" t="str">
        <f t="shared" si="30"/>
        <v>Karbowski__2007_TableS1</v>
      </c>
      <c r="K232" s="13" t="str">
        <f t="shared" si="33"/>
        <v>10.1186%2F1741-7007-5-18_TableS1</v>
      </c>
      <c r="L232" s="13" t="str">
        <f t="array" ref="L232">IFERROR(INDEX(AUTO_Public_TSV_FileList!$A$1:$A$1000,MATCH(TRUE(),EXACT(K232,IFERROR(_xlfn.TEXTBEFORE(AUTO_Public_TSV_FileList!$A$1:$A$1000,".tsv"),"")),0)),"notfound")</f>
        <v>10.1186%2F1741-7007-5-18_TableS1.tsv</v>
      </c>
      <c r="M232" s="5" t="s">
        <v>993</v>
      </c>
      <c r="N232" s="5" t="s">
        <v>35</v>
      </c>
      <c r="O232" s="4"/>
      <c r="P232" s="5" t="s">
        <v>36</v>
      </c>
      <c r="Q232" s="4"/>
      <c r="R232" s="4"/>
      <c r="S232" s="4"/>
      <c r="T232" s="4"/>
      <c r="U232" s="4"/>
      <c r="V232" s="4"/>
      <c r="W232" s="5" t="s">
        <v>138</v>
      </c>
      <c r="X232" s="5" t="s">
        <v>994</v>
      </c>
      <c r="Y232" s="4"/>
      <c r="Z232" s="4"/>
      <c r="AA232" s="5"/>
      <c r="AB232" s="5" t="s">
        <v>995</v>
      </c>
      <c r="AC232" s="4"/>
      <c r="AD232" s="4"/>
      <c r="AE232" s="5" t="s">
        <v>179</v>
      </c>
      <c r="AF232" s="5"/>
      <c r="AG232" s="4"/>
    </row>
    <row r="233" spans="1:33" ht="17.100000000000001" customHeight="1">
      <c r="A233" s="5" t="s">
        <v>990</v>
      </c>
      <c r="B233" s="4"/>
      <c r="C233" s="4"/>
      <c r="D233" s="5" t="s">
        <v>996</v>
      </c>
      <c r="E233" s="13" t="str">
        <f t="shared" si="27"/>
        <v>Karbowski</v>
      </c>
      <c r="F233" s="13" t="str">
        <f t="array" ref="F233">_xlfn.LET(
 _xlpm.authors,_xlfn.TEXTBEFORE(A233," ("&amp;G233&amp;")"),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3" s="13" t="str">
        <f t="shared" si="28"/>
        <v>2007</v>
      </c>
      <c r="H233" s="13" t="str">
        <f t="shared" si="29"/>
        <v>Karbowski__2007</v>
      </c>
      <c r="I233" s="13" t="str">
        <f t="shared" si="35"/>
        <v>10.1186%2F1741-7007-5-18</v>
      </c>
      <c r="J233" s="13" t="str">
        <f t="shared" si="30"/>
        <v>Karbowski__2007_TableS10</v>
      </c>
      <c r="K233" s="13" t="str">
        <f t="shared" si="33"/>
        <v>10.1186%2F1741-7007-5-18_TableS10</v>
      </c>
      <c r="L233" s="13" t="str">
        <f t="array" ref="L233">IFERROR(INDEX(AUTO_Public_TSV_FileList!$A$1:$A$1000,MATCH(TRUE(),EXACT(K233,IFERROR(_xlfn.TEXTBEFORE(AUTO_Public_TSV_FileList!$A$1:$A$1000,".tsv"),"")),0)),"notfound")</f>
        <v>10.1186%2F1741-7007-5-18_TableS10.tsv</v>
      </c>
      <c r="M233" s="5" t="s">
        <v>997</v>
      </c>
      <c r="N233" s="5" t="s">
        <v>35</v>
      </c>
      <c r="O233" s="4"/>
      <c r="P233" s="5" t="s">
        <v>36</v>
      </c>
      <c r="Q233" s="4"/>
      <c r="R233" s="4"/>
      <c r="S233" s="4"/>
      <c r="T233" s="4"/>
      <c r="U233" s="4"/>
      <c r="V233" s="4"/>
      <c r="W233" s="5" t="s">
        <v>138</v>
      </c>
      <c r="X233" s="5" t="s">
        <v>998</v>
      </c>
      <c r="Y233" s="4"/>
      <c r="Z233" s="4"/>
      <c r="AA233" s="5"/>
      <c r="AB233" s="5" t="s">
        <v>995</v>
      </c>
      <c r="AC233" s="4"/>
      <c r="AD233" s="4"/>
      <c r="AE233" s="5" t="s">
        <v>179</v>
      </c>
      <c r="AF233" s="5"/>
      <c r="AG233" s="4"/>
    </row>
    <row r="234" spans="1:33" ht="17.100000000000001" customHeight="1">
      <c r="A234" s="5" t="s">
        <v>990</v>
      </c>
      <c r="B234" s="4"/>
      <c r="C234" s="4"/>
      <c r="D234" s="5" t="s">
        <v>999</v>
      </c>
      <c r="E234" s="13" t="str">
        <f t="shared" si="27"/>
        <v>Karbowski</v>
      </c>
      <c r="F234" s="13" t="str">
        <f t="array" ref="F234">_xlfn.LET(
 _xlpm.authors,_xlfn.TEXTBEFORE(A234," ("&amp;G234&amp;")"),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4" s="13" t="str">
        <f t="shared" si="28"/>
        <v>2007</v>
      </c>
      <c r="H234" s="13" t="str">
        <f t="shared" si="29"/>
        <v>Karbowski__2007</v>
      </c>
      <c r="I234" s="13" t="str">
        <f t="shared" si="35"/>
        <v>10.1186%2F1741-7007-5-18</v>
      </c>
      <c r="J234" s="13" t="str">
        <f t="shared" si="30"/>
        <v>Karbowski__2007_TableS11</v>
      </c>
      <c r="K234" s="13" t="str">
        <f t="shared" si="33"/>
        <v>10.1186%2F1741-7007-5-18_TableS11</v>
      </c>
      <c r="L234" s="13" t="str">
        <f t="array" ref="L234">IFERROR(INDEX(AUTO_Public_TSV_FileList!$A$1:$A$1000,MATCH(TRUE(),EXACT(K234,IFERROR(_xlfn.TEXTBEFORE(AUTO_Public_TSV_FileList!$A$1:$A$1000,".tsv"),"")),0)),"notfound")</f>
        <v>10.1186%2F1741-7007-5-18_TableS11.tsv</v>
      </c>
      <c r="M234" s="5" t="s">
        <v>1000</v>
      </c>
      <c r="N234" s="5" t="s">
        <v>35</v>
      </c>
      <c r="O234" s="4"/>
      <c r="P234" s="5" t="s">
        <v>36</v>
      </c>
      <c r="Q234" s="4"/>
      <c r="R234" s="4"/>
      <c r="S234" s="4"/>
      <c r="T234" s="4"/>
      <c r="U234" s="4"/>
      <c r="V234" s="4"/>
      <c r="W234" s="5" t="s">
        <v>138</v>
      </c>
      <c r="X234" s="5" t="s">
        <v>998</v>
      </c>
      <c r="Y234" s="4"/>
      <c r="Z234" s="4"/>
      <c r="AA234" s="5"/>
      <c r="AB234" s="5" t="s">
        <v>995</v>
      </c>
      <c r="AC234" s="4"/>
      <c r="AD234" s="4"/>
      <c r="AE234" s="5" t="s">
        <v>179</v>
      </c>
      <c r="AF234" s="5"/>
      <c r="AG234" s="4"/>
    </row>
    <row r="235" spans="1:33" ht="17.100000000000001" customHeight="1">
      <c r="A235" s="5" t="s">
        <v>990</v>
      </c>
      <c r="B235" s="4"/>
      <c r="C235" s="4"/>
      <c r="D235" s="5" t="s">
        <v>1001</v>
      </c>
      <c r="E235" s="13" t="str">
        <f t="shared" si="27"/>
        <v>Karbowski</v>
      </c>
      <c r="F235" s="13" t="str">
        <f t="array" ref="F235">_xlfn.LET(
 _xlpm.authors,_xlfn.TEXTBEFORE(A235," ("&amp;G235&amp;")"),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5" s="13" t="str">
        <f t="shared" si="28"/>
        <v>2007</v>
      </c>
      <c r="H235" s="13" t="str">
        <f t="shared" si="29"/>
        <v>Karbowski__2007</v>
      </c>
      <c r="I235" s="13" t="str">
        <f t="shared" si="35"/>
        <v>10.1186%2F1741-7007-5-18</v>
      </c>
      <c r="J235" s="13" t="str">
        <f t="shared" si="30"/>
        <v>Karbowski__2007_TableS12</v>
      </c>
      <c r="K235" s="13" t="str">
        <f t="shared" si="33"/>
        <v>10.1186%2F1741-7007-5-18_TableS12</v>
      </c>
      <c r="L235" s="13" t="str">
        <f t="array" ref="L235">IFERROR(INDEX(AUTO_Public_TSV_FileList!$A$1:$A$1000,MATCH(TRUE(),EXACT(K235,IFERROR(_xlfn.TEXTBEFORE(AUTO_Public_TSV_FileList!$A$1:$A$1000,".tsv"),"")),0)),"notfound")</f>
        <v>10.1186%2F1741-7007-5-18_TableS12.tsv</v>
      </c>
      <c r="M235" s="5" t="s">
        <v>1002</v>
      </c>
      <c r="N235" s="5" t="s">
        <v>35</v>
      </c>
      <c r="O235" s="4"/>
      <c r="P235" s="5" t="s">
        <v>36</v>
      </c>
      <c r="Q235" s="4"/>
      <c r="R235" s="4"/>
      <c r="S235" s="4"/>
      <c r="T235" s="4"/>
      <c r="U235" s="4"/>
      <c r="V235" s="4"/>
      <c r="W235" s="5" t="s">
        <v>138</v>
      </c>
      <c r="X235" s="5" t="s">
        <v>998</v>
      </c>
      <c r="Y235" s="4"/>
      <c r="Z235" s="4"/>
      <c r="AA235" s="5"/>
      <c r="AB235" s="5" t="s">
        <v>995</v>
      </c>
      <c r="AC235" s="4"/>
      <c r="AD235" s="4"/>
      <c r="AE235" s="5" t="s">
        <v>179</v>
      </c>
      <c r="AF235" s="5"/>
      <c r="AG235" s="4"/>
    </row>
    <row r="236" spans="1:33" ht="17.100000000000001" customHeight="1">
      <c r="A236" s="5" t="s">
        <v>990</v>
      </c>
      <c r="B236" s="4"/>
      <c r="C236" s="4"/>
      <c r="D236" s="5" t="s">
        <v>1003</v>
      </c>
      <c r="E236" s="13" t="str">
        <f t="shared" si="27"/>
        <v>Karbowski</v>
      </c>
      <c r="F236" s="13" t="str">
        <f t="array" ref="F236">_xlfn.LET(
 _xlpm.authors,_xlfn.TEXTBEFORE(A236," ("&amp;G236&amp;")"),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6" s="13" t="str">
        <f t="shared" si="28"/>
        <v>2007</v>
      </c>
      <c r="H236" s="13" t="str">
        <f t="shared" si="29"/>
        <v>Karbowski__2007</v>
      </c>
      <c r="I236" s="13" t="str">
        <f t="shared" si="35"/>
        <v>10.1186%2F1741-7007-5-18</v>
      </c>
      <c r="J236" s="13" t="str">
        <f t="shared" si="30"/>
        <v>Karbowski__2007_TableS13</v>
      </c>
      <c r="K236" s="13" t="str">
        <f t="shared" si="33"/>
        <v>10.1186%2F1741-7007-5-18_TableS13</v>
      </c>
      <c r="L236" s="13" t="str">
        <f t="array" ref="L236">IFERROR(INDEX(AUTO_Public_TSV_FileList!$A$1:$A$1000,MATCH(TRUE(),EXACT(K236,IFERROR(_xlfn.TEXTBEFORE(AUTO_Public_TSV_FileList!$A$1:$A$1000,".tsv"),"")),0)),"notfound")</f>
        <v>10.1186%2F1741-7007-5-18_TableS13.tsv</v>
      </c>
      <c r="M236" s="5" t="s">
        <v>1004</v>
      </c>
      <c r="N236" s="5" t="s">
        <v>35</v>
      </c>
      <c r="O236" s="4"/>
      <c r="P236" s="5" t="s">
        <v>36</v>
      </c>
      <c r="Q236" s="4"/>
      <c r="R236" s="4"/>
      <c r="S236" s="4"/>
      <c r="T236" s="4"/>
      <c r="U236" s="4"/>
      <c r="V236" s="4"/>
      <c r="W236" s="5" t="s">
        <v>138</v>
      </c>
      <c r="X236" s="5" t="s">
        <v>998</v>
      </c>
      <c r="Y236" s="4"/>
      <c r="Z236" s="4"/>
      <c r="AA236" s="5"/>
      <c r="AB236" s="5" t="s">
        <v>995</v>
      </c>
      <c r="AC236" s="4"/>
      <c r="AD236" s="4"/>
      <c r="AE236" s="5" t="s">
        <v>179</v>
      </c>
      <c r="AF236" s="5"/>
      <c r="AG236" s="4"/>
    </row>
    <row r="237" spans="1:33" ht="17.100000000000001" customHeight="1">
      <c r="A237" s="5" t="s">
        <v>990</v>
      </c>
      <c r="B237" s="4"/>
      <c r="C237" s="4"/>
      <c r="D237" s="5" t="s">
        <v>1005</v>
      </c>
      <c r="E237" s="13" t="str">
        <f t="shared" si="27"/>
        <v>Karbowski</v>
      </c>
      <c r="F237" s="13" t="str">
        <f t="array" ref="F237">_xlfn.LET(
 _xlpm.authors,_xlfn.TEXTBEFORE(A237," ("&amp;G237&amp;")"),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7" s="13" t="str">
        <f t="shared" si="28"/>
        <v>2007</v>
      </c>
      <c r="H237" s="13" t="str">
        <f t="shared" si="29"/>
        <v>Karbowski__2007</v>
      </c>
      <c r="I237" s="13" t="str">
        <f t="shared" si="35"/>
        <v>10.1186%2F1741-7007-5-18</v>
      </c>
      <c r="J237" s="13" t="str">
        <f t="shared" si="30"/>
        <v>Karbowski__2007_TableS14</v>
      </c>
      <c r="K237" s="13" t="str">
        <f t="shared" si="33"/>
        <v>10.1186%2F1741-7007-5-18_TableS14</v>
      </c>
      <c r="L237" s="13" t="str">
        <f t="array" ref="L237">IFERROR(INDEX(AUTO_Public_TSV_FileList!$A$1:$A$1000,MATCH(TRUE(),EXACT(K237,IFERROR(_xlfn.TEXTBEFORE(AUTO_Public_TSV_FileList!$A$1:$A$1000,".tsv"),"")),0)),"notfound")</f>
        <v>10.1186%2F1741-7007-5-18_TableS14.tsv</v>
      </c>
      <c r="M237" s="5" t="s">
        <v>1006</v>
      </c>
      <c r="N237" s="5" t="s">
        <v>35</v>
      </c>
      <c r="O237" s="4"/>
      <c r="P237" s="5" t="s">
        <v>36</v>
      </c>
      <c r="Q237" s="4"/>
      <c r="R237" s="4"/>
      <c r="S237" s="4"/>
      <c r="T237" s="4"/>
      <c r="U237" s="4"/>
      <c r="V237" s="4"/>
      <c r="W237" s="5" t="s">
        <v>138</v>
      </c>
      <c r="X237" s="5" t="s">
        <v>998</v>
      </c>
      <c r="Y237" s="4"/>
      <c r="Z237" s="4"/>
      <c r="AA237" s="5"/>
      <c r="AB237" s="5" t="s">
        <v>995</v>
      </c>
      <c r="AC237" s="4"/>
      <c r="AD237" s="4"/>
      <c r="AE237" s="5" t="s">
        <v>179</v>
      </c>
      <c r="AF237" s="5"/>
      <c r="AG237" s="4"/>
    </row>
    <row r="238" spans="1:33" ht="17.100000000000001" customHeight="1">
      <c r="A238" s="5" t="s">
        <v>990</v>
      </c>
      <c r="B238" s="4"/>
      <c r="C238" s="4"/>
      <c r="D238" s="5" t="s">
        <v>1007</v>
      </c>
      <c r="E238" s="13" t="str">
        <f t="shared" si="27"/>
        <v>Karbowski</v>
      </c>
      <c r="F238" s="13" t="str">
        <f t="array" ref="F238">_xlfn.LET(
 _xlpm.authors,_xlfn.TEXTBEFORE(A238," ("&amp;G238&amp;")"),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8" s="13" t="str">
        <f t="shared" si="28"/>
        <v>2007</v>
      </c>
      <c r="H238" s="13" t="str">
        <f t="shared" si="29"/>
        <v>Karbowski__2007</v>
      </c>
      <c r="I238" s="13" t="str">
        <f t="shared" si="35"/>
        <v>10.1186%2F1741-7007-5-18</v>
      </c>
      <c r="J238" s="13" t="str">
        <f t="shared" si="30"/>
        <v>Karbowski__2007_TableS15</v>
      </c>
      <c r="K238" s="13" t="str">
        <f t="shared" si="33"/>
        <v>10.1186%2F1741-7007-5-18_TableS15</v>
      </c>
      <c r="L238" s="13" t="str">
        <f t="array" ref="L238">IFERROR(INDEX(AUTO_Public_TSV_FileList!$A$1:$A$1000,MATCH(TRUE(),EXACT(K238,IFERROR(_xlfn.TEXTBEFORE(AUTO_Public_TSV_FileList!$A$1:$A$1000,".tsv"),"")),0)),"notfound")</f>
        <v>10.1186%2F1741-7007-5-18_TableS15.tsv</v>
      </c>
      <c r="M238" s="5" t="s">
        <v>1008</v>
      </c>
      <c r="N238" s="5" t="s">
        <v>35</v>
      </c>
      <c r="O238" s="4"/>
      <c r="P238" s="5" t="s">
        <v>36</v>
      </c>
      <c r="Q238" s="4"/>
      <c r="R238" s="4"/>
      <c r="S238" s="4"/>
      <c r="T238" s="4"/>
      <c r="U238" s="4"/>
      <c r="V238" s="4"/>
      <c r="W238" s="5" t="s">
        <v>138</v>
      </c>
      <c r="X238" s="5" t="s">
        <v>998</v>
      </c>
      <c r="Y238" s="4"/>
      <c r="Z238" s="4"/>
      <c r="AA238" s="5"/>
      <c r="AB238" s="5" t="s">
        <v>995</v>
      </c>
      <c r="AC238" s="4"/>
      <c r="AD238" s="4"/>
      <c r="AE238" s="5" t="s">
        <v>179</v>
      </c>
      <c r="AF238" s="5"/>
      <c r="AG238" s="4"/>
    </row>
    <row r="239" spans="1:33" ht="17.100000000000001" customHeight="1">
      <c r="A239" s="5" t="s">
        <v>990</v>
      </c>
      <c r="B239" s="4"/>
      <c r="C239" s="4"/>
      <c r="D239" s="5" t="s">
        <v>1009</v>
      </c>
      <c r="E239" s="13" t="str">
        <f t="shared" si="27"/>
        <v>Karbowski</v>
      </c>
      <c r="F239" s="13" t="str">
        <f t="array" ref="F239">_xlfn.LET(
 _xlpm.authors,_xlfn.TEXTBEFORE(A239," ("&amp;G239&amp;")"),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39" s="13" t="str">
        <f t="shared" si="28"/>
        <v>2007</v>
      </c>
      <c r="H239" s="13" t="str">
        <f t="shared" si="29"/>
        <v>Karbowski__2007</v>
      </c>
      <c r="I239" s="13" t="str">
        <f t="shared" si="35"/>
        <v>10.1186%2F1741-7007-5-18</v>
      </c>
      <c r="J239" s="13" t="str">
        <f t="shared" si="30"/>
        <v>Karbowski__2007_TableS16</v>
      </c>
      <c r="K239" s="13" t="str">
        <f t="shared" ref="K239:K255" si="36">I239 &amp; "_" &amp; SUBSTITUTE(SUBSTITUTE(SUBSTITUTE(D239,CHAR(160),"")," ",""),"_","")</f>
        <v>10.1186%2F1741-7007-5-18_TableS16</v>
      </c>
      <c r="L239" s="13" t="str">
        <f t="array" ref="L239">IFERROR(INDEX(AUTO_Public_TSV_FileList!$A$1:$A$1000,MATCH(TRUE(),EXACT(K239,IFERROR(_xlfn.TEXTBEFORE(AUTO_Public_TSV_FileList!$A$1:$A$1000,".tsv"),"")),0)),"notfound")</f>
        <v>10.1186%2F1741-7007-5-18_TableS16.tsv</v>
      </c>
      <c r="M239" s="5" t="s">
        <v>1010</v>
      </c>
      <c r="N239" s="5" t="s">
        <v>35</v>
      </c>
      <c r="O239" s="4"/>
      <c r="P239" s="5" t="s">
        <v>36</v>
      </c>
      <c r="Q239" s="4"/>
      <c r="R239" s="4"/>
      <c r="S239" s="4"/>
      <c r="T239" s="4"/>
      <c r="U239" s="4"/>
      <c r="V239" s="4"/>
      <c r="W239" s="5" t="s">
        <v>138</v>
      </c>
      <c r="X239" s="5" t="s">
        <v>998</v>
      </c>
      <c r="Y239" s="4"/>
      <c r="Z239" s="4"/>
      <c r="AA239" s="5"/>
      <c r="AB239" s="5" t="s">
        <v>995</v>
      </c>
      <c r="AC239" s="4"/>
      <c r="AD239" s="4"/>
      <c r="AE239" s="5" t="s">
        <v>179</v>
      </c>
      <c r="AF239" s="5"/>
      <c r="AG239" s="4"/>
    </row>
    <row r="240" spans="1:33" ht="17.100000000000001" customHeight="1">
      <c r="A240" s="5" t="s">
        <v>990</v>
      </c>
      <c r="B240" s="4"/>
      <c r="C240" s="4"/>
      <c r="D240" s="5" t="s">
        <v>1011</v>
      </c>
      <c r="E240" s="13" t="str">
        <f t="shared" si="27"/>
        <v>Karbowski</v>
      </c>
      <c r="F240" s="13" t="str">
        <f t="array" ref="F240">_xlfn.LET(
 _xlpm.authors,_xlfn.TEXTBEFORE(A240," ("&amp;G240&amp;")"),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0" s="13" t="str">
        <f t="shared" si="28"/>
        <v>2007</v>
      </c>
      <c r="H240" s="13" t="str">
        <f t="shared" si="29"/>
        <v>Karbowski__2007</v>
      </c>
      <c r="I240" s="13" t="str">
        <f t="shared" si="35"/>
        <v>10.1186%2F1741-7007-5-18</v>
      </c>
      <c r="J240" s="13" t="str">
        <f t="shared" si="30"/>
        <v>Karbowski__2007_TableS17</v>
      </c>
      <c r="K240" s="13" t="str">
        <f t="shared" si="36"/>
        <v>10.1186%2F1741-7007-5-18_TableS17</v>
      </c>
      <c r="L240" s="13" t="str">
        <f t="array" ref="L240">IFERROR(INDEX(AUTO_Public_TSV_FileList!$A$1:$A$1000,MATCH(TRUE(),EXACT(K240,IFERROR(_xlfn.TEXTBEFORE(AUTO_Public_TSV_FileList!$A$1:$A$1000,".tsv"),"")),0)),"notfound")</f>
        <v>10.1186%2F1741-7007-5-18_TableS17.tsv</v>
      </c>
      <c r="M240" s="5" t="s">
        <v>1012</v>
      </c>
      <c r="N240" s="5" t="s">
        <v>35</v>
      </c>
      <c r="O240" s="4"/>
      <c r="P240" s="5" t="s">
        <v>36</v>
      </c>
      <c r="Q240" s="4"/>
      <c r="R240" s="4"/>
      <c r="S240" s="4"/>
      <c r="T240" s="4"/>
      <c r="U240" s="4"/>
      <c r="V240" s="4"/>
      <c r="W240" s="5" t="s">
        <v>138</v>
      </c>
      <c r="X240" s="5" t="s">
        <v>998</v>
      </c>
      <c r="Y240" s="4"/>
      <c r="Z240" s="4"/>
      <c r="AA240" s="5"/>
      <c r="AB240" s="5" t="s">
        <v>995</v>
      </c>
      <c r="AC240" s="4"/>
      <c r="AD240" s="4"/>
      <c r="AE240" s="5" t="s">
        <v>179</v>
      </c>
      <c r="AF240" s="5"/>
      <c r="AG240" s="4"/>
    </row>
    <row r="241" spans="1:33" ht="17.100000000000001" customHeight="1">
      <c r="A241" s="5" t="s">
        <v>990</v>
      </c>
      <c r="B241" s="4"/>
      <c r="C241" s="4"/>
      <c r="D241" s="5" t="s">
        <v>1013</v>
      </c>
      <c r="E241" s="13" t="str">
        <f t="shared" si="27"/>
        <v>Karbowski</v>
      </c>
      <c r="F241" s="13" t="str">
        <f t="array" ref="F241">_xlfn.LET(
 _xlpm.authors,_xlfn.TEXTBEFORE(A241," ("&amp;G241&amp;")"),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1" s="13" t="str">
        <f t="shared" si="28"/>
        <v>2007</v>
      </c>
      <c r="H241" s="13" t="str">
        <f t="shared" si="29"/>
        <v>Karbowski__2007</v>
      </c>
      <c r="I241" s="13" t="str">
        <f t="shared" si="35"/>
        <v>10.1186%2F1741-7007-5-18</v>
      </c>
      <c r="J241" s="13" t="str">
        <f t="shared" si="30"/>
        <v>Karbowski__2007_TableS18</v>
      </c>
      <c r="K241" s="13" t="str">
        <f t="shared" si="36"/>
        <v>10.1186%2F1741-7007-5-18_TableS18</v>
      </c>
      <c r="L241" s="13" t="str">
        <f t="array" ref="L241">IFERROR(INDEX(AUTO_Public_TSV_FileList!$A$1:$A$1000,MATCH(TRUE(),EXACT(K241,IFERROR(_xlfn.TEXTBEFORE(AUTO_Public_TSV_FileList!$A$1:$A$1000,".tsv"),"")),0)),"notfound")</f>
        <v>10.1186%2F1741-7007-5-18_TableS18.tsv</v>
      </c>
      <c r="M241" s="5" t="s">
        <v>1014</v>
      </c>
      <c r="N241" s="5" t="s">
        <v>35</v>
      </c>
      <c r="O241" s="4"/>
      <c r="P241" s="5" t="s">
        <v>36</v>
      </c>
      <c r="Q241" s="4"/>
      <c r="R241" s="4"/>
      <c r="S241" s="4"/>
      <c r="T241" s="4"/>
      <c r="U241" s="4"/>
      <c r="V241" s="4"/>
      <c r="W241" s="5" t="s">
        <v>138</v>
      </c>
      <c r="X241" s="5" t="s">
        <v>998</v>
      </c>
      <c r="Y241" s="4"/>
      <c r="Z241" s="4"/>
      <c r="AA241" s="5"/>
      <c r="AB241" s="5" t="s">
        <v>995</v>
      </c>
      <c r="AC241" s="4"/>
      <c r="AD241" s="4"/>
      <c r="AE241" s="5" t="s">
        <v>179</v>
      </c>
      <c r="AF241" s="5"/>
      <c r="AG241" s="4"/>
    </row>
    <row r="242" spans="1:33" ht="17.100000000000001" customHeight="1">
      <c r="A242" s="5" t="s">
        <v>990</v>
      </c>
      <c r="B242" s="4"/>
      <c r="C242" s="4"/>
      <c r="D242" s="5" t="s">
        <v>1015</v>
      </c>
      <c r="E242" s="13" t="str">
        <f t="shared" si="27"/>
        <v>Karbowski</v>
      </c>
      <c r="F242" s="13" t="str">
        <f t="array" ref="F242">_xlfn.LET(
 _xlpm.authors,_xlfn.TEXTBEFORE(A242," ("&amp;G242&amp;")"),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2" s="13" t="str">
        <f t="shared" si="28"/>
        <v>2007</v>
      </c>
      <c r="H242" s="13" t="str">
        <f t="shared" si="29"/>
        <v>Karbowski__2007</v>
      </c>
      <c r="I242" s="13" t="str">
        <f t="shared" si="35"/>
        <v>10.1186%2F1741-7007-5-18</v>
      </c>
      <c r="J242" s="13" t="str">
        <f t="shared" si="30"/>
        <v>Karbowski__2007_TableS19</v>
      </c>
      <c r="K242" s="13" t="str">
        <f t="shared" si="36"/>
        <v>10.1186%2F1741-7007-5-18_TableS19</v>
      </c>
      <c r="L242" s="13" t="str">
        <f t="array" ref="L242">IFERROR(INDEX(AUTO_Public_TSV_FileList!$A$1:$A$1000,MATCH(TRUE(),EXACT(K242,IFERROR(_xlfn.TEXTBEFORE(AUTO_Public_TSV_FileList!$A$1:$A$1000,".tsv"),"")),0)),"notfound")</f>
        <v>10.1186%2F1741-7007-5-18_TableS19.tsv</v>
      </c>
      <c r="M242" s="5" t="s">
        <v>1016</v>
      </c>
      <c r="N242" s="5" t="s">
        <v>35</v>
      </c>
      <c r="O242" s="4"/>
      <c r="P242" s="5" t="s">
        <v>36</v>
      </c>
      <c r="Q242" s="4"/>
      <c r="R242" s="4"/>
      <c r="S242" s="4"/>
      <c r="T242" s="4"/>
      <c r="U242" s="4"/>
      <c r="V242" s="4"/>
      <c r="W242" s="5" t="s">
        <v>138</v>
      </c>
      <c r="X242" s="5" t="s">
        <v>998</v>
      </c>
      <c r="Y242" s="4"/>
      <c r="Z242" s="4"/>
      <c r="AA242" s="5"/>
      <c r="AB242" s="5" t="s">
        <v>995</v>
      </c>
      <c r="AC242" s="4"/>
      <c r="AD242" s="4"/>
      <c r="AE242" s="5" t="s">
        <v>179</v>
      </c>
      <c r="AF242" s="5"/>
      <c r="AG242" s="4"/>
    </row>
    <row r="243" spans="1:33" ht="17.100000000000001" customHeight="1">
      <c r="A243" s="5" t="s">
        <v>990</v>
      </c>
      <c r="B243" s="4"/>
      <c r="C243" s="4"/>
      <c r="D243" s="5" t="s">
        <v>558</v>
      </c>
      <c r="E243" s="13" t="str">
        <f t="shared" si="27"/>
        <v>Karbowski</v>
      </c>
      <c r="F243" s="13" t="str">
        <f t="array" ref="F243">_xlfn.LET(
 _xlpm.authors,_xlfn.TEXTBEFORE(A243," ("&amp;G243&amp;")"),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3" s="13" t="str">
        <f t="shared" si="28"/>
        <v>2007</v>
      </c>
      <c r="H243" s="13" t="str">
        <f t="shared" si="29"/>
        <v>Karbowski__2007</v>
      </c>
      <c r="I243" s="13" t="str">
        <f t="shared" si="35"/>
        <v>10.1186%2F1741-7007-5-18</v>
      </c>
      <c r="J243" s="13" t="str">
        <f t="shared" si="30"/>
        <v>Karbowski__2007_TableS2</v>
      </c>
      <c r="K243" s="13" t="str">
        <f t="shared" si="36"/>
        <v>10.1186%2F1741-7007-5-18_TableS2</v>
      </c>
      <c r="L243" s="13" t="str">
        <f t="array" ref="L243">IFERROR(INDEX(AUTO_Public_TSV_FileList!$A$1:$A$1000,MATCH(TRUE(),EXACT(K243,IFERROR(_xlfn.TEXTBEFORE(AUTO_Public_TSV_FileList!$A$1:$A$1000,".tsv"),"")),0)),"notfound")</f>
        <v>10.1186%2F1741-7007-5-18_TableS2.tsv</v>
      </c>
      <c r="M243" s="5" t="s">
        <v>1017</v>
      </c>
      <c r="N243" s="5" t="s">
        <v>35</v>
      </c>
      <c r="O243" s="4"/>
      <c r="P243" s="5" t="s">
        <v>1018</v>
      </c>
      <c r="Q243" s="4"/>
      <c r="R243" s="4"/>
      <c r="S243" s="4"/>
      <c r="T243" s="4"/>
      <c r="U243" s="4"/>
      <c r="V243" s="4"/>
      <c r="W243" s="5" t="s">
        <v>138</v>
      </c>
      <c r="X243" s="5" t="s">
        <v>998</v>
      </c>
      <c r="Y243" s="4"/>
      <c r="Z243" s="4"/>
      <c r="AA243" s="5"/>
      <c r="AB243" s="5" t="s">
        <v>995</v>
      </c>
      <c r="AC243" s="4"/>
      <c r="AD243" s="4"/>
      <c r="AE243" s="5" t="s">
        <v>179</v>
      </c>
      <c r="AF243" s="5"/>
      <c r="AG243" s="4"/>
    </row>
    <row r="244" spans="1:33" ht="17.100000000000001" customHeight="1">
      <c r="A244" s="5" t="s">
        <v>990</v>
      </c>
      <c r="B244" s="4"/>
      <c r="C244" s="4"/>
      <c r="D244" s="5" t="s">
        <v>1019</v>
      </c>
      <c r="E244" s="13" t="str">
        <f t="shared" si="27"/>
        <v>Karbowski</v>
      </c>
      <c r="F244" s="13" t="str">
        <f t="array" ref="F244">_xlfn.LET(
 _xlpm.authors,_xlfn.TEXTBEFORE(A244," ("&amp;G244&amp;")"),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4" s="13" t="str">
        <f t="shared" si="28"/>
        <v>2007</v>
      </c>
      <c r="H244" s="13" t="str">
        <f t="shared" si="29"/>
        <v>Karbowski__2007</v>
      </c>
      <c r="I244" s="13" t="str">
        <f t="shared" si="35"/>
        <v>10.1186%2F1741-7007-5-18</v>
      </c>
      <c r="J244" s="13" t="str">
        <f t="shared" si="30"/>
        <v>Karbowski__2007_TableS20</v>
      </c>
      <c r="K244" s="13" t="str">
        <f t="shared" si="36"/>
        <v>10.1186%2F1741-7007-5-18_TableS20</v>
      </c>
      <c r="L244" s="13" t="str">
        <f t="array" ref="L244">IFERROR(INDEX(AUTO_Public_TSV_FileList!$A$1:$A$1000,MATCH(TRUE(),EXACT(K244,IFERROR(_xlfn.TEXTBEFORE(AUTO_Public_TSV_FileList!$A$1:$A$1000,".tsv"),"")),0)),"notfound")</f>
        <v>10.1186%2F1741-7007-5-18_TableS20.tsv</v>
      </c>
      <c r="M244" s="5" t="s">
        <v>1020</v>
      </c>
      <c r="N244" s="5" t="s">
        <v>35</v>
      </c>
      <c r="O244" s="4"/>
      <c r="P244" s="5" t="s">
        <v>36</v>
      </c>
      <c r="Q244" s="4"/>
      <c r="R244" s="4"/>
      <c r="S244" s="4"/>
      <c r="T244" s="4"/>
      <c r="U244" s="4"/>
      <c r="V244" s="4"/>
      <c r="W244" s="5" t="s">
        <v>138</v>
      </c>
      <c r="X244" s="5" t="s">
        <v>998</v>
      </c>
      <c r="Y244" s="4"/>
      <c r="Z244" s="4"/>
      <c r="AA244" s="5"/>
      <c r="AB244" s="5" t="s">
        <v>995</v>
      </c>
      <c r="AC244" s="4"/>
      <c r="AD244" s="4"/>
      <c r="AE244" s="5" t="s">
        <v>179</v>
      </c>
      <c r="AF244" s="5"/>
      <c r="AG244" s="4"/>
    </row>
    <row r="245" spans="1:33" ht="17.100000000000001" customHeight="1">
      <c r="A245" s="5" t="s">
        <v>990</v>
      </c>
      <c r="B245" s="4"/>
      <c r="C245" s="4"/>
      <c r="D245" s="5" t="s">
        <v>1021</v>
      </c>
      <c r="E245" s="13" t="str">
        <f t="shared" si="27"/>
        <v>Karbowski</v>
      </c>
      <c r="F245" s="13" t="str">
        <f t="array" ref="F245">_xlfn.LET(
 _xlpm.authors,_xlfn.TEXTBEFORE(A245," ("&amp;G245&amp;")"),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5" s="13" t="str">
        <f t="shared" si="28"/>
        <v>2007</v>
      </c>
      <c r="H245" s="13" t="str">
        <f t="shared" si="29"/>
        <v>Karbowski__2007</v>
      </c>
      <c r="I245" s="13" t="str">
        <f t="shared" si="35"/>
        <v>10.1186%2F1741-7007-5-18</v>
      </c>
      <c r="J245" s="13" t="str">
        <f t="shared" si="30"/>
        <v>Karbowski__2007_TableS21</v>
      </c>
      <c r="K245" s="13" t="str">
        <f t="shared" si="36"/>
        <v>10.1186%2F1741-7007-5-18_TableS21</v>
      </c>
      <c r="L245" s="13" t="str">
        <f t="array" ref="L245">IFERROR(INDEX(AUTO_Public_TSV_FileList!$A$1:$A$1000,MATCH(TRUE(),EXACT(K245,IFERROR(_xlfn.TEXTBEFORE(AUTO_Public_TSV_FileList!$A$1:$A$1000,".tsv"),"")),0)),"notfound")</f>
        <v>10.1186%2F1741-7007-5-18_TableS21.tsv</v>
      </c>
      <c r="M245" s="5" t="s">
        <v>1022</v>
      </c>
      <c r="N245" s="5" t="s">
        <v>35</v>
      </c>
      <c r="O245" s="4"/>
      <c r="P245" s="5" t="s">
        <v>36</v>
      </c>
      <c r="Q245" s="4"/>
      <c r="R245" s="4"/>
      <c r="S245" s="4"/>
      <c r="T245" s="4"/>
      <c r="U245" s="4"/>
      <c r="V245" s="4"/>
      <c r="W245" s="5" t="s">
        <v>138</v>
      </c>
      <c r="X245" s="5" t="s">
        <v>998</v>
      </c>
      <c r="Y245" s="4"/>
      <c r="Z245" s="4"/>
      <c r="AA245" s="5"/>
      <c r="AB245" s="5" t="s">
        <v>995</v>
      </c>
      <c r="AC245" s="4"/>
      <c r="AD245" s="4"/>
      <c r="AE245" s="5" t="s">
        <v>179</v>
      </c>
      <c r="AF245" s="5"/>
      <c r="AG245" s="4"/>
    </row>
    <row r="246" spans="1:33" ht="17.100000000000001" customHeight="1">
      <c r="A246" s="5" t="s">
        <v>990</v>
      </c>
      <c r="B246" s="4"/>
      <c r="C246" s="4"/>
      <c r="D246" s="5" t="s">
        <v>1023</v>
      </c>
      <c r="E246" s="13" t="str">
        <f t="shared" si="27"/>
        <v>Karbowski</v>
      </c>
      <c r="F246" s="13" t="str">
        <f t="array" ref="F246">_xlfn.LET(
 _xlpm.authors,_xlfn.TEXTBEFORE(A246," ("&amp;G246&amp;")"),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6" s="13" t="str">
        <f t="shared" si="28"/>
        <v>2007</v>
      </c>
      <c r="H246" s="13" t="str">
        <f t="shared" si="29"/>
        <v>Karbowski__2007</v>
      </c>
      <c r="I246" s="13" t="str">
        <f t="shared" si="35"/>
        <v>10.1186%2F1741-7007-5-18</v>
      </c>
      <c r="J246" s="13" t="str">
        <f t="shared" si="30"/>
        <v>Karbowski__2007_TableS22</v>
      </c>
      <c r="K246" s="13" t="str">
        <f t="shared" si="36"/>
        <v>10.1186%2F1741-7007-5-18_TableS22</v>
      </c>
      <c r="L246" s="13" t="str">
        <f t="array" ref="L246">IFERROR(INDEX(AUTO_Public_TSV_FileList!$A$1:$A$1000,MATCH(TRUE(),EXACT(K246,IFERROR(_xlfn.TEXTBEFORE(AUTO_Public_TSV_FileList!$A$1:$A$1000,".tsv"),"")),0)),"notfound")</f>
        <v>10.1186%2F1741-7007-5-18_TableS22.tsv</v>
      </c>
      <c r="M246" s="5" t="s">
        <v>1024</v>
      </c>
      <c r="N246" s="5" t="s">
        <v>35</v>
      </c>
      <c r="O246" s="4"/>
      <c r="P246" s="5" t="s">
        <v>36</v>
      </c>
      <c r="Q246" s="4"/>
      <c r="R246" s="4"/>
      <c r="S246" s="4"/>
      <c r="T246" s="4"/>
      <c r="U246" s="4"/>
      <c r="V246" s="4"/>
      <c r="W246" s="5" t="s">
        <v>138</v>
      </c>
      <c r="X246" s="5" t="s">
        <v>998</v>
      </c>
      <c r="Y246" s="4"/>
      <c r="Z246" s="4"/>
      <c r="AA246" s="5"/>
      <c r="AB246" s="5" t="s">
        <v>995</v>
      </c>
      <c r="AC246" s="4"/>
      <c r="AD246" s="4"/>
      <c r="AE246" s="5" t="s">
        <v>179</v>
      </c>
      <c r="AF246" s="5"/>
      <c r="AG246" s="4"/>
    </row>
    <row r="247" spans="1:33" ht="17.100000000000001" customHeight="1">
      <c r="A247" s="5" t="s">
        <v>990</v>
      </c>
      <c r="B247" s="4"/>
      <c r="C247" s="4"/>
      <c r="D247" s="5" t="s">
        <v>1025</v>
      </c>
      <c r="E247" s="13" t="str">
        <f t="shared" si="27"/>
        <v>Karbowski</v>
      </c>
      <c r="F247" s="13" t="str">
        <f t="array" ref="F247">_xlfn.LET(
 _xlpm.authors,_xlfn.TEXTBEFORE(A247," ("&amp;G247&amp;")"),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7" s="13" t="str">
        <f t="shared" si="28"/>
        <v>2007</v>
      </c>
      <c r="H247" s="13" t="str">
        <f t="shared" si="29"/>
        <v>Karbowski__2007</v>
      </c>
      <c r="I247" s="13" t="str">
        <f t="shared" si="35"/>
        <v>10.1186%2F1741-7007-5-18</v>
      </c>
      <c r="J247" s="13" t="str">
        <f t="shared" si="30"/>
        <v>Karbowski__2007_TableS23</v>
      </c>
      <c r="K247" s="13" t="str">
        <f t="shared" si="36"/>
        <v>10.1186%2F1741-7007-5-18_TableS23</v>
      </c>
      <c r="L247" s="13" t="str">
        <f t="array" ref="L247">IFERROR(INDEX(AUTO_Public_TSV_FileList!$A$1:$A$1000,MATCH(TRUE(),EXACT(K247,IFERROR(_xlfn.TEXTBEFORE(AUTO_Public_TSV_FileList!$A$1:$A$1000,".tsv"),"")),0)),"notfound")</f>
        <v>10.1186%2F1741-7007-5-18_TableS23.tsv</v>
      </c>
      <c r="M247" s="5" t="s">
        <v>1026</v>
      </c>
      <c r="N247" s="5" t="s">
        <v>35</v>
      </c>
      <c r="O247" s="4"/>
      <c r="P247" s="5" t="s">
        <v>36</v>
      </c>
      <c r="Q247" s="4"/>
      <c r="R247" s="4"/>
      <c r="S247" s="4"/>
      <c r="T247" s="4"/>
      <c r="U247" s="4"/>
      <c r="V247" s="4"/>
      <c r="W247" s="5" t="s">
        <v>138</v>
      </c>
      <c r="X247" s="5" t="s">
        <v>998</v>
      </c>
      <c r="Y247" s="4"/>
      <c r="Z247" s="4"/>
      <c r="AA247" s="5"/>
      <c r="AB247" s="5" t="s">
        <v>995</v>
      </c>
      <c r="AC247" s="4"/>
      <c r="AD247" s="4"/>
      <c r="AE247" s="5" t="s">
        <v>179</v>
      </c>
      <c r="AF247" s="5"/>
      <c r="AG247" s="4"/>
    </row>
    <row r="248" spans="1:33" ht="17.100000000000001" customHeight="1">
      <c r="A248" s="5" t="s">
        <v>990</v>
      </c>
      <c r="B248" s="4"/>
      <c r="C248" s="4"/>
      <c r="D248" s="5" t="s">
        <v>560</v>
      </c>
      <c r="E248" s="13" t="str">
        <f t="shared" si="27"/>
        <v>Karbowski</v>
      </c>
      <c r="F248" s="13" t="str">
        <f t="array" ref="F248">_xlfn.LET(
 _xlpm.authors,_xlfn.TEXTBEFORE(A248," ("&amp;G248&amp;")"),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8" s="13" t="str">
        <f t="shared" si="28"/>
        <v>2007</v>
      </c>
      <c r="H248" s="13" t="str">
        <f t="shared" si="29"/>
        <v>Karbowski__2007</v>
      </c>
      <c r="I248" s="13" t="str">
        <f t="shared" si="35"/>
        <v>10.1186%2F1741-7007-5-18</v>
      </c>
      <c r="J248" s="13" t="str">
        <f t="shared" si="30"/>
        <v>Karbowski__2007_TableS3</v>
      </c>
      <c r="K248" s="13" t="str">
        <f t="shared" si="36"/>
        <v>10.1186%2F1741-7007-5-18_TableS3</v>
      </c>
      <c r="L248" s="13" t="str">
        <f t="array" ref="L248">IFERROR(INDEX(AUTO_Public_TSV_FileList!$A$1:$A$1000,MATCH(TRUE(),EXACT(K248,IFERROR(_xlfn.TEXTBEFORE(AUTO_Public_TSV_FileList!$A$1:$A$1000,".tsv"),"")),0)),"notfound")</f>
        <v>10.1186%2F1741-7007-5-18_TableS3.tsv</v>
      </c>
      <c r="M248" s="5" t="s">
        <v>1027</v>
      </c>
      <c r="N248" s="5" t="s">
        <v>35</v>
      </c>
      <c r="O248" s="4"/>
      <c r="P248" s="5" t="s">
        <v>36</v>
      </c>
      <c r="Q248" s="4"/>
      <c r="R248" s="4"/>
      <c r="S248" s="4"/>
      <c r="T248" s="4"/>
      <c r="U248" s="4"/>
      <c r="V248" s="4"/>
      <c r="W248" s="5" t="s">
        <v>138</v>
      </c>
      <c r="X248" s="5" t="s">
        <v>998</v>
      </c>
      <c r="Y248" s="4"/>
      <c r="Z248" s="4"/>
      <c r="AA248" s="5"/>
      <c r="AB248" s="5" t="s">
        <v>995</v>
      </c>
      <c r="AC248" s="4"/>
      <c r="AD248" s="4"/>
      <c r="AE248" s="5" t="s">
        <v>179</v>
      </c>
      <c r="AF248" s="5"/>
      <c r="AG248" s="4"/>
    </row>
    <row r="249" spans="1:33" ht="17.100000000000001" customHeight="1">
      <c r="A249" s="5" t="s">
        <v>990</v>
      </c>
      <c r="B249" s="4"/>
      <c r="C249" s="4"/>
      <c r="D249" s="5" t="s">
        <v>562</v>
      </c>
      <c r="E249" s="13" t="str">
        <f t="shared" si="27"/>
        <v>Karbowski</v>
      </c>
      <c r="F249" s="13" t="str">
        <f t="array" ref="F249">_xlfn.LET(
 _xlpm.authors,_xlfn.TEXTBEFORE(A249," ("&amp;G249&amp;")"),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49" s="13" t="str">
        <f t="shared" si="28"/>
        <v>2007</v>
      </c>
      <c r="H249" s="13" t="str">
        <f t="shared" si="29"/>
        <v>Karbowski__2007</v>
      </c>
      <c r="I249" s="13" t="str">
        <f t="shared" si="35"/>
        <v>10.1186%2F1741-7007-5-18</v>
      </c>
      <c r="J249" s="13" t="str">
        <f t="shared" si="30"/>
        <v>Karbowski__2007_TableS4</v>
      </c>
      <c r="K249" s="13" t="str">
        <f t="shared" si="36"/>
        <v>10.1186%2F1741-7007-5-18_TableS4</v>
      </c>
      <c r="L249" s="13" t="str">
        <f t="array" ref="L249">IFERROR(INDEX(AUTO_Public_TSV_FileList!$A$1:$A$1000,MATCH(TRUE(),EXACT(K249,IFERROR(_xlfn.TEXTBEFORE(AUTO_Public_TSV_FileList!$A$1:$A$1000,".tsv"),"")),0)),"notfound")</f>
        <v>10.1186%2F1741-7007-5-18_TableS4.tsv</v>
      </c>
      <c r="M249" s="5" t="s">
        <v>1028</v>
      </c>
      <c r="N249" s="5" t="s">
        <v>35</v>
      </c>
      <c r="O249" s="4"/>
      <c r="P249" s="5" t="s">
        <v>36</v>
      </c>
      <c r="Q249" s="4"/>
      <c r="R249" s="4"/>
      <c r="S249" s="4"/>
      <c r="T249" s="4"/>
      <c r="U249" s="4"/>
      <c r="V249" s="4"/>
      <c r="W249" s="5" t="s">
        <v>138</v>
      </c>
      <c r="X249" s="5" t="s">
        <v>998</v>
      </c>
      <c r="Y249" s="4"/>
      <c r="Z249" s="4"/>
      <c r="AA249" s="5"/>
      <c r="AB249" s="5" t="s">
        <v>995</v>
      </c>
      <c r="AC249" s="4"/>
      <c r="AD249" s="4"/>
      <c r="AE249" s="5" t="s">
        <v>179</v>
      </c>
      <c r="AF249" s="5"/>
      <c r="AG249" s="4"/>
    </row>
    <row r="250" spans="1:33" ht="17.100000000000001" customHeight="1">
      <c r="A250" s="5" t="s">
        <v>990</v>
      </c>
      <c r="B250" s="4"/>
      <c r="C250" s="4"/>
      <c r="D250" s="5" t="s">
        <v>1029</v>
      </c>
      <c r="E250" s="13" t="str">
        <f t="shared" si="27"/>
        <v>Karbowski</v>
      </c>
      <c r="F250" s="13" t="str">
        <f t="array" ref="F250">_xlfn.LET(
 _xlpm.authors,_xlfn.TEXTBEFORE(A250," ("&amp;G250&amp;")"),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50" s="13" t="str">
        <f t="shared" si="28"/>
        <v>2007</v>
      </c>
      <c r="H250" s="13" t="str">
        <f t="shared" si="29"/>
        <v>Karbowski__2007</v>
      </c>
      <c r="I250" s="13" t="str">
        <f t="shared" si="35"/>
        <v>10.1186%2F1741-7007-5-18</v>
      </c>
      <c r="J250" s="13" t="str">
        <f t="shared" si="30"/>
        <v>Karbowski__2007_TableS5</v>
      </c>
      <c r="K250" s="13" t="str">
        <f t="shared" si="36"/>
        <v>10.1186%2F1741-7007-5-18_TableS5</v>
      </c>
      <c r="L250" s="13" t="str">
        <f t="array" ref="L250">IFERROR(INDEX(AUTO_Public_TSV_FileList!$A$1:$A$1000,MATCH(TRUE(),EXACT(K250,IFERROR(_xlfn.TEXTBEFORE(AUTO_Public_TSV_FileList!$A$1:$A$1000,".tsv"),"")),0)),"notfound")</f>
        <v>10.1186%2F1741-7007-5-18_TableS5.tsv</v>
      </c>
      <c r="M250" s="5" t="s">
        <v>1030</v>
      </c>
      <c r="N250" s="5" t="s">
        <v>35</v>
      </c>
      <c r="O250" s="4"/>
      <c r="P250" s="5" t="s">
        <v>36</v>
      </c>
      <c r="Q250" s="4"/>
      <c r="R250" s="4"/>
      <c r="S250" s="4"/>
      <c r="T250" s="4"/>
      <c r="U250" s="4"/>
      <c r="V250" s="4"/>
      <c r="W250" s="5" t="s">
        <v>138</v>
      </c>
      <c r="X250" s="5" t="s">
        <v>998</v>
      </c>
      <c r="Y250" s="4"/>
      <c r="Z250" s="4"/>
      <c r="AA250" s="5"/>
      <c r="AB250" s="5" t="s">
        <v>995</v>
      </c>
      <c r="AC250" s="4"/>
      <c r="AD250" s="4"/>
      <c r="AE250" s="5" t="s">
        <v>179</v>
      </c>
      <c r="AF250" s="5"/>
      <c r="AG250" s="4"/>
    </row>
    <row r="251" spans="1:33" ht="17.100000000000001" customHeight="1">
      <c r="A251" s="5" t="s">
        <v>990</v>
      </c>
      <c r="B251" s="4"/>
      <c r="C251" s="4"/>
      <c r="D251" s="5" t="s">
        <v>1031</v>
      </c>
      <c r="E251" s="13" t="str">
        <f t="shared" si="27"/>
        <v>Karbowski</v>
      </c>
      <c r="F251" s="13" t="str">
        <f t="array" ref="F251">_xlfn.LET(
 _xlpm.authors,_xlfn.TEXTBEFORE(A251," ("&amp;G251&amp;")"),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51" s="13" t="str">
        <f t="shared" si="28"/>
        <v>2007</v>
      </c>
      <c r="H251" s="13" t="str">
        <f t="shared" si="29"/>
        <v>Karbowski__2007</v>
      </c>
      <c r="I251" s="13" t="str">
        <f t="shared" si="35"/>
        <v>10.1186%2F1741-7007-5-18</v>
      </c>
      <c r="J251" s="13" t="str">
        <f t="shared" si="30"/>
        <v>Karbowski__2007_TableS6</v>
      </c>
      <c r="K251" s="13" t="str">
        <f t="shared" si="36"/>
        <v>10.1186%2F1741-7007-5-18_TableS6</v>
      </c>
      <c r="L251" s="13" t="str">
        <f t="array" ref="L251">IFERROR(INDEX(AUTO_Public_TSV_FileList!$A$1:$A$1000,MATCH(TRUE(),EXACT(K251,IFERROR(_xlfn.TEXTBEFORE(AUTO_Public_TSV_FileList!$A$1:$A$1000,".tsv"),"")),0)),"notfound")</f>
        <v>10.1186%2F1741-7007-5-18_TableS6.tsv</v>
      </c>
      <c r="M251" s="5" t="s">
        <v>1032</v>
      </c>
      <c r="N251" s="5" t="s">
        <v>35</v>
      </c>
      <c r="O251" s="4"/>
      <c r="P251" s="5" t="s">
        <v>36</v>
      </c>
      <c r="Q251" s="4"/>
      <c r="R251" s="4"/>
      <c r="S251" s="4"/>
      <c r="T251" s="4"/>
      <c r="U251" s="4"/>
      <c r="V251" s="4"/>
      <c r="W251" s="5" t="s">
        <v>138</v>
      </c>
      <c r="X251" s="5" t="s">
        <v>998</v>
      </c>
      <c r="Y251" s="4"/>
      <c r="Z251" s="4"/>
      <c r="AA251" s="5"/>
      <c r="AB251" s="5" t="s">
        <v>995</v>
      </c>
      <c r="AC251" s="4"/>
      <c r="AD251" s="4"/>
      <c r="AE251" s="5" t="s">
        <v>179</v>
      </c>
      <c r="AF251" s="5"/>
      <c r="AG251" s="4"/>
    </row>
    <row r="252" spans="1:33" ht="17.100000000000001" customHeight="1">
      <c r="A252" s="5" t="s">
        <v>990</v>
      </c>
      <c r="B252" s="4"/>
      <c r="C252" s="4"/>
      <c r="D252" s="5" t="s">
        <v>1033</v>
      </c>
      <c r="E252" s="13" t="str">
        <f t="shared" si="27"/>
        <v>Karbowski</v>
      </c>
      <c r="F252" s="13" t="str">
        <f t="array" ref="F252">_xlfn.LET(
 _xlpm.authors,_xlfn.TEXTBEFORE(A252," ("&amp;G252&amp;")"),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52" s="13" t="str">
        <f t="shared" si="28"/>
        <v>2007</v>
      </c>
      <c r="H252" s="13" t="str">
        <f t="shared" si="29"/>
        <v>Karbowski__2007</v>
      </c>
      <c r="I252" s="13" t="str">
        <f t="shared" si="35"/>
        <v>10.1186%2F1741-7007-5-18</v>
      </c>
      <c r="J252" s="13" t="str">
        <f t="shared" si="30"/>
        <v>Karbowski__2007_TableS7</v>
      </c>
      <c r="K252" s="13" t="str">
        <f t="shared" si="36"/>
        <v>10.1186%2F1741-7007-5-18_TableS7</v>
      </c>
      <c r="L252" s="13" t="str">
        <f t="array" ref="L252">IFERROR(INDEX(AUTO_Public_TSV_FileList!$A$1:$A$1000,MATCH(TRUE(),EXACT(K252,IFERROR(_xlfn.TEXTBEFORE(AUTO_Public_TSV_FileList!$A$1:$A$1000,".tsv"),"")),0)),"notfound")</f>
        <v>10.1186%2F1741-7007-5-18_TableS7.tsv</v>
      </c>
      <c r="M252" s="5" t="s">
        <v>1034</v>
      </c>
      <c r="N252" s="5" t="s">
        <v>35</v>
      </c>
      <c r="O252" s="4"/>
      <c r="P252" s="5" t="s">
        <v>36</v>
      </c>
      <c r="Q252" s="4"/>
      <c r="R252" s="4"/>
      <c r="S252" s="4"/>
      <c r="T252" s="4"/>
      <c r="U252" s="4"/>
      <c r="V252" s="4"/>
      <c r="W252" s="5" t="s">
        <v>138</v>
      </c>
      <c r="X252" s="5" t="s">
        <v>998</v>
      </c>
      <c r="Y252" s="4"/>
      <c r="Z252" s="4"/>
      <c r="AA252" s="5"/>
      <c r="AB252" s="5" t="s">
        <v>995</v>
      </c>
      <c r="AC252" s="4"/>
      <c r="AD252" s="4"/>
      <c r="AE252" s="5" t="s">
        <v>179</v>
      </c>
      <c r="AF252" s="5"/>
      <c r="AG252" s="4"/>
    </row>
    <row r="253" spans="1:33" ht="17.100000000000001" customHeight="1">
      <c r="A253" s="5" t="s">
        <v>990</v>
      </c>
      <c r="B253" s="4"/>
      <c r="C253" s="4"/>
      <c r="D253" s="5" t="s">
        <v>1035</v>
      </c>
      <c r="E253" s="13" t="str">
        <f t="shared" si="27"/>
        <v>Karbowski</v>
      </c>
      <c r="F253" s="13" t="str">
        <f t="array" ref="F253">_xlfn.LET(
 _xlpm.authors,_xlfn.TEXTBEFORE(A253," ("&amp;G253&amp;")"),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53" s="13" t="str">
        <f t="shared" si="28"/>
        <v>2007</v>
      </c>
      <c r="H253" s="13" t="str">
        <f t="shared" si="29"/>
        <v>Karbowski__2007</v>
      </c>
      <c r="I253" s="13" t="str">
        <f t="shared" si="35"/>
        <v>10.1186%2F1741-7007-5-18</v>
      </c>
      <c r="J253" s="13" t="str">
        <f t="shared" si="30"/>
        <v>Karbowski__2007_TableS8</v>
      </c>
      <c r="K253" s="13" t="str">
        <f t="shared" si="36"/>
        <v>10.1186%2F1741-7007-5-18_TableS8</v>
      </c>
      <c r="L253" s="13" t="str">
        <f t="array" ref="L253">IFERROR(INDEX(AUTO_Public_TSV_FileList!$A$1:$A$1000,MATCH(TRUE(),EXACT(K253,IFERROR(_xlfn.TEXTBEFORE(AUTO_Public_TSV_FileList!$A$1:$A$1000,".tsv"),"")),0)),"notfound")</f>
        <v>10.1186%2F1741-7007-5-18_TableS8.tsv</v>
      </c>
      <c r="M253" s="5" t="s">
        <v>1036</v>
      </c>
      <c r="N253" s="5" t="s">
        <v>35</v>
      </c>
      <c r="O253" s="4"/>
      <c r="P253" s="5" t="s">
        <v>36</v>
      </c>
      <c r="Q253" s="4"/>
      <c r="R253" s="4"/>
      <c r="S253" s="4"/>
      <c r="T253" s="4"/>
      <c r="U253" s="4"/>
      <c r="V253" s="4"/>
      <c r="W253" s="5" t="s">
        <v>138</v>
      </c>
      <c r="X253" s="5" t="s">
        <v>998</v>
      </c>
      <c r="Y253" s="4"/>
      <c r="Z253" s="4"/>
      <c r="AA253" s="5"/>
      <c r="AB253" s="5" t="s">
        <v>995</v>
      </c>
      <c r="AC253" s="4"/>
      <c r="AD253" s="4"/>
      <c r="AE253" s="5" t="s">
        <v>179</v>
      </c>
      <c r="AF253" s="5"/>
      <c r="AG253" s="4"/>
    </row>
    <row r="254" spans="1:33" ht="17.100000000000001" customHeight="1">
      <c r="A254" s="5" t="s">
        <v>990</v>
      </c>
      <c r="B254" s="4"/>
      <c r="C254" s="4"/>
      <c r="D254" s="5" t="s">
        <v>1037</v>
      </c>
      <c r="E254" s="13" t="str">
        <f t="shared" si="27"/>
        <v>Karbowski</v>
      </c>
      <c r="F254" s="13" t="str">
        <f t="array" ref="F254">_xlfn.LET(
 _xlpm.authors,_xlfn.TEXTBEFORE(A254," ("&amp;G254&amp;")"),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54" s="13" t="str">
        <f t="shared" si="28"/>
        <v>2007</v>
      </c>
      <c r="H254" s="13" t="str">
        <f t="shared" si="29"/>
        <v>Karbowski__2007</v>
      </c>
      <c r="I254" s="13" t="str">
        <f t="shared" si="35"/>
        <v>10.1186%2F1741-7007-5-18</v>
      </c>
      <c r="J254" s="13" t="str">
        <f t="shared" si="30"/>
        <v>Karbowski__2007_TableS9</v>
      </c>
      <c r="K254" s="13" t="str">
        <f t="shared" si="36"/>
        <v>10.1186%2F1741-7007-5-18_TableS9</v>
      </c>
      <c r="L254" s="13" t="str">
        <f t="array" ref="L254">IFERROR(INDEX(AUTO_Public_TSV_FileList!$A$1:$A$1000,MATCH(TRUE(),EXACT(K254,IFERROR(_xlfn.TEXTBEFORE(AUTO_Public_TSV_FileList!$A$1:$A$1000,".tsv"),"")),0)),"notfound")</f>
        <v>10.1186%2F1741-7007-5-18_TableS9.tsv</v>
      </c>
      <c r="M254" s="5" t="s">
        <v>1038</v>
      </c>
      <c r="N254" s="5" t="s">
        <v>35</v>
      </c>
      <c r="O254" s="4"/>
      <c r="P254" s="5" t="s">
        <v>36</v>
      </c>
      <c r="Q254" s="4"/>
      <c r="R254" s="4"/>
      <c r="S254" s="4"/>
      <c r="T254" s="4"/>
      <c r="U254" s="4"/>
      <c r="V254" s="4"/>
      <c r="W254" s="5" t="s">
        <v>138</v>
      </c>
      <c r="X254" s="5" t="s">
        <v>998</v>
      </c>
      <c r="Y254" s="4"/>
      <c r="Z254" s="4"/>
      <c r="AA254" s="5"/>
      <c r="AB254" s="5" t="s">
        <v>995</v>
      </c>
      <c r="AC254" s="4"/>
      <c r="AD254" s="4"/>
      <c r="AE254" s="5" t="s">
        <v>179</v>
      </c>
      <c r="AF254" s="5"/>
      <c r="AG254" s="4"/>
    </row>
    <row r="255" spans="1:33" ht="17.100000000000001" customHeight="1">
      <c r="A255" s="5" t="s">
        <v>1039</v>
      </c>
      <c r="B255" s="4"/>
      <c r="C255" s="4"/>
      <c r="D255" s="5" t="s">
        <v>58</v>
      </c>
      <c r="E255" s="13" t="str">
        <f t="shared" si="27"/>
        <v>Karl</v>
      </c>
      <c r="F255" s="13" t="str">
        <f t="array" ref="F255">_xlfn.LET(
 _xlpm.authors,_xlfn.TEXTBEFORE(A255," ("&amp;G255&amp;")"),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5" s="13" t="str">
        <f t="shared" si="28"/>
        <v>2024</v>
      </c>
      <c r="H255" s="13" t="str">
        <f t="shared" si="29"/>
        <v>Karl_etal_2024</v>
      </c>
      <c r="I255" s="13" t="str">
        <f t="shared" si="35"/>
        <v>10.1002%2Fcne.25669</v>
      </c>
      <c r="J255" s="13" t="str">
        <f t="shared" si="30"/>
        <v>Karl_etal_2024_TABLE1</v>
      </c>
      <c r="K255" s="13" t="str">
        <f t="shared" si="36"/>
        <v>10.1002%2Fcne.25669_TABLE1</v>
      </c>
      <c r="L255" s="13" t="str">
        <f t="array" ref="L255">IFERROR(INDEX(AUTO_Public_TSV_FileList!$A$1:$A$1000,MATCH(TRUE(),EXACT(K255,IFERROR(_xlfn.TEXTBEFORE(AUTO_Public_TSV_FileList!$A$1:$A$1000,".tsv"),"")),0)),"notfound")</f>
        <v>10.1002%2Fcne.25669_TABLE1.tsv</v>
      </c>
      <c r="M255" s="5" t="s">
        <v>1040</v>
      </c>
      <c r="N255" s="5" t="s">
        <v>35</v>
      </c>
      <c r="O255" s="4"/>
      <c r="P255" s="5" t="s">
        <v>36</v>
      </c>
      <c r="Q255" s="4"/>
      <c r="R255" s="4"/>
      <c r="S255" s="4"/>
      <c r="T255" s="4"/>
      <c r="U255" s="4"/>
      <c r="V255" s="4"/>
      <c r="W255" s="5" t="s">
        <v>138</v>
      </c>
      <c r="X255" s="5" t="s">
        <v>1041</v>
      </c>
      <c r="Y255" s="4"/>
      <c r="Z255" s="4"/>
      <c r="AA255" s="4"/>
      <c r="AB255" s="5" t="s">
        <v>1041</v>
      </c>
      <c r="AC255" s="4"/>
      <c r="AD255" s="4"/>
      <c r="AE255" s="5" t="s">
        <v>66</v>
      </c>
      <c r="AF255" s="5"/>
      <c r="AG255" s="4"/>
    </row>
    <row r="256" spans="1:33" ht="17.100000000000001" customHeight="1">
      <c r="A256" s="4" t="s">
        <v>1042</v>
      </c>
      <c r="B256" s="4"/>
      <c r="C256" s="4"/>
      <c r="D256" s="4" t="s">
        <v>1043</v>
      </c>
      <c r="E256" s="12" t="str">
        <f t="shared" si="27"/>
        <v>Karlsen</v>
      </c>
      <c r="F256" s="12" t="str">
        <f t="array" ref="F256">_xlfn.LET(
 _xlpm.authors,_xlfn.TEXTBEFORE(A256," ("&amp;G256&amp;")"),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256" s="12" t="str">
        <f t="shared" si="28"/>
        <v>2011</v>
      </c>
      <c r="H256" s="12" t="str">
        <f t="shared" si="29"/>
        <v>Karlsen_Pakkenberg_2011</v>
      </c>
      <c r="I256" s="12" t="str">
        <f t="shared" si="35"/>
        <v>10.1093%2Fcercor%2Fbhr033</v>
      </c>
      <c r="J256" s="12" t="str">
        <f t="shared" si="30"/>
        <v>Karlsen_Pakkenberg_2011_authordata(groupmeans)</v>
      </c>
      <c r="K256" s="12" t="str">
        <f>I256 &amp; "_" &amp; SUBSTITUTE(SUBSTITUTE(SUBSTITUTE(D256,CHAR(160),""), " ", ""), "_", "")</f>
        <v>10.1093%2Fcercor%2Fbhr033_authordata(groupmeans)</v>
      </c>
      <c r="L256" s="13" t="str">
        <f t="array" ref="L256">IFERROR(INDEX(AUTO_Public_TSV_FileList!$A$1:$A$1000,MATCH(TRUE(),EXACT(K256,IFERROR(_xlfn.TEXTBEFORE(AUTO_Public_TSV_FileList!$A$1:$A$1000,".tsv"),"")),0)),"notfound")</f>
        <v>10.1093%2Fcercor%2Fbhr033_authordata(groupmeans).tsv</v>
      </c>
      <c r="M256" s="4" t="s">
        <v>1044</v>
      </c>
      <c r="N256" s="4" t="s">
        <v>1045</v>
      </c>
      <c r="O256" s="4"/>
      <c r="P256" s="4" t="s">
        <v>36</v>
      </c>
      <c r="Q256" s="4" t="s">
        <v>1046</v>
      </c>
      <c r="R256" s="4"/>
      <c r="S256" s="4"/>
      <c r="T256" s="4"/>
      <c r="U256" s="4"/>
      <c r="V256" s="4"/>
      <c r="W256" s="4" t="s">
        <v>644</v>
      </c>
      <c r="X256" s="4"/>
      <c r="Y256" s="4"/>
      <c r="Z256" s="4" t="s">
        <v>1047</v>
      </c>
      <c r="AA256" s="4" t="s">
        <v>646</v>
      </c>
      <c r="AB256" s="4" t="s">
        <v>1048</v>
      </c>
      <c r="AC256" s="4" t="s">
        <v>1049</v>
      </c>
      <c r="AD256" s="4"/>
      <c r="AE256" s="4" t="s">
        <v>66</v>
      </c>
      <c r="AF256" s="4"/>
      <c r="AG256" s="4"/>
    </row>
    <row r="257" spans="1:33" ht="17.100000000000001" customHeight="1">
      <c r="A257" s="4" t="s">
        <v>1042</v>
      </c>
      <c r="B257" s="4"/>
      <c r="C257" s="4"/>
      <c r="D257" s="4" t="s">
        <v>1050</v>
      </c>
      <c r="E257" s="12" t="str">
        <f t="shared" ref="E257:E321" si="37">SUBSTITUTE(SUBSTITUTE(_xlfn.TEXTBEFORE(A257,","), "-", ""), " ", "")</f>
        <v>Karlsen</v>
      </c>
      <c r="F257" s="12" t="str">
        <f t="array" ref="F257">_xlfn.LET(
 _xlpm.authors,_xlfn.TEXTBEFORE(A257," ("&amp;G257&amp;")"),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257" s="12" t="str">
        <f t="shared" ref="G257:G321" si="38">_xlfn.TEXTBEFORE(_xlfn.TEXTAFTER(A257, "("), ")")</f>
        <v>2011</v>
      </c>
      <c r="H257" s="12" t="str">
        <f t="shared" ref="H257:H321" si="39">E257 &amp; IF(F257&lt;&gt;"", "_" &amp; F257, "_") &amp; IF(G257&lt;&gt;"", "_" &amp; G257, "_") &amp; IF(B257&lt;&gt;"", "_" &amp; B257, "")</f>
        <v>Karlsen_Pakkenberg_2011</v>
      </c>
      <c r="I257" s="12" t="str">
        <f t="shared" si="35"/>
        <v>10.1093%2Fcercor%2Fbhr033</v>
      </c>
      <c r="J257" s="12" t="str">
        <f t="shared" ref="J257:J321" si="40">TRIM(_xlfn.TEXTJOIN("_",FALSE(),H257,(SUBSTITUTE(SUBSTITUTE(D257," ",""), "_", ""))))</f>
        <v>Karlsen_Pakkenberg_2011_reportedvalues</v>
      </c>
      <c r="K257" s="12" t="str">
        <f>I257 &amp; "_" &amp; SUBSTITUTE(SUBSTITUTE(SUBSTITUTE(D257,CHAR(160),""), " ", ""), "_", "")</f>
        <v>10.1093%2Fcercor%2Fbhr033_reportedvalues</v>
      </c>
      <c r="L257" s="13" t="str">
        <f t="array" ref="L257">IFERROR(INDEX(AUTO_Public_TSV_FileList!$A$1:$A$1000,MATCH(TRUE(),EXACT(K257,IFERROR(_xlfn.TEXTBEFORE(AUTO_Public_TSV_FileList!$A$1:$A$1000,".tsv"),"")),0)),"notfound")</f>
        <v>10.1093%2Fcercor%2Fbhr033_reportedvalues.tsv</v>
      </c>
      <c r="M257" s="4" t="s">
        <v>1051</v>
      </c>
      <c r="N257" s="4" t="s">
        <v>1052</v>
      </c>
      <c r="O257" s="4"/>
      <c r="P257" s="4" t="s">
        <v>36</v>
      </c>
      <c r="Q257" s="4" t="s">
        <v>1053</v>
      </c>
      <c r="R257" s="4"/>
      <c r="S257" s="4"/>
      <c r="T257" s="4"/>
      <c r="U257" s="4"/>
      <c r="V257" s="4"/>
      <c r="W257" s="4" t="s">
        <v>644</v>
      </c>
      <c r="X257" s="4"/>
      <c r="Y257" s="4"/>
      <c r="Z257" s="4" t="s">
        <v>1054</v>
      </c>
      <c r="AA257" s="4" t="s">
        <v>646</v>
      </c>
      <c r="AB257" s="4" t="s">
        <v>1048</v>
      </c>
      <c r="AC257" s="4" t="s">
        <v>1049</v>
      </c>
      <c r="AD257" s="4"/>
      <c r="AE257" s="4" t="s">
        <v>66</v>
      </c>
      <c r="AF257" s="4"/>
      <c r="AG257" s="4"/>
    </row>
    <row r="258" spans="1:33" ht="17.100000000000001" customHeight="1">
      <c r="A258" s="4" t="s">
        <v>1042</v>
      </c>
      <c r="B258" s="4"/>
      <c r="C258" s="4"/>
      <c r="D258" s="4" t="s">
        <v>70</v>
      </c>
      <c r="E258" s="12" t="str">
        <f t="shared" si="37"/>
        <v>Karlsen</v>
      </c>
      <c r="F258" s="12" t="str">
        <f t="array" ref="F258">_xlfn.LET(
 _xlpm.authors,_xlfn.TEXTBEFORE(A258," ("&amp;G258&amp;")"),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258" s="12" t="str">
        <f t="shared" si="38"/>
        <v>2011</v>
      </c>
      <c r="H258" s="12" t="str">
        <f t="shared" si="39"/>
        <v>Karlsen_Pakkenberg_2011</v>
      </c>
      <c r="I258" s="12" t="str">
        <f t="shared" si="35"/>
        <v>10.1093%2Fcercor%2Fbhr033</v>
      </c>
      <c r="J258" s="12" t="str">
        <f t="shared" si="40"/>
        <v>Karlsen_Pakkenberg_2011_Table2</v>
      </c>
      <c r="K258" s="12" t="str">
        <f>I258 &amp; "_" &amp; SUBSTITUTE(SUBSTITUTE(SUBSTITUTE(D258,CHAR(160),""), " ", ""), "_", "")</f>
        <v>10.1093%2Fcercor%2Fbhr033_Table2</v>
      </c>
      <c r="L258" s="13" t="str">
        <f t="array" ref="L258">IFERROR(INDEX(AUTO_Public_TSV_FileList!$A$1:$A$1000,MATCH(TRUE(),EXACT(K258,IFERROR(_xlfn.TEXTBEFORE(AUTO_Public_TSV_FileList!$A$1:$A$1000,".tsv"),"")),0)),"notfound")</f>
        <v>10.1093%2Fcercor%2Fbhr033_Table2.tsv</v>
      </c>
      <c r="M258" s="4" t="s">
        <v>1055</v>
      </c>
      <c r="N258" s="4" t="s">
        <v>1056</v>
      </c>
      <c r="O258" s="4"/>
      <c r="P258" s="4" t="s">
        <v>36</v>
      </c>
      <c r="Q258" s="4" t="s">
        <v>1057</v>
      </c>
      <c r="R258" s="4"/>
      <c r="S258" s="4"/>
      <c r="T258" s="4"/>
      <c r="U258" s="4"/>
      <c r="V258" s="4"/>
      <c r="W258" s="4" t="s">
        <v>644</v>
      </c>
      <c r="X258" s="4"/>
      <c r="Y258" s="4"/>
      <c r="Z258" s="4" t="s">
        <v>1058</v>
      </c>
      <c r="AA258" s="4" t="s">
        <v>1059</v>
      </c>
      <c r="AB258" s="4" t="s">
        <v>90</v>
      </c>
      <c r="AC258" s="4" t="s">
        <v>1049</v>
      </c>
      <c r="AD258" s="4"/>
      <c r="AE258" s="4" t="s">
        <v>66</v>
      </c>
      <c r="AF258" s="4"/>
      <c r="AG258" s="4"/>
    </row>
    <row r="259" spans="1:33" ht="17.100000000000001" customHeight="1">
      <c r="A259" s="4" t="s">
        <v>1060</v>
      </c>
      <c r="B259" s="4"/>
      <c r="C259" s="4"/>
      <c r="D259" s="4" t="s">
        <v>1061</v>
      </c>
      <c r="E259" s="13" t="str">
        <f t="shared" si="37"/>
        <v>Kaskan</v>
      </c>
      <c r="F259" s="13" t="str">
        <f t="array" ref="F259">_xlfn.LET(
 _xlpm.authors,_xlfn.TEXTBEFORE(A259," ("&amp;G259&amp;")"),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59" s="13" t="str">
        <f t="shared" si="38"/>
        <v>2005</v>
      </c>
      <c r="H259" s="13" t="str">
        <f t="shared" si="39"/>
        <v>Kaskan_etal_2005</v>
      </c>
      <c r="I259" s="13" t="str">
        <f t="shared" si="35"/>
        <v>10.1098%2Frspb.2004.2925</v>
      </c>
      <c r="J259" s="13" t="str">
        <f t="shared" si="40"/>
        <v>Kaskan_etal_2005_Figure3a</v>
      </c>
      <c r="K259" s="13" t="str">
        <f t="shared" ref="K259:K308" si="41">I259 &amp; "_" &amp; SUBSTITUTE(SUBSTITUTE(SUBSTITUTE(D259,CHAR(160),"")," ",""),"_","")</f>
        <v>10.1098%2Frspb.2004.2925_Figure3a</v>
      </c>
      <c r="L259" s="13" t="str">
        <f t="array" ref="L259">IFERROR(INDEX(AUTO_Public_TSV_FileList!$A$1:$A$1000,MATCH(TRUE(),EXACT(K259,IFERROR(_xlfn.TEXTBEFORE(AUTO_Public_TSV_FileList!$A$1:$A$1000,".tsv"),"")),0)),"notfound")</f>
        <v>notfound</v>
      </c>
      <c r="M259" s="4" t="s">
        <v>1062</v>
      </c>
      <c r="N259" s="4"/>
      <c r="O259" s="4"/>
      <c r="P259" s="4" t="s">
        <v>36</v>
      </c>
      <c r="Q259" s="4"/>
      <c r="R259" s="4"/>
      <c r="S259" s="4"/>
      <c r="T259" s="4"/>
      <c r="U259" s="4"/>
      <c r="V259" s="4"/>
      <c r="W259" s="4"/>
      <c r="X259" s="4"/>
      <c r="Y259" s="4"/>
      <c r="Z259" s="4"/>
      <c r="AA259" s="4"/>
      <c r="AB259" s="4"/>
      <c r="AC259" s="4"/>
      <c r="AD259" s="4"/>
      <c r="AE259" s="4"/>
      <c r="AF259" s="4"/>
      <c r="AG259" s="4"/>
    </row>
    <row r="260" spans="1:33" ht="17.100000000000001" customHeight="1">
      <c r="A260" s="4" t="s">
        <v>1060</v>
      </c>
      <c r="B260" s="4"/>
      <c r="C260" s="4"/>
      <c r="D260" s="4" t="s">
        <v>1063</v>
      </c>
      <c r="E260" s="13" t="str">
        <f t="shared" ref="E260:E262" si="42">SUBSTITUTE(SUBSTITUTE(_xlfn.TEXTBEFORE(A260,","), "-", ""), " ", "")</f>
        <v>Kaskan</v>
      </c>
      <c r="F260" s="13" t="str">
        <f t="array" ref="F260">_xlfn.LET(
 _xlpm.authors,_xlfn.TEXTBEFORE(A260," ("&amp;G260&amp;")"),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0" s="13" t="str">
        <f t="shared" ref="G260:G262" si="43">_xlfn.TEXTBEFORE(_xlfn.TEXTAFTER(A260, "("), ")")</f>
        <v>2005</v>
      </c>
      <c r="H260" s="13" t="str">
        <f t="shared" ref="H260:H262" si="44">E260 &amp; IF(F260&lt;&gt;"", "_" &amp; F260, "_") &amp; IF(G260&lt;&gt;"", "_" &amp; G260, "_") &amp; IF(B260&lt;&gt;"", "_" &amp; B260, "")</f>
        <v>Kaskan_etal_2005</v>
      </c>
      <c r="I260" s="13" t="str">
        <f t="shared" ref="I260:I262" si="45">_xlfn.LET(
_xlpm.doi,IF(C260&lt;&gt;"",C260,_xlfn.TEXTAFTER(A260,"https://doi.org/")),
SUBSTITUTE(
SUBSTITUTE(
SUBSTITUTE(
SUBSTITUTE(
_xlpm.doi,
"/","%2F"),
":","%3A"),
"&lt;","%3C"),
"&gt;","%3E")
)</f>
        <v>10.1098%2Frspb.2004.2925</v>
      </c>
      <c r="J260" s="13" t="str">
        <f t="shared" ref="J260:J262" si="46">TRIM(_xlfn.TEXTJOIN("_",FALSE(),H260,(SUBSTITUTE(SUBSTITUTE(D260," ",""), "_", ""))))</f>
        <v>Kaskan_etal_2005_Figure3b</v>
      </c>
      <c r="K260" s="13" t="str">
        <f t="shared" ref="K260:K262" si="47">I260 &amp; "_" &amp; SUBSTITUTE(SUBSTITUTE(SUBSTITUTE(D260,CHAR(160),"")," ",""),"_","")</f>
        <v>10.1098%2Frspb.2004.2925_Figure3b</v>
      </c>
      <c r="L260" s="13" t="str">
        <f t="array" ref="L260">IFERROR(INDEX(AUTO_Public_TSV_FileList!$A$1:$A$1000,MATCH(TRUE(),EXACT(K260,IFERROR(_xlfn.TEXTBEFORE(AUTO_Public_TSV_FileList!$A$1:$A$1000,".tsv"),"")),0)),"notfound")</f>
        <v>notfound</v>
      </c>
      <c r="M260" s="4" t="s">
        <v>1064</v>
      </c>
      <c r="N260" s="4"/>
      <c r="O260" s="4"/>
      <c r="P260" s="4" t="s">
        <v>36</v>
      </c>
      <c r="Q260" s="4"/>
      <c r="R260" s="4"/>
      <c r="S260" s="4"/>
      <c r="T260" s="4"/>
      <c r="U260" s="4"/>
      <c r="V260" s="4"/>
      <c r="W260" s="4"/>
      <c r="X260" s="4"/>
      <c r="Y260" s="4"/>
      <c r="Z260" s="4"/>
      <c r="AA260" s="4"/>
      <c r="AB260" s="4"/>
      <c r="AC260" s="4"/>
      <c r="AD260" s="4"/>
      <c r="AE260" s="4"/>
      <c r="AF260" s="4"/>
      <c r="AG260" s="4"/>
    </row>
    <row r="261" spans="1:33" ht="17.100000000000001" customHeight="1">
      <c r="A261" s="4" t="s">
        <v>1060</v>
      </c>
      <c r="B261" s="4"/>
      <c r="C261" s="4"/>
      <c r="D261" s="4" t="s">
        <v>1065</v>
      </c>
      <c r="E261" s="13" t="str">
        <f t="shared" si="42"/>
        <v>Kaskan</v>
      </c>
      <c r="F261" s="13" t="str">
        <f t="array" ref="F261">_xlfn.LET(
 _xlpm.authors,_xlfn.TEXTBEFORE(A261," ("&amp;G261&amp;")"),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1" s="13" t="str">
        <f t="shared" si="43"/>
        <v>2005</v>
      </c>
      <c r="H261" s="13" t="str">
        <f t="shared" si="44"/>
        <v>Kaskan_etal_2005</v>
      </c>
      <c r="I261" s="13" t="str">
        <f t="shared" si="45"/>
        <v>10.1098%2Frspb.2004.2925</v>
      </c>
      <c r="J261" s="13" t="str">
        <f t="shared" si="46"/>
        <v>Kaskan_etal_2005_ElectronicAppendixA:Table1</v>
      </c>
      <c r="K261" s="13" t="str">
        <f t="shared" si="47"/>
        <v>10.1098%2Frspb.2004.2925_ElectronicAppendixA:Table1</v>
      </c>
      <c r="L261" s="13" t="str">
        <f t="array" ref="L261">IFERROR(INDEX(AUTO_Public_TSV_FileList!$A$1:$A$1000,MATCH(TRUE(),EXACT(K261,IFERROR(_xlfn.TEXTBEFORE(AUTO_Public_TSV_FileList!$A$1:$A$1000,".tsv"),"")),0)),"notfound")</f>
        <v>notfound</v>
      </c>
      <c r="M261" s="4" t="s">
        <v>1066</v>
      </c>
      <c r="N261" s="4"/>
      <c r="O261" s="4"/>
      <c r="P261" s="4" t="s">
        <v>36</v>
      </c>
      <c r="Q261" s="4"/>
      <c r="R261" s="4"/>
      <c r="S261" s="4"/>
      <c r="T261" s="4"/>
      <c r="U261" s="4"/>
      <c r="V261" s="4"/>
      <c r="W261" s="4"/>
      <c r="X261" s="4"/>
      <c r="Y261" s="4"/>
      <c r="Z261" s="4"/>
      <c r="AA261" s="4"/>
      <c r="AB261" s="4"/>
      <c r="AC261" s="4"/>
      <c r="AD261" s="4"/>
      <c r="AE261" s="4"/>
      <c r="AF261" s="4"/>
      <c r="AG261" s="4"/>
    </row>
    <row r="262" spans="1:33" ht="17.100000000000001" customHeight="1">
      <c r="A262" s="4" t="s">
        <v>1060</v>
      </c>
      <c r="B262" s="4"/>
      <c r="C262" s="4"/>
      <c r="D262" s="4" t="s">
        <v>1067</v>
      </c>
      <c r="E262" s="13" t="str">
        <f t="shared" si="42"/>
        <v>Kaskan</v>
      </c>
      <c r="F262" s="13" t="str">
        <f t="array" ref="F262">_xlfn.LET(
 _xlpm.authors,_xlfn.TEXTBEFORE(A262," ("&amp;G262&amp;")"),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62" s="13" t="str">
        <f t="shared" si="43"/>
        <v>2005</v>
      </c>
      <c r="H262" s="13" t="str">
        <f t="shared" si="44"/>
        <v>Kaskan_etal_2005</v>
      </c>
      <c r="I262" s="13" t="str">
        <f t="shared" si="45"/>
        <v>10.1098%2Frspb.2004.2925</v>
      </c>
      <c r="J262" s="13" t="str">
        <f t="shared" si="46"/>
        <v>Kaskan_etal_2005_ElectronicAppendixB</v>
      </c>
      <c r="K262" s="13" t="str">
        <f t="shared" si="47"/>
        <v>10.1098%2Frspb.2004.2925_ElectronicAppendixB</v>
      </c>
      <c r="L262" s="13" t="str">
        <f t="array" ref="L262">IFERROR(INDEX(AUTO_Public_TSV_FileList!$A$1:$A$1000,MATCH(TRUE(),EXACT(K262,IFERROR(_xlfn.TEXTBEFORE(AUTO_Public_TSV_FileList!$A$1:$A$1000,".tsv"),"")),0)),"notfound")</f>
        <v>notfound</v>
      </c>
      <c r="M262" s="4" t="s">
        <v>1068</v>
      </c>
      <c r="N262" s="4"/>
      <c r="O262" s="4"/>
      <c r="P262" s="4" t="s">
        <v>36</v>
      </c>
      <c r="Q262" s="4"/>
      <c r="R262" s="4"/>
      <c r="S262" s="4"/>
      <c r="T262" s="4"/>
      <c r="U262" s="4"/>
      <c r="V262" s="4"/>
      <c r="W262" s="4"/>
      <c r="X262" s="4"/>
      <c r="Y262" s="4"/>
      <c r="Z262" s="4"/>
      <c r="AA262" s="4"/>
      <c r="AB262" s="4"/>
      <c r="AC262" s="4"/>
      <c r="AD262" s="4"/>
      <c r="AE262" s="4"/>
      <c r="AF262" s="4"/>
      <c r="AG262" s="4"/>
    </row>
    <row r="263" spans="1:33" ht="17.100000000000001" customHeight="1">
      <c r="A263" s="5" t="s">
        <v>1069</v>
      </c>
      <c r="B263" s="4"/>
      <c r="C263" s="5" t="s">
        <v>1070</v>
      </c>
      <c r="D263" s="5" t="s">
        <v>1071</v>
      </c>
      <c r="E263" s="13" t="str">
        <f t="shared" si="37"/>
        <v>Kaufman</v>
      </c>
      <c r="F263" s="13" t="str">
        <f t="array" ref="F263">_xlfn.LET(
 _xlpm.authors,_xlfn.TEXTBEFORE(A263," ("&amp;G263&amp;")"),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3" s="13" t="str">
        <f t="shared" si="38"/>
        <v>2004</v>
      </c>
      <c r="H263" s="13" t="str">
        <f t="shared" si="39"/>
        <v>Kaufman__2004</v>
      </c>
      <c r="I263" s="13" t="str">
        <f t="shared" si="35"/>
        <v>UMI%3A3147447</v>
      </c>
      <c r="J263" s="13" t="str">
        <f t="shared" si="40"/>
        <v>Kaufman__2004_TableA1</v>
      </c>
      <c r="K263" s="13" t="str">
        <f t="shared" si="41"/>
        <v>UMI%3A3147447_TableA1</v>
      </c>
      <c r="L263" s="13" t="str">
        <f t="array" ref="L263">IFERROR(INDEX(AUTO_Public_TSV_FileList!$A$1:$A$1000,MATCH(TRUE(),EXACT(K263,IFERROR(_xlfn.TEXTBEFORE(AUTO_Public_TSV_FileList!$A$1:$A$1000,".tsv"),"")),0)),"notfound")</f>
        <v>UMI%3A3147447_TableA1.tsv</v>
      </c>
      <c r="M263" s="5" t="s">
        <v>1072</v>
      </c>
      <c r="N263" s="5" t="s">
        <v>35</v>
      </c>
      <c r="O263" s="4"/>
      <c r="P263" s="5" t="s">
        <v>36</v>
      </c>
      <c r="Q263" s="5"/>
      <c r="R263" s="4"/>
      <c r="S263" s="4"/>
      <c r="T263" s="4"/>
      <c r="U263" s="4"/>
      <c r="V263" s="4"/>
      <c r="W263" s="5" t="s">
        <v>138</v>
      </c>
      <c r="X263" s="5" t="s">
        <v>1073</v>
      </c>
      <c r="Y263" s="4"/>
      <c r="Z263" s="4"/>
      <c r="AA263" s="4"/>
      <c r="AB263" s="5" t="s">
        <v>1074</v>
      </c>
      <c r="AC263" s="4"/>
      <c r="AD263" s="4"/>
      <c r="AE263" s="5" t="s">
        <v>179</v>
      </c>
      <c r="AF263" s="5"/>
      <c r="AG263" s="4"/>
    </row>
    <row r="264" spans="1:33" ht="17.100000000000001" customHeight="1">
      <c r="A264" s="5" t="s">
        <v>1069</v>
      </c>
      <c r="B264" s="4"/>
      <c r="C264" s="5" t="s">
        <v>1070</v>
      </c>
      <c r="D264" s="5" t="s">
        <v>1075</v>
      </c>
      <c r="E264" s="13" t="str">
        <f t="shared" si="37"/>
        <v>Kaufman</v>
      </c>
      <c r="F264" s="13" t="str">
        <f t="array" ref="F264">_xlfn.LET(
 _xlpm.authors,_xlfn.TEXTBEFORE(A264," ("&amp;G264&amp;")"),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4" s="13" t="str">
        <f t="shared" si="38"/>
        <v>2004</v>
      </c>
      <c r="H264" s="13" t="str">
        <f t="shared" si="39"/>
        <v>Kaufman__2004</v>
      </c>
      <c r="I264" s="13" t="str">
        <f t="shared" si="35"/>
        <v>UMI%3A3147447</v>
      </c>
      <c r="J264" s="13" t="str">
        <f t="shared" si="40"/>
        <v>Kaufman__2004_TableA10</v>
      </c>
      <c r="K264" s="13" t="str">
        <f t="shared" si="41"/>
        <v>UMI%3A3147447_TableA10</v>
      </c>
      <c r="L264" s="13" t="str">
        <f t="array" ref="L264">IFERROR(INDEX(AUTO_Public_TSV_FileList!$A$1:$A$1000,MATCH(TRUE(),EXACT(K264,IFERROR(_xlfn.TEXTBEFORE(AUTO_Public_TSV_FileList!$A$1:$A$1000,".tsv"),"")),0)),"notfound")</f>
        <v>UMI%3A3147447_TableA10.tsv</v>
      </c>
      <c r="M264" s="5" t="s">
        <v>1076</v>
      </c>
      <c r="N264" s="5" t="s">
        <v>35</v>
      </c>
      <c r="O264" s="4"/>
      <c r="P264" s="5" t="s">
        <v>36</v>
      </c>
      <c r="Q264" s="5"/>
      <c r="R264" s="4"/>
      <c r="S264" s="4"/>
      <c r="T264" s="4"/>
      <c r="U264" s="4"/>
      <c r="V264" s="4"/>
      <c r="W264" s="5" t="s">
        <v>138</v>
      </c>
      <c r="X264" s="5" t="s">
        <v>1073</v>
      </c>
      <c r="Y264" s="4"/>
      <c r="Z264" s="4"/>
      <c r="AA264" s="4"/>
      <c r="AB264" s="5" t="s">
        <v>1074</v>
      </c>
      <c r="AC264" s="4"/>
      <c r="AD264" s="4"/>
      <c r="AE264" s="5" t="s">
        <v>179</v>
      </c>
      <c r="AF264" s="5"/>
      <c r="AG264" s="4"/>
    </row>
    <row r="265" spans="1:33" ht="17.100000000000001" customHeight="1">
      <c r="A265" s="5" t="s">
        <v>1069</v>
      </c>
      <c r="B265" s="4"/>
      <c r="C265" s="5" t="s">
        <v>1070</v>
      </c>
      <c r="D265" s="5" t="s">
        <v>1077</v>
      </c>
      <c r="E265" s="13" t="str">
        <f t="shared" si="37"/>
        <v>Kaufman</v>
      </c>
      <c r="F265" s="13" t="str">
        <f t="array" ref="F265">_xlfn.LET(
 _xlpm.authors,_xlfn.TEXTBEFORE(A265," ("&amp;G265&amp;")"),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5" s="13" t="str">
        <f t="shared" si="38"/>
        <v>2004</v>
      </c>
      <c r="H265" s="13" t="str">
        <f t="shared" si="39"/>
        <v>Kaufman__2004</v>
      </c>
      <c r="I265" s="13" t="str">
        <f t="shared" si="35"/>
        <v>UMI%3A3147447</v>
      </c>
      <c r="J265" s="13" t="str">
        <f t="shared" si="40"/>
        <v>Kaufman__2004_TableA11</v>
      </c>
      <c r="K265" s="13" t="str">
        <f t="shared" si="41"/>
        <v>UMI%3A3147447_TableA11</v>
      </c>
      <c r="L265" s="13" t="str">
        <f t="array" ref="L265">IFERROR(INDEX(AUTO_Public_TSV_FileList!$A$1:$A$1000,MATCH(TRUE(),EXACT(K265,IFERROR(_xlfn.TEXTBEFORE(AUTO_Public_TSV_FileList!$A$1:$A$1000,".tsv"),"")),0)),"notfound")</f>
        <v>UMI%3A3147447_TableA11.tsv</v>
      </c>
      <c r="M265" s="5" t="s">
        <v>1078</v>
      </c>
      <c r="N265" s="5" t="s">
        <v>35</v>
      </c>
      <c r="O265" s="4"/>
      <c r="P265" s="5" t="s">
        <v>36</v>
      </c>
      <c r="Q265" s="5"/>
      <c r="R265" s="4"/>
      <c r="S265" s="4"/>
      <c r="T265" s="4"/>
      <c r="U265" s="4"/>
      <c r="V265" s="4"/>
      <c r="W265" s="5" t="s">
        <v>138</v>
      </c>
      <c r="X265" s="5" t="s">
        <v>1073</v>
      </c>
      <c r="Y265" s="4"/>
      <c r="Z265" s="4"/>
      <c r="AA265" s="4"/>
      <c r="AB265" s="5" t="s">
        <v>1074</v>
      </c>
      <c r="AC265" s="4"/>
      <c r="AD265" s="4"/>
      <c r="AE265" s="5" t="s">
        <v>179</v>
      </c>
      <c r="AF265" s="5"/>
      <c r="AG265" s="4"/>
    </row>
    <row r="266" spans="1:33" ht="17.100000000000001" customHeight="1">
      <c r="A266" s="5" t="s">
        <v>1069</v>
      </c>
      <c r="B266" s="4"/>
      <c r="C266" s="5" t="s">
        <v>1070</v>
      </c>
      <c r="D266" s="5" t="s">
        <v>1079</v>
      </c>
      <c r="E266" s="13" t="str">
        <f t="shared" si="37"/>
        <v>Kaufman</v>
      </c>
      <c r="F266" s="13" t="str">
        <f t="array" ref="F266">_xlfn.LET(
 _xlpm.authors,_xlfn.TEXTBEFORE(A266," ("&amp;G266&amp;")"),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6" s="13" t="str">
        <f t="shared" si="38"/>
        <v>2004</v>
      </c>
      <c r="H266" s="13" t="str">
        <f t="shared" si="39"/>
        <v>Kaufman__2004</v>
      </c>
      <c r="I266" s="13" t="str">
        <f t="shared" si="35"/>
        <v>UMI%3A3147447</v>
      </c>
      <c r="J266" s="13" t="str">
        <f t="shared" si="40"/>
        <v>Kaufman__2004_TableA12</v>
      </c>
      <c r="K266" s="13" t="str">
        <f t="shared" si="41"/>
        <v>UMI%3A3147447_TableA12</v>
      </c>
      <c r="L266" s="13" t="str">
        <f t="array" ref="L266">IFERROR(INDEX(AUTO_Public_TSV_FileList!$A$1:$A$1000,MATCH(TRUE(),EXACT(K266,IFERROR(_xlfn.TEXTBEFORE(AUTO_Public_TSV_FileList!$A$1:$A$1000,".tsv"),"")),0)),"notfound")</f>
        <v>UMI%3A3147447_TableA12.tsv</v>
      </c>
      <c r="M266" s="5" t="s">
        <v>1080</v>
      </c>
      <c r="N266" s="5" t="s">
        <v>35</v>
      </c>
      <c r="O266" s="4"/>
      <c r="P266" s="5" t="s">
        <v>36</v>
      </c>
      <c r="Q266" s="5"/>
      <c r="R266" s="4"/>
      <c r="S266" s="4"/>
      <c r="T266" s="4"/>
      <c r="U266" s="4"/>
      <c r="V266" s="4"/>
      <c r="W266" s="5" t="s">
        <v>138</v>
      </c>
      <c r="X266" s="5" t="s">
        <v>1073</v>
      </c>
      <c r="Y266" s="4"/>
      <c r="Z266" s="4"/>
      <c r="AA266" s="4"/>
      <c r="AB266" s="5" t="s">
        <v>1074</v>
      </c>
      <c r="AC266" s="4"/>
      <c r="AD266" s="4"/>
      <c r="AE266" s="5" t="s">
        <v>179</v>
      </c>
      <c r="AF266" s="5"/>
      <c r="AG266" s="4"/>
    </row>
    <row r="267" spans="1:33" ht="17.100000000000001" customHeight="1">
      <c r="A267" s="5" t="s">
        <v>1069</v>
      </c>
      <c r="B267" s="4"/>
      <c r="C267" s="5" t="s">
        <v>1070</v>
      </c>
      <c r="D267" s="5" t="s">
        <v>1081</v>
      </c>
      <c r="E267" s="13" t="str">
        <f t="shared" si="37"/>
        <v>Kaufman</v>
      </c>
      <c r="F267" s="13" t="str">
        <f t="array" ref="F267">_xlfn.LET(
 _xlpm.authors,_xlfn.TEXTBEFORE(A267," ("&amp;G267&amp;")"),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7" s="13" t="str">
        <f t="shared" si="38"/>
        <v>2004</v>
      </c>
      <c r="H267" s="13" t="str">
        <f t="shared" si="39"/>
        <v>Kaufman__2004</v>
      </c>
      <c r="I267" s="13" t="str">
        <f t="shared" si="35"/>
        <v>UMI%3A3147447</v>
      </c>
      <c r="J267" s="13" t="str">
        <f t="shared" si="40"/>
        <v>Kaufman__2004_TableA13</v>
      </c>
      <c r="K267" s="13" t="str">
        <f t="shared" si="41"/>
        <v>UMI%3A3147447_TableA13</v>
      </c>
      <c r="L267" s="13" t="str">
        <f t="array" ref="L267">IFERROR(INDEX(AUTO_Public_TSV_FileList!$A$1:$A$1000,MATCH(TRUE(),EXACT(K267,IFERROR(_xlfn.TEXTBEFORE(AUTO_Public_TSV_FileList!$A$1:$A$1000,".tsv"),"")),0)),"notfound")</f>
        <v>UMI%3A3147447_TableA13.tsv</v>
      </c>
      <c r="M267" s="5" t="s">
        <v>1082</v>
      </c>
      <c r="N267" s="5" t="s">
        <v>35</v>
      </c>
      <c r="O267" s="4"/>
      <c r="P267" s="5" t="s">
        <v>36</v>
      </c>
      <c r="Q267" s="5"/>
      <c r="R267" s="4"/>
      <c r="S267" s="4"/>
      <c r="T267" s="4"/>
      <c r="U267" s="4"/>
      <c r="V267" s="4"/>
      <c r="W267" s="5" t="s">
        <v>138</v>
      </c>
      <c r="X267" s="5" t="s">
        <v>1073</v>
      </c>
      <c r="Y267" s="4"/>
      <c r="Z267" s="4"/>
      <c r="AA267" s="4"/>
      <c r="AB267" s="5" t="s">
        <v>1074</v>
      </c>
      <c r="AC267" s="4"/>
      <c r="AD267" s="4"/>
      <c r="AE267" s="5" t="s">
        <v>179</v>
      </c>
      <c r="AF267" s="5"/>
      <c r="AG267" s="4"/>
    </row>
    <row r="268" spans="1:33" ht="17.100000000000001" customHeight="1">
      <c r="A268" s="5" t="s">
        <v>1069</v>
      </c>
      <c r="B268" s="4"/>
      <c r="C268" s="5" t="s">
        <v>1070</v>
      </c>
      <c r="D268" s="5" t="s">
        <v>1083</v>
      </c>
      <c r="E268" s="13" t="str">
        <f t="shared" si="37"/>
        <v>Kaufman</v>
      </c>
      <c r="F268" s="13" t="str">
        <f t="array" ref="F268">_xlfn.LET(
 _xlpm.authors,_xlfn.TEXTBEFORE(A268," ("&amp;G268&amp;")"),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8" s="13" t="str">
        <f t="shared" si="38"/>
        <v>2004</v>
      </c>
      <c r="H268" s="13" t="str">
        <f t="shared" si="39"/>
        <v>Kaufman__2004</v>
      </c>
      <c r="I268" s="13" t="str">
        <f t="shared" si="35"/>
        <v>UMI%3A3147447</v>
      </c>
      <c r="J268" s="13" t="str">
        <f t="shared" si="40"/>
        <v>Kaufman__2004_TableA14</v>
      </c>
      <c r="K268" s="13" t="str">
        <f t="shared" si="41"/>
        <v>UMI%3A3147447_TableA14</v>
      </c>
      <c r="L268" s="13" t="str">
        <f t="array" ref="L268">IFERROR(INDEX(AUTO_Public_TSV_FileList!$A$1:$A$1000,MATCH(TRUE(),EXACT(K268,IFERROR(_xlfn.TEXTBEFORE(AUTO_Public_TSV_FileList!$A$1:$A$1000,".tsv"),"")),0)),"notfound")</f>
        <v>UMI%3A3147447_TableA14.tsv</v>
      </c>
      <c r="M268" s="5" t="s">
        <v>1084</v>
      </c>
      <c r="N268" s="5" t="s">
        <v>35</v>
      </c>
      <c r="O268" s="4"/>
      <c r="P268" s="5" t="s">
        <v>36</v>
      </c>
      <c r="Q268" s="5"/>
      <c r="R268" s="4"/>
      <c r="S268" s="4"/>
      <c r="T268" s="4"/>
      <c r="U268" s="4"/>
      <c r="V268" s="4"/>
      <c r="W268" s="5" t="s">
        <v>138</v>
      </c>
      <c r="X268" s="5" t="s">
        <v>1073</v>
      </c>
      <c r="Y268" s="4"/>
      <c r="Z268" s="4"/>
      <c r="AA268" s="4"/>
      <c r="AB268" s="5" t="s">
        <v>1074</v>
      </c>
      <c r="AC268" s="4"/>
      <c r="AD268" s="4"/>
      <c r="AE268" s="5" t="s">
        <v>179</v>
      </c>
      <c r="AF268" s="5"/>
      <c r="AG268" s="4"/>
    </row>
    <row r="269" spans="1:33" ht="17.100000000000001" customHeight="1">
      <c r="A269" s="5" t="s">
        <v>1069</v>
      </c>
      <c r="B269" s="4"/>
      <c r="C269" s="5" t="s">
        <v>1070</v>
      </c>
      <c r="D269" s="5" t="s">
        <v>1085</v>
      </c>
      <c r="E269" s="13" t="str">
        <f t="shared" si="37"/>
        <v>Kaufman</v>
      </c>
      <c r="F269" s="13" t="str">
        <f t="array" ref="F269">_xlfn.LET(
 _xlpm.authors,_xlfn.TEXTBEFORE(A269," ("&amp;G269&amp;")"),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69" s="13" t="str">
        <f t="shared" si="38"/>
        <v>2004</v>
      </c>
      <c r="H269" s="13" t="str">
        <f t="shared" si="39"/>
        <v>Kaufman__2004</v>
      </c>
      <c r="I269" s="13" t="str">
        <f t="shared" si="35"/>
        <v>UMI%3A3147447</v>
      </c>
      <c r="J269" s="13" t="str">
        <f t="shared" si="40"/>
        <v>Kaufman__2004_TableA15</v>
      </c>
      <c r="K269" s="13" t="str">
        <f t="shared" si="41"/>
        <v>UMI%3A3147447_TableA15</v>
      </c>
      <c r="L269" s="13" t="str">
        <f t="array" ref="L269">IFERROR(INDEX(AUTO_Public_TSV_FileList!$A$1:$A$1000,MATCH(TRUE(),EXACT(K269,IFERROR(_xlfn.TEXTBEFORE(AUTO_Public_TSV_FileList!$A$1:$A$1000,".tsv"),"")),0)),"notfound")</f>
        <v>UMI%3A3147447_TableA15.tsv</v>
      </c>
      <c r="M269" s="5" t="s">
        <v>1086</v>
      </c>
      <c r="N269" s="5" t="s">
        <v>35</v>
      </c>
      <c r="O269" s="4"/>
      <c r="P269" s="5" t="s">
        <v>36</v>
      </c>
      <c r="Q269" s="5"/>
      <c r="R269" s="4"/>
      <c r="S269" s="4"/>
      <c r="T269" s="4"/>
      <c r="U269" s="4"/>
      <c r="V269" s="4"/>
      <c r="W269" s="5" t="s">
        <v>138</v>
      </c>
      <c r="X269" s="5" t="s">
        <v>1073</v>
      </c>
      <c r="Y269" s="4"/>
      <c r="Z269" s="4"/>
      <c r="AA269" s="4"/>
      <c r="AB269" s="5" t="s">
        <v>1074</v>
      </c>
      <c r="AC269" s="4"/>
      <c r="AD269" s="4"/>
      <c r="AE269" s="5" t="s">
        <v>179</v>
      </c>
      <c r="AF269" s="5"/>
      <c r="AG269" s="4"/>
    </row>
    <row r="270" spans="1:33" ht="17.100000000000001" customHeight="1">
      <c r="A270" s="5" t="s">
        <v>1069</v>
      </c>
      <c r="B270" s="4"/>
      <c r="C270" s="5" t="s">
        <v>1070</v>
      </c>
      <c r="D270" s="5" t="s">
        <v>1087</v>
      </c>
      <c r="E270" s="13" t="str">
        <f t="shared" si="37"/>
        <v>Kaufman</v>
      </c>
      <c r="F270" s="13" t="str">
        <f t="array" ref="F270">_xlfn.LET(
 _xlpm.authors,_xlfn.TEXTBEFORE(A270," ("&amp;G270&amp;")"),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0" s="13" t="str">
        <f t="shared" si="38"/>
        <v>2004</v>
      </c>
      <c r="H270" s="13" t="str">
        <f t="shared" si="39"/>
        <v>Kaufman__2004</v>
      </c>
      <c r="I270" s="13" t="str">
        <f t="shared" si="35"/>
        <v>UMI%3A3147447</v>
      </c>
      <c r="J270" s="13" t="str">
        <f t="shared" si="40"/>
        <v>Kaufman__2004_TableA2</v>
      </c>
      <c r="K270" s="13" t="str">
        <f t="shared" si="41"/>
        <v>UMI%3A3147447_TableA2</v>
      </c>
      <c r="L270" s="13" t="str">
        <f t="array" ref="L270">IFERROR(INDEX(AUTO_Public_TSV_FileList!$A$1:$A$1000,MATCH(TRUE(),EXACT(K270,IFERROR(_xlfn.TEXTBEFORE(AUTO_Public_TSV_FileList!$A$1:$A$1000,".tsv"),"")),0)),"notfound")</f>
        <v>UMI%3A3147447_TableA2.tsv</v>
      </c>
      <c r="M270" s="5" t="s">
        <v>1088</v>
      </c>
      <c r="N270" s="5" t="s">
        <v>35</v>
      </c>
      <c r="O270" s="4"/>
      <c r="P270" s="5" t="s">
        <v>36</v>
      </c>
      <c r="Q270" s="5"/>
      <c r="R270" s="4"/>
      <c r="S270" s="4"/>
      <c r="T270" s="4"/>
      <c r="U270" s="4"/>
      <c r="V270" s="4"/>
      <c r="W270" s="5" t="s">
        <v>138</v>
      </c>
      <c r="X270" s="5" t="s">
        <v>1073</v>
      </c>
      <c r="Y270" s="4"/>
      <c r="Z270" s="4"/>
      <c r="AA270" s="4"/>
      <c r="AB270" s="5" t="s">
        <v>1074</v>
      </c>
      <c r="AC270" s="4"/>
      <c r="AD270" s="4"/>
      <c r="AE270" s="5" t="s">
        <v>179</v>
      </c>
      <c r="AF270" s="5"/>
      <c r="AG270" s="4"/>
    </row>
    <row r="271" spans="1:33" ht="17.100000000000001" customHeight="1">
      <c r="A271" s="5" t="s">
        <v>1069</v>
      </c>
      <c r="B271" s="4"/>
      <c r="C271" s="5" t="s">
        <v>1070</v>
      </c>
      <c r="D271" s="5" t="s">
        <v>1089</v>
      </c>
      <c r="E271" s="13" t="str">
        <f t="shared" si="37"/>
        <v>Kaufman</v>
      </c>
      <c r="F271" s="13" t="str">
        <f t="array" ref="F271">_xlfn.LET(
 _xlpm.authors,_xlfn.TEXTBEFORE(A271," ("&amp;G271&amp;")"),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1" s="13" t="str">
        <f t="shared" si="38"/>
        <v>2004</v>
      </c>
      <c r="H271" s="13" t="str">
        <f t="shared" si="39"/>
        <v>Kaufman__2004</v>
      </c>
      <c r="I271" s="13" t="str">
        <f t="shared" si="35"/>
        <v>UMI%3A3147447</v>
      </c>
      <c r="J271" s="13" t="str">
        <f t="shared" si="40"/>
        <v>Kaufman__2004_TableA3</v>
      </c>
      <c r="K271" s="13" t="str">
        <f t="shared" si="41"/>
        <v>UMI%3A3147447_TableA3</v>
      </c>
      <c r="L271" s="13" t="str">
        <f t="array" ref="L271">IFERROR(INDEX(AUTO_Public_TSV_FileList!$A$1:$A$1000,MATCH(TRUE(),EXACT(K271,IFERROR(_xlfn.TEXTBEFORE(AUTO_Public_TSV_FileList!$A$1:$A$1000,".tsv"),"")),0)),"notfound")</f>
        <v>UMI%3A3147447_TableA3.tsv</v>
      </c>
      <c r="M271" s="5" t="s">
        <v>1090</v>
      </c>
      <c r="N271" s="5" t="s">
        <v>35</v>
      </c>
      <c r="O271" s="4"/>
      <c r="P271" s="5" t="s">
        <v>36</v>
      </c>
      <c r="Q271" s="5"/>
      <c r="R271" s="4"/>
      <c r="S271" s="4"/>
      <c r="T271" s="4"/>
      <c r="U271" s="4"/>
      <c r="V271" s="4"/>
      <c r="W271" s="5" t="s">
        <v>138</v>
      </c>
      <c r="X271" s="5" t="s">
        <v>1073</v>
      </c>
      <c r="Y271" s="4"/>
      <c r="Z271" s="4"/>
      <c r="AA271" s="4"/>
      <c r="AB271" s="5" t="s">
        <v>1074</v>
      </c>
      <c r="AC271" s="4"/>
      <c r="AD271" s="4"/>
      <c r="AE271" s="5" t="s">
        <v>179</v>
      </c>
      <c r="AF271" s="5"/>
      <c r="AG271" s="4"/>
    </row>
    <row r="272" spans="1:33" ht="17.100000000000001" customHeight="1">
      <c r="A272" s="5" t="s">
        <v>1069</v>
      </c>
      <c r="B272" s="4"/>
      <c r="C272" s="5" t="s">
        <v>1070</v>
      </c>
      <c r="D272" s="5" t="s">
        <v>1091</v>
      </c>
      <c r="E272" s="13" t="str">
        <f t="shared" si="37"/>
        <v>Kaufman</v>
      </c>
      <c r="F272" s="13" t="str">
        <f t="array" ref="F272">_xlfn.LET(
 _xlpm.authors,_xlfn.TEXTBEFORE(A272," ("&amp;G272&amp;")"),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2" s="13" t="str">
        <f t="shared" si="38"/>
        <v>2004</v>
      </c>
      <c r="H272" s="13" t="str">
        <f t="shared" si="39"/>
        <v>Kaufman__2004</v>
      </c>
      <c r="I272" s="13" t="str">
        <f t="shared" si="35"/>
        <v>UMI%3A3147447</v>
      </c>
      <c r="J272" s="13" t="str">
        <f t="shared" si="40"/>
        <v>Kaufman__2004_TableA4</v>
      </c>
      <c r="K272" s="13" t="str">
        <f t="shared" si="41"/>
        <v>UMI%3A3147447_TableA4</v>
      </c>
      <c r="L272" s="13" t="str">
        <f t="array" ref="L272">IFERROR(INDEX(AUTO_Public_TSV_FileList!$A$1:$A$1000,MATCH(TRUE(),EXACT(K272,IFERROR(_xlfn.TEXTBEFORE(AUTO_Public_TSV_FileList!$A$1:$A$1000,".tsv"),"")),0)),"notfound")</f>
        <v>UMI%3A3147447_TableA4.tsv</v>
      </c>
      <c r="M272" s="5" t="s">
        <v>1092</v>
      </c>
      <c r="N272" s="5" t="s">
        <v>35</v>
      </c>
      <c r="O272" s="4"/>
      <c r="P272" s="5" t="s">
        <v>36</v>
      </c>
      <c r="Q272" s="5"/>
      <c r="R272" s="4"/>
      <c r="S272" s="4"/>
      <c r="T272" s="4"/>
      <c r="U272" s="4"/>
      <c r="V272" s="4"/>
      <c r="W272" s="5" t="s">
        <v>138</v>
      </c>
      <c r="X272" s="5" t="s">
        <v>1073</v>
      </c>
      <c r="Y272" s="4"/>
      <c r="Z272" s="4"/>
      <c r="AA272" s="4"/>
      <c r="AB272" s="5" t="s">
        <v>1074</v>
      </c>
      <c r="AC272" s="4"/>
      <c r="AD272" s="4"/>
      <c r="AE272" s="5" t="s">
        <v>179</v>
      </c>
      <c r="AF272" s="5"/>
      <c r="AG272" s="4"/>
    </row>
    <row r="273" spans="1:33" ht="17.100000000000001" customHeight="1">
      <c r="A273" s="5" t="s">
        <v>1069</v>
      </c>
      <c r="B273" s="4"/>
      <c r="C273" s="5" t="s">
        <v>1070</v>
      </c>
      <c r="D273" s="5" t="s">
        <v>1093</v>
      </c>
      <c r="E273" s="13" t="str">
        <f t="shared" si="37"/>
        <v>Kaufman</v>
      </c>
      <c r="F273" s="13" t="str">
        <f t="array" ref="F273">_xlfn.LET(
 _xlpm.authors,_xlfn.TEXTBEFORE(A273," ("&amp;G273&amp;")"),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3" s="13" t="str">
        <f t="shared" si="38"/>
        <v>2004</v>
      </c>
      <c r="H273" s="13" t="str">
        <f t="shared" si="39"/>
        <v>Kaufman__2004</v>
      </c>
      <c r="I273" s="13" t="str">
        <f t="shared" si="35"/>
        <v>UMI%3A3147447</v>
      </c>
      <c r="J273" s="13" t="str">
        <f t="shared" si="40"/>
        <v>Kaufman__2004_TableA5</v>
      </c>
      <c r="K273" s="13" t="str">
        <f t="shared" si="41"/>
        <v>UMI%3A3147447_TableA5</v>
      </c>
      <c r="L273" s="13" t="str">
        <f t="array" ref="L273">IFERROR(INDEX(AUTO_Public_TSV_FileList!$A$1:$A$1000,MATCH(TRUE(),EXACT(K273,IFERROR(_xlfn.TEXTBEFORE(AUTO_Public_TSV_FileList!$A$1:$A$1000,".tsv"),"")),0)),"notfound")</f>
        <v>UMI%3A3147447_TableA5.tsv</v>
      </c>
      <c r="M273" s="5" t="s">
        <v>1094</v>
      </c>
      <c r="N273" s="5" t="s">
        <v>35</v>
      </c>
      <c r="O273" s="4"/>
      <c r="P273" s="5" t="s">
        <v>36</v>
      </c>
      <c r="Q273" s="5"/>
      <c r="R273" s="4"/>
      <c r="S273" s="4"/>
      <c r="T273" s="4"/>
      <c r="U273" s="4"/>
      <c r="V273" s="4"/>
      <c r="W273" s="5" t="s">
        <v>138</v>
      </c>
      <c r="X273" s="5" t="s">
        <v>1073</v>
      </c>
      <c r="Y273" s="4"/>
      <c r="Z273" s="4"/>
      <c r="AA273" s="4"/>
      <c r="AB273" s="5" t="s">
        <v>1074</v>
      </c>
      <c r="AC273" s="4"/>
      <c r="AD273" s="4"/>
      <c r="AE273" s="5" t="s">
        <v>179</v>
      </c>
      <c r="AF273" s="5"/>
      <c r="AG273" s="4"/>
    </row>
    <row r="274" spans="1:33" ht="17.100000000000001" customHeight="1">
      <c r="A274" s="5" t="s">
        <v>1069</v>
      </c>
      <c r="B274" s="4"/>
      <c r="C274" s="5" t="s">
        <v>1070</v>
      </c>
      <c r="D274" s="5" t="s">
        <v>1095</v>
      </c>
      <c r="E274" s="13" t="str">
        <f t="shared" si="37"/>
        <v>Kaufman</v>
      </c>
      <c r="F274" s="13" t="str">
        <f t="array" ref="F274">_xlfn.LET(
 _xlpm.authors,_xlfn.TEXTBEFORE(A274," ("&amp;G274&amp;")"),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4" s="13" t="str">
        <f t="shared" si="38"/>
        <v>2004</v>
      </c>
      <c r="H274" s="13" t="str">
        <f t="shared" si="39"/>
        <v>Kaufman__2004</v>
      </c>
      <c r="I274" s="13" t="str">
        <f t="shared" si="35"/>
        <v>UMI%3A3147447</v>
      </c>
      <c r="J274" s="13" t="str">
        <f t="shared" si="40"/>
        <v>Kaufman__2004_TableA6</v>
      </c>
      <c r="K274" s="13" t="str">
        <f t="shared" si="41"/>
        <v>UMI%3A3147447_TableA6</v>
      </c>
      <c r="L274" s="13" t="str">
        <f t="array" ref="L274">IFERROR(INDEX(AUTO_Public_TSV_FileList!$A$1:$A$1000,MATCH(TRUE(),EXACT(K274,IFERROR(_xlfn.TEXTBEFORE(AUTO_Public_TSV_FileList!$A$1:$A$1000,".tsv"),"")),0)),"notfound")</f>
        <v>UMI%3A3147447_TableA6.tsv</v>
      </c>
      <c r="M274" s="5" t="s">
        <v>1096</v>
      </c>
      <c r="N274" s="5" t="s">
        <v>35</v>
      </c>
      <c r="O274" s="4"/>
      <c r="P274" s="5" t="s">
        <v>36</v>
      </c>
      <c r="Q274" s="5"/>
      <c r="R274" s="4"/>
      <c r="S274" s="4"/>
      <c r="T274" s="4"/>
      <c r="U274" s="4"/>
      <c r="V274" s="4"/>
      <c r="W274" s="5" t="s">
        <v>138</v>
      </c>
      <c r="X274" s="5" t="s">
        <v>1073</v>
      </c>
      <c r="Y274" s="4"/>
      <c r="Z274" s="4"/>
      <c r="AA274" s="4"/>
      <c r="AB274" s="5" t="s">
        <v>1074</v>
      </c>
      <c r="AC274" s="4"/>
      <c r="AD274" s="4"/>
      <c r="AE274" s="5" t="s">
        <v>179</v>
      </c>
      <c r="AF274" s="5"/>
      <c r="AG274" s="4"/>
    </row>
    <row r="275" spans="1:33" ht="17.100000000000001" customHeight="1">
      <c r="A275" s="5" t="s">
        <v>1069</v>
      </c>
      <c r="B275" s="4"/>
      <c r="C275" s="5" t="s">
        <v>1070</v>
      </c>
      <c r="D275" s="5" t="s">
        <v>1097</v>
      </c>
      <c r="E275" s="13" t="str">
        <f t="shared" si="37"/>
        <v>Kaufman</v>
      </c>
      <c r="F275" s="13" t="str">
        <f t="array" ref="F275">_xlfn.LET(
 _xlpm.authors,_xlfn.TEXTBEFORE(A275," ("&amp;G275&amp;")"),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5" s="13" t="str">
        <f t="shared" si="38"/>
        <v>2004</v>
      </c>
      <c r="H275" s="13" t="str">
        <f t="shared" si="39"/>
        <v>Kaufman__2004</v>
      </c>
      <c r="I275" s="13" t="str">
        <f t="shared" si="35"/>
        <v>UMI%3A3147447</v>
      </c>
      <c r="J275" s="13" t="str">
        <f t="shared" si="40"/>
        <v>Kaufman__2004_TableA7</v>
      </c>
      <c r="K275" s="13" t="str">
        <f t="shared" si="41"/>
        <v>UMI%3A3147447_TableA7</v>
      </c>
      <c r="L275" s="13" t="str">
        <f t="array" ref="L275">IFERROR(INDEX(AUTO_Public_TSV_FileList!$A$1:$A$1000,MATCH(TRUE(),EXACT(K275,IFERROR(_xlfn.TEXTBEFORE(AUTO_Public_TSV_FileList!$A$1:$A$1000,".tsv"),"")),0)),"notfound")</f>
        <v>UMI%3A3147447_TableA7.tsv</v>
      </c>
      <c r="M275" s="5" t="s">
        <v>1098</v>
      </c>
      <c r="N275" s="5" t="s">
        <v>35</v>
      </c>
      <c r="O275" s="4"/>
      <c r="P275" s="5" t="s">
        <v>36</v>
      </c>
      <c r="Q275" s="5"/>
      <c r="R275" s="4"/>
      <c r="S275" s="4"/>
      <c r="T275" s="4"/>
      <c r="U275" s="4"/>
      <c r="V275" s="4"/>
      <c r="W275" s="5" t="s">
        <v>138</v>
      </c>
      <c r="X275" s="5" t="s">
        <v>1073</v>
      </c>
      <c r="Y275" s="4"/>
      <c r="Z275" s="4"/>
      <c r="AA275" s="4"/>
      <c r="AB275" s="5" t="s">
        <v>1074</v>
      </c>
      <c r="AC275" s="4"/>
      <c r="AD275" s="4"/>
      <c r="AE275" s="5" t="s">
        <v>179</v>
      </c>
      <c r="AF275" s="5"/>
      <c r="AG275" s="4"/>
    </row>
    <row r="276" spans="1:33" ht="17.100000000000001" customHeight="1">
      <c r="A276" s="5" t="s">
        <v>1069</v>
      </c>
      <c r="B276" s="4"/>
      <c r="C276" s="5" t="s">
        <v>1070</v>
      </c>
      <c r="D276" s="5" t="s">
        <v>1099</v>
      </c>
      <c r="E276" s="13" t="str">
        <f t="shared" si="37"/>
        <v>Kaufman</v>
      </c>
      <c r="F276" s="13" t="str">
        <f t="array" ref="F276">_xlfn.LET(
 _xlpm.authors,_xlfn.TEXTBEFORE(A276," ("&amp;G276&amp;")"),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6" s="13" t="str">
        <f t="shared" si="38"/>
        <v>2004</v>
      </c>
      <c r="H276" s="13" t="str">
        <f t="shared" si="39"/>
        <v>Kaufman__2004</v>
      </c>
      <c r="I276" s="13" t="str">
        <f t="shared" si="35"/>
        <v>UMI%3A3147447</v>
      </c>
      <c r="J276" s="13" t="str">
        <f t="shared" si="40"/>
        <v>Kaufman__2004_TableA8</v>
      </c>
      <c r="K276" s="13" t="str">
        <f t="shared" si="41"/>
        <v>UMI%3A3147447_TableA8</v>
      </c>
      <c r="L276" s="13" t="str">
        <f t="array" ref="L276">IFERROR(INDEX(AUTO_Public_TSV_FileList!$A$1:$A$1000,MATCH(TRUE(),EXACT(K276,IFERROR(_xlfn.TEXTBEFORE(AUTO_Public_TSV_FileList!$A$1:$A$1000,".tsv"),"")),0)),"notfound")</f>
        <v>UMI%3A3147447_TableA8.tsv</v>
      </c>
      <c r="M276" s="5" t="s">
        <v>1100</v>
      </c>
      <c r="N276" s="5" t="s">
        <v>35</v>
      </c>
      <c r="O276" s="4"/>
      <c r="P276" s="5" t="s">
        <v>36</v>
      </c>
      <c r="Q276" s="5"/>
      <c r="R276" s="4"/>
      <c r="S276" s="4"/>
      <c r="T276" s="4"/>
      <c r="U276" s="4"/>
      <c r="V276" s="4"/>
      <c r="W276" s="5" t="s">
        <v>138</v>
      </c>
      <c r="X276" s="5" t="s">
        <v>1073</v>
      </c>
      <c r="Y276" s="4"/>
      <c r="Z276" s="4"/>
      <c r="AA276" s="4"/>
      <c r="AB276" s="5" t="s">
        <v>1074</v>
      </c>
      <c r="AC276" s="4"/>
      <c r="AD276" s="4"/>
      <c r="AE276" s="5" t="s">
        <v>179</v>
      </c>
      <c r="AF276" s="5"/>
      <c r="AG276" s="4"/>
    </row>
    <row r="277" spans="1:33" ht="17.100000000000001" customHeight="1">
      <c r="A277" s="5" t="s">
        <v>1069</v>
      </c>
      <c r="B277" s="4"/>
      <c r="C277" s="5" t="s">
        <v>1070</v>
      </c>
      <c r="D277" s="5" t="s">
        <v>1101</v>
      </c>
      <c r="E277" s="13" t="str">
        <f t="shared" si="37"/>
        <v>Kaufman</v>
      </c>
      <c r="F277" s="13" t="str">
        <f t="array" ref="F277">_xlfn.LET(
 _xlpm.authors,_xlfn.TEXTBEFORE(A277," ("&amp;G277&amp;")"),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77" s="13" t="str">
        <f t="shared" si="38"/>
        <v>2004</v>
      </c>
      <c r="H277" s="13" t="str">
        <f t="shared" si="39"/>
        <v>Kaufman__2004</v>
      </c>
      <c r="I277" s="13" t="str">
        <f t="shared" si="35"/>
        <v>UMI%3A3147447</v>
      </c>
      <c r="J277" s="13" t="str">
        <f t="shared" si="40"/>
        <v>Kaufman__2004_TableA9</v>
      </c>
      <c r="K277" s="13" t="str">
        <f t="shared" si="41"/>
        <v>UMI%3A3147447_TableA9</v>
      </c>
      <c r="L277" s="13" t="str">
        <f t="array" ref="L277">IFERROR(INDEX(AUTO_Public_TSV_FileList!$A$1:$A$1000,MATCH(TRUE(),EXACT(K277,IFERROR(_xlfn.TEXTBEFORE(AUTO_Public_TSV_FileList!$A$1:$A$1000,".tsv"),"")),0)),"notfound")</f>
        <v>UMI%3A3147447_TableA9.tsv</v>
      </c>
      <c r="M277" s="5" t="s">
        <v>1102</v>
      </c>
      <c r="N277" s="5" t="s">
        <v>35</v>
      </c>
      <c r="O277" s="4"/>
      <c r="P277" s="5" t="s">
        <v>36</v>
      </c>
      <c r="Q277" s="5"/>
      <c r="R277" s="4"/>
      <c r="S277" s="4"/>
      <c r="T277" s="4"/>
      <c r="U277" s="4"/>
      <c r="V277" s="4"/>
      <c r="W277" s="5" t="s">
        <v>138</v>
      </c>
      <c r="X277" s="5" t="s">
        <v>1073</v>
      </c>
      <c r="Y277" s="4"/>
      <c r="Z277" s="4"/>
      <c r="AA277" s="4"/>
      <c r="AB277" s="5" t="s">
        <v>1074</v>
      </c>
      <c r="AC277" s="4"/>
      <c r="AD277" s="4"/>
      <c r="AE277" s="5" t="s">
        <v>179</v>
      </c>
      <c r="AF277" s="5"/>
      <c r="AG277" s="4"/>
    </row>
    <row r="278" spans="1:33" ht="17.100000000000001" customHeight="1">
      <c r="A278" s="5" t="s">
        <v>1103</v>
      </c>
      <c r="B278" s="4"/>
      <c r="C278" s="4"/>
      <c r="D278" s="5" t="s">
        <v>81</v>
      </c>
      <c r="E278" s="13" t="str">
        <f t="shared" si="37"/>
        <v>Kazu</v>
      </c>
      <c r="F278" s="13" t="str">
        <f t="array" ref="F278">_xlfn.LET(
 _xlpm.authors,_xlfn.TEXTBEFORE(A278," ("&amp;G278&amp;")"),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78" s="13" t="str">
        <f t="shared" si="38"/>
        <v>2014</v>
      </c>
      <c r="H278" s="13" t="str">
        <f t="shared" si="39"/>
        <v>Kazu_etal_2014</v>
      </c>
      <c r="I278" s="13" t="str">
        <f t="shared" si="35"/>
        <v>10.3389%2Ffnana.2014.00128</v>
      </c>
      <c r="J278" s="13" t="str">
        <f t="shared" si="40"/>
        <v>Kazu_etal_2014_Table1</v>
      </c>
      <c r="K278" s="13" t="str">
        <f t="shared" si="41"/>
        <v>10.3389%2Ffnana.2014.00128_Table1</v>
      </c>
      <c r="L278" s="13" t="str">
        <f t="array" ref="L278">IFERROR(INDEX(AUTO_Public_TSV_FileList!$A$1:$A$1000,MATCH(TRUE(),EXACT(K278,IFERROR(_xlfn.TEXTBEFORE(AUTO_Public_TSV_FileList!$A$1:$A$1000,".tsv"),"")),0)),"notfound")</f>
        <v>10.3389%2Ffnana.2014.00128_Table1.tsv</v>
      </c>
      <c r="M278" s="4"/>
      <c r="N278" s="5" t="s">
        <v>35</v>
      </c>
      <c r="O278" s="4"/>
      <c r="P278" s="5" t="s">
        <v>36</v>
      </c>
      <c r="Q278" s="5"/>
      <c r="R278" s="4"/>
      <c r="S278" s="4"/>
      <c r="T278" s="4"/>
      <c r="U278" s="4" t="s">
        <v>1104</v>
      </c>
      <c r="V278" s="4"/>
      <c r="W278" s="5" t="s">
        <v>1105</v>
      </c>
      <c r="X278" s="5" t="s">
        <v>1106</v>
      </c>
      <c r="Y278" s="4"/>
      <c r="Z278" s="4"/>
      <c r="AA278" s="5" t="s">
        <v>63</v>
      </c>
      <c r="AB278" s="5" t="s">
        <v>64</v>
      </c>
      <c r="AC278" s="5" t="s">
        <v>65</v>
      </c>
      <c r="AD278" s="4"/>
      <c r="AE278" s="5" t="s">
        <v>66</v>
      </c>
      <c r="AF278" s="5"/>
      <c r="AG278" s="5" t="s">
        <v>1107</v>
      </c>
    </row>
    <row r="279" spans="1:33" ht="17.100000000000001" customHeight="1">
      <c r="A279" s="5" t="s">
        <v>1108</v>
      </c>
      <c r="B279" s="4"/>
      <c r="C279" s="4"/>
      <c r="D279" s="5" t="s">
        <v>58</v>
      </c>
      <c r="E279" s="13" t="str">
        <f t="shared" si="37"/>
        <v>Kazu</v>
      </c>
      <c r="F279" s="13" t="str">
        <f t="array" ref="F279">_xlfn.LET(
 _xlpm.authors,_xlfn.TEXTBEFORE(A279," ("&amp;G279&amp;")"),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79" s="13" t="str">
        <f t="shared" si="38"/>
        <v>2015</v>
      </c>
      <c r="H279" s="13" t="str">
        <f t="shared" si="39"/>
        <v>Kazu_etal_2015</v>
      </c>
      <c r="I279" s="13" t="str">
        <f t="shared" si="35"/>
        <v>10.3389%2Ffnana.2015.00039</v>
      </c>
      <c r="J279" s="13" t="str">
        <f t="shared" si="40"/>
        <v>Kazu_etal_2015_TABLE1</v>
      </c>
      <c r="K279" s="13" t="str">
        <f t="shared" si="41"/>
        <v>10.3389%2Ffnana.2015.00039_TABLE1</v>
      </c>
      <c r="L279" s="13" t="str">
        <f t="array" ref="L279">IFERROR(INDEX(AUTO_Public_TSV_FileList!$A$1:$A$1000,MATCH(TRUE(),EXACT(K279,IFERROR(_xlfn.TEXTBEFORE(AUTO_Public_TSV_FileList!$A$1:$A$1000,".tsv"),"")),0)),"notfound")</f>
        <v>10.3389%2Ffnana.2015.00039_TABLE1.tsv</v>
      </c>
      <c r="M279" s="5" t="s">
        <v>1109</v>
      </c>
      <c r="N279" s="4" t="s">
        <v>35</v>
      </c>
      <c r="O279" s="4"/>
      <c r="P279" s="4" t="s">
        <v>36</v>
      </c>
      <c r="Q279" s="4"/>
      <c r="R279" s="4"/>
      <c r="S279" s="4"/>
      <c r="T279" s="4"/>
      <c r="U279" s="4"/>
      <c r="V279" s="4"/>
      <c r="W279" s="4" t="s">
        <v>1105</v>
      </c>
      <c r="X279" s="4" t="s">
        <v>1110</v>
      </c>
      <c r="Y279" s="4"/>
      <c r="Z279" s="4"/>
      <c r="AA279" s="5" t="s">
        <v>63</v>
      </c>
      <c r="AB279" s="5" t="s">
        <v>64</v>
      </c>
      <c r="AC279" s="4" t="s">
        <v>65</v>
      </c>
      <c r="AD279" s="4"/>
      <c r="AE279" s="4" t="s">
        <v>66</v>
      </c>
      <c r="AF279" s="4"/>
      <c r="AG279" s="4" t="s">
        <v>1111</v>
      </c>
    </row>
    <row r="280" spans="1:33" ht="17.100000000000001" customHeight="1">
      <c r="A280" s="4" t="s">
        <v>1112</v>
      </c>
      <c r="B280" s="4"/>
      <c r="C280" s="4"/>
      <c r="D280" s="4" t="s">
        <v>1113</v>
      </c>
      <c r="E280" s="12" t="str">
        <f t="shared" si="37"/>
        <v>Ketten</v>
      </c>
      <c r="F280" s="13" t="str">
        <f t="array" ref="F280">_xlfn.LET(
 _xlpm.authors,_xlfn.TEXTBEFORE(A280," ("&amp;G280&amp;")"),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80" s="13" t="str">
        <f t="shared" si="38"/>
        <v>2012</v>
      </c>
      <c r="H280" s="12" t="str">
        <f t="shared" si="39"/>
        <v>Ketten__2012</v>
      </c>
      <c r="I280" s="12" t="str">
        <f>_xlfn.LET(_xlpm.doi,IF(C280&lt;&gt;"",C280,_xlfn.TEXTAFTER(A280,"https://doi.org/")),SUBSTITUTE(SUBSTITUTE(SUBSTITUTE(SUBSTITUTE(_xlpm.doi,"/","%2F"),":","%3A"),"&lt;","%3C"),"&gt;","%3E"))</f>
        <v>10.1007%2F978-1-4419-7311-5_46</v>
      </c>
      <c r="J280" s="12" t="str">
        <f t="shared" si="40"/>
        <v>Ketten__2012_Text(TTSvalues)</v>
      </c>
      <c r="K280" s="13" t="str">
        <f t="shared" si="41"/>
        <v>10.1007%2F978-1-4419-7311-5_46_Text(TTSvalues)</v>
      </c>
      <c r="L280" s="13" t="str">
        <f t="array" ref="L280">IFERROR(INDEX(AUTO_Public_TSV_FileList!$A$1:$A$1000,MATCH(TRUE(),EXACT(K280,IFERROR(_xlfn.TEXTBEFORE(AUTO_Public_TSV_FileList!$A$1:$A$1000,".tsv"),"")),0)),"notfound")</f>
        <v>notfound</v>
      </c>
      <c r="M280" s="4" t="s">
        <v>1114</v>
      </c>
      <c r="N280" s="4" t="s">
        <v>364</v>
      </c>
      <c r="O280" s="4" t="s">
        <v>1115</v>
      </c>
      <c r="P280" s="4"/>
      <c r="Q280" s="4"/>
      <c r="R280" s="4" t="s">
        <v>1116</v>
      </c>
      <c r="S280" s="4"/>
      <c r="T280" s="4" t="s">
        <v>1117</v>
      </c>
      <c r="U280" s="4"/>
      <c r="V280" s="4" t="s">
        <v>1118</v>
      </c>
      <c r="W280" s="4" t="s">
        <v>1119</v>
      </c>
      <c r="X280" s="4" t="s">
        <v>1120</v>
      </c>
      <c r="Y280" s="4"/>
      <c r="Z280" s="4"/>
      <c r="AA280" s="4" t="s">
        <v>1121</v>
      </c>
      <c r="AB280" s="4" t="s">
        <v>1122</v>
      </c>
      <c r="AC280" s="4" t="s">
        <v>1123</v>
      </c>
      <c r="AD280" s="4"/>
      <c r="AE280" s="4" t="s">
        <v>179</v>
      </c>
      <c r="AF280" s="4" t="s">
        <v>1124</v>
      </c>
      <c r="AG280" s="4" t="s">
        <v>1125</v>
      </c>
    </row>
    <row r="281" spans="1:33" ht="17.100000000000001" customHeight="1">
      <c r="A281" s="5" t="s">
        <v>1126</v>
      </c>
      <c r="B281" s="4"/>
      <c r="C281" s="4"/>
      <c r="D281" s="5" t="s">
        <v>81</v>
      </c>
      <c r="E281" s="13" t="str">
        <f t="shared" si="37"/>
        <v>Kirk</v>
      </c>
      <c r="F281" s="13" t="str">
        <f t="array" ref="F281">_xlfn.LET(
 _xlpm.authors,_xlfn.TEXTBEFORE(A281," ("&amp;G281&amp;")"),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Kay</v>
      </c>
      <c r="G281" s="13" t="str">
        <f t="shared" si="38"/>
        <v>2004</v>
      </c>
      <c r="H281" s="13" t="str">
        <f t="shared" si="39"/>
        <v>Kirk_Kay_2004</v>
      </c>
      <c r="I281" s="13" t="str">
        <f>_xlfn.LET(
_xlpm.doi,IF(C281&lt;&gt;"",C281,_xlfn.TEXTAFTER(A281,"https://doi.org/")),
SUBSTITUTE(
SUBSTITUTE(
SUBSTITUTE(
SUBSTITUTE(
_xlpm.doi,
"/","%2F"),
":","%3A"),
"&lt;","%3C"),
"&gt;","%3E")
)</f>
        <v>10.1007%2F978-1-4419-8873-7_20</v>
      </c>
      <c r="J281" s="13" t="str">
        <f t="shared" si="40"/>
        <v>Kirk_Kay_2004_Table1</v>
      </c>
      <c r="K281" s="13" t="str">
        <f t="shared" si="41"/>
        <v>10.1007%2F978-1-4419-8873-7_20_Table1</v>
      </c>
      <c r="L281" s="13" t="str">
        <f t="array" ref="L281">IFERROR(INDEX(AUTO_Public_TSV_FileList!$A$1:$A$1000,MATCH(TRUE(),EXACT(K281,IFERROR(_xlfn.TEXTBEFORE(AUTO_Public_TSV_FileList!$A$1:$A$1000,".tsv"),"")),0)),"notfound")</f>
        <v>10.1007%2F978-1-4419-8873-7_20_Table1.tsv</v>
      </c>
      <c r="M281" s="5" t="s">
        <v>1127</v>
      </c>
      <c r="N281" s="4"/>
      <c r="O281" s="4"/>
      <c r="P281" s="4"/>
      <c r="Q281" s="4"/>
      <c r="R281" s="4"/>
      <c r="S281" s="4"/>
      <c r="T281" s="4"/>
      <c r="U281" s="4"/>
      <c r="V281" s="4"/>
      <c r="W281" s="4"/>
      <c r="X281" s="4"/>
      <c r="Y281" s="4"/>
      <c r="Z281" s="4"/>
      <c r="AA281" s="4"/>
      <c r="AB281" s="4"/>
      <c r="AC281" s="4"/>
      <c r="AD281" s="4"/>
      <c r="AE281" s="4"/>
      <c r="AF281" s="4"/>
      <c r="AG281" s="4"/>
    </row>
    <row r="282" spans="1:33" ht="17.100000000000001" customHeight="1">
      <c r="A282" s="5" t="s">
        <v>1126</v>
      </c>
      <c r="B282" s="4"/>
      <c r="C282" s="4"/>
      <c r="D282" s="5" t="s">
        <v>70</v>
      </c>
      <c r="E282" s="13" t="str">
        <f t="shared" si="37"/>
        <v>Kirk</v>
      </c>
      <c r="F282" s="13" t="str">
        <f t="array" ref="F282">_xlfn.LET(
 _xlpm.authors,_xlfn.TEXTBEFORE(A282," ("&amp;G282&amp;")"),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Kay</v>
      </c>
      <c r="G282" s="13" t="str">
        <f t="shared" si="38"/>
        <v>2004</v>
      </c>
      <c r="H282" s="13" t="str">
        <f t="shared" si="39"/>
        <v>Kirk_Kay_2004</v>
      </c>
      <c r="I282" s="13" t="str">
        <f>_xlfn.LET(
_xlpm.doi,IF(C282&lt;&gt;"",C282,_xlfn.TEXTAFTER(A282,"https://doi.org/")),
SUBSTITUTE(
SUBSTITUTE(
SUBSTITUTE(
SUBSTITUTE(
_xlpm.doi,
"/","%2F"),
":","%3A"),
"&lt;","%3C"),
"&gt;","%3E")
)</f>
        <v>10.1007%2F978-1-4419-8873-7_20</v>
      </c>
      <c r="J282" s="13" t="str">
        <f t="shared" si="40"/>
        <v>Kirk_Kay_2004_Table2</v>
      </c>
      <c r="K282" s="13" t="str">
        <f t="shared" si="41"/>
        <v>10.1007%2F978-1-4419-8873-7_20_Table2</v>
      </c>
      <c r="L282" s="13" t="str">
        <f t="array" ref="L282">IFERROR(INDEX(AUTO_Public_TSV_FileList!$A$1:$A$1000,MATCH(TRUE(),EXACT(K282,IFERROR(_xlfn.TEXTBEFORE(AUTO_Public_TSV_FileList!$A$1:$A$1000,".tsv"),"")),0)),"notfound")</f>
        <v>10.1007%2F978-1-4419-8873-7_20_Table2.tsv</v>
      </c>
      <c r="M282" s="5" t="s">
        <v>1128</v>
      </c>
      <c r="N282" s="4"/>
      <c r="O282" s="4"/>
      <c r="P282" s="4"/>
      <c r="Q282" s="4"/>
      <c r="R282" s="4"/>
      <c r="S282" s="4"/>
      <c r="T282" s="4"/>
      <c r="U282" s="4"/>
      <c r="V282" s="4"/>
      <c r="W282" s="4"/>
      <c r="X282" s="4"/>
      <c r="Y282" s="4"/>
      <c r="Z282" s="4"/>
      <c r="AA282" s="4"/>
      <c r="AB282" s="4"/>
      <c r="AC282" s="4"/>
      <c r="AD282" s="4"/>
      <c r="AE282" s="4"/>
      <c r="AF282" s="4"/>
      <c r="AG282" s="4"/>
    </row>
    <row r="283" spans="1:33" ht="17.100000000000001" customHeight="1">
      <c r="A283" s="5" t="s">
        <v>1129</v>
      </c>
      <c r="B283" s="4"/>
      <c r="C283" s="4"/>
      <c r="D283" s="5" t="s">
        <v>1130</v>
      </c>
      <c r="E283" s="13" t="str">
        <f t="shared" si="37"/>
        <v>Koay</v>
      </c>
      <c r="F283" s="13" t="str">
        <f t="array" ref="F283">_xlfn.LET(
 _xlpm.authors,_xlfn.TEXTBEFORE(A283," ("&amp;G283&amp;")"),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3" s="13" t="str">
        <f t="shared" si="38"/>
        <v>1998</v>
      </c>
      <c r="H283" s="13" t="str">
        <f t="shared" si="39"/>
        <v>Koay_etal_1998</v>
      </c>
      <c r="I283" s="13" t="str">
        <f>_xlfn.LET(
_xlpm.doi,IF(C283&lt;&gt;"",C283,_xlfn.TEXTAFTER(A283,"https://doi.org/")),
SUBSTITUTE(
SUBSTITUTE(
SUBSTITUTE(
SUBSTITUTE(
_xlpm.doi,
"/","%2F"),
":","%3A"),
"&lt;","%3C"),
"&gt;","%3E")
)</f>
        <v>10.1037%2F0735-7036.112.4.371</v>
      </c>
      <c r="J283" s="13" t="str">
        <f t="shared" si="40"/>
        <v>Koay_etal_1998_Figure6</v>
      </c>
      <c r="K283" s="13" t="str">
        <f t="shared" si="41"/>
        <v>10.1037%2F0735-7036.112.4.371_Figure6</v>
      </c>
      <c r="L283" s="13" t="str">
        <f t="array" ref="L283">IFERROR(INDEX(AUTO_Public_TSV_FileList!$A$1:$A$1000,MATCH(TRUE(),EXACT(K283,IFERROR(_xlfn.TEXTBEFORE(AUTO_Public_TSV_FileList!$A$1:$A$1000,".tsv"),"")),0)),"notfound")</f>
        <v>10.1037%2F0735-7036.112.4.371_Figure6.tsv</v>
      </c>
      <c r="M283" s="5"/>
      <c r="N283" s="4"/>
      <c r="O283" s="4"/>
      <c r="P283" s="4"/>
      <c r="Q283" s="4"/>
      <c r="R283" s="4"/>
      <c r="S283" s="4"/>
      <c r="T283" s="4"/>
      <c r="U283" s="4"/>
      <c r="V283" s="4"/>
      <c r="W283" s="4"/>
      <c r="X283" s="4"/>
      <c r="Y283" s="4"/>
      <c r="Z283" s="4"/>
      <c r="AA283" s="4"/>
      <c r="AB283" s="4"/>
      <c r="AC283" s="4"/>
      <c r="AD283" s="4"/>
      <c r="AE283" s="4"/>
      <c r="AF283" s="4"/>
      <c r="AG283" s="4"/>
    </row>
    <row r="284" spans="1:33" ht="17.100000000000001" customHeight="1">
      <c r="A284" s="4" t="s">
        <v>1129</v>
      </c>
      <c r="B284" s="4"/>
      <c r="C284" s="4"/>
      <c r="D284" s="4" t="s">
        <v>1131</v>
      </c>
      <c r="E284" s="12" t="str">
        <f t="shared" si="37"/>
        <v>Koay</v>
      </c>
      <c r="F284" s="13" t="str">
        <f t="array" ref="F284">_xlfn.LET(
 _xlpm.authors,_xlfn.TEXTBEFORE(A284," ("&amp;G284&amp;")"),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4" s="13" t="str">
        <f t="shared" si="38"/>
        <v>1998</v>
      </c>
      <c r="H284" s="12" t="str">
        <f t="shared" si="39"/>
        <v>Koay_etal_1998</v>
      </c>
      <c r="I284" s="12" t="str">
        <f>_xlfn.LET(_xlpm.doi,IF(C284&lt;&gt;"",C284,_xlfn.TEXTAFTER(A284,"https://doi.org/")),SUBSTITUTE(SUBSTITUTE(SUBSTITUTE(SUBSTITUTE(_xlpm.doi,"/","%2F"),":","%3A"),"&lt;","%3C"),"&gt;","%3E"))</f>
        <v>10.1037%2F0735-7036.112.4.371</v>
      </c>
      <c r="J284" s="12" t="str">
        <f t="shared" si="40"/>
        <v>Koay_etal_1998_Figure7</v>
      </c>
      <c r="K284" s="13" t="str">
        <f t="shared" si="41"/>
        <v>10.1037%2F0735-7036.112.4.371_Figure7</v>
      </c>
      <c r="L284" s="13" t="str">
        <f t="array" ref="L284">IFERROR(INDEX(AUTO_Public_TSV_FileList!$A$1:$A$1000,MATCH(TRUE(),EXACT(K284,IFERROR(_xlfn.TEXTBEFORE(AUTO_Public_TSV_FileList!$A$1:$A$1000,".tsv"),"")),0)),"notfound")</f>
        <v>notfound</v>
      </c>
      <c r="M284" s="4" t="s">
        <v>1132</v>
      </c>
      <c r="N284" s="4" t="s">
        <v>630</v>
      </c>
      <c r="O284" s="4" t="s">
        <v>1133</v>
      </c>
      <c r="P284" s="4"/>
      <c r="Q284" s="4"/>
      <c r="R284" s="4" t="s">
        <v>1134</v>
      </c>
      <c r="S284" s="4"/>
      <c r="T284" s="4" t="s">
        <v>1135</v>
      </c>
      <c r="U284" s="4"/>
      <c r="V284" s="4" t="s">
        <v>664</v>
      </c>
      <c r="W284" s="4" t="s">
        <v>1136</v>
      </c>
      <c r="X284" s="4" t="s">
        <v>1137</v>
      </c>
      <c r="Y284" s="4"/>
      <c r="Z284" s="4"/>
      <c r="AA284" s="4" t="s">
        <v>680</v>
      </c>
      <c r="AB284" s="4" t="s">
        <v>1138</v>
      </c>
      <c r="AC284" s="4" t="s">
        <v>669</v>
      </c>
      <c r="AD284" s="4"/>
      <c r="AE284" s="4" t="s">
        <v>51</v>
      </c>
      <c r="AF284" s="4" t="s">
        <v>1139</v>
      </c>
      <c r="AG284" s="4" t="s">
        <v>1140</v>
      </c>
    </row>
    <row r="285" spans="1:33" ht="17.100000000000001" customHeight="1">
      <c r="A285" s="5" t="s">
        <v>1141</v>
      </c>
      <c r="B285" s="4"/>
      <c r="C285" s="5"/>
      <c r="D285" s="5" t="s">
        <v>1142</v>
      </c>
      <c r="E285" s="13" t="str">
        <f t="shared" si="37"/>
        <v>Kochiyama</v>
      </c>
      <c r="F285" s="13" t="str">
        <f t="array" ref="F285">_xlfn.LET(
 _xlpm.authors,_xlfn.TEXTBEFORE(A285," ("&amp;G285&amp;")"),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5" s="13" t="str">
        <f t="shared" si="38"/>
        <v>2018</v>
      </c>
      <c r="H285" s="13" t="str">
        <f t="shared" si="39"/>
        <v>Kochiyama_etal_2018</v>
      </c>
      <c r="I285" s="13" t="str">
        <f t="shared" ref="I285:I291" si="48">_xlfn.LET(
_xlpm.doi,IF(C285&lt;&gt;"",C285,_xlfn.TEXTAFTER(A285,"https://doi.org/")),
SUBSTITUTE(
SUBSTITUTE(
SUBSTITUTE(
SUBSTITUTE(
_xlpm.doi,
"/","%2F"),
":","%3A"),
"&lt;","%3C"),
"&gt;","%3E")
)</f>
        <v>10.1038%2Fs41598-018-24331-0</v>
      </c>
      <c r="J285" s="13" t="str">
        <f t="shared" si="40"/>
        <v>Kochiyama_etal_2018_ExtendedDataFigure4</v>
      </c>
      <c r="K285" s="13" t="str">
        <f t="shared" si="41"/>
        <v>10.1038%2Fs41598-018-24331-0_ExtendedDataFigure4</v>
      </c>
      <c r="L285" s="13" t="str">
        <f t="array" ref="L285">IFERROR(INDEX(AUTO_Public_TSV_FileList!$A$1:$A$1000,MATCH(TRUE(),EXACT(K285,IFERROR(_xlfn.TEXTBEFORE(AUTO_Public_TSV_FileList!$A$1:$A$1000,".tsv"),"")),0)),"notfound")</f>
        <v>10.1038%2Fs41598-018-24331-0_ExtendedDataFigure4.tsv</v>
      </c>
      <c r="M285" s="5" t="s">
        <v>1143</v>
      </c>
      <c r="N285" s="5" t="s">
        <v>630</v>
      </c>
      <c r="O285" s="4"/>
      <c r="P285" s="4" t="s">
        <v>36</v>
      </c>
      <c r="Q285" s="4"/>
      <c r="R285" s="4"/>
      <c r="S285" s="4"/>
      <c r="T285" s="4"/>
      <c r="U285" s="4"/>
      <c r="V285" s="4"/>
      <c r="W285" s="4"/>
      <c r="X285" s="4"/>
      <c r="Y285" s="4"/>
      <c r="Z285" s="4"/>
      <c r="AA285" s="4"/>
      <c r="AB285" s="4"/>
      <c r="AC285" s="4"/>
      <c r="AD285" s="4"/>
      <c r="AE285" s="4"/>
      <c r="AF285" s="4"/>
      <c r="AG285" s="4"/>
    </row>
    <row r="286" spans="1:33" ht="17.100000000000001" customHeight="1">
      <c r="A286" s="5" t="s">
        <v>1141</v>
      </c>
      <c r="B286" s="4"/>
      <c r="C286" s="5"/>
      <c r="D286" s="5" t="s">
        <v>1144</v>
      </c>
      <c r="E286" s="13" t="str">
        <f t="shared" si="37"/>
        <v>Kochiyama</v>
      </c>
      <c r="F286" s="13" t="str">
        <f t="array" ref="F286">_xlfn.LET(
 _xlpm.authors,_xlfn.TEXTBEFORE(A286," ("&amp;G286&amp;")"),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6" s="13" t="str">
        <f t="shared" si="38"/>
        <v>2018</v>
      </c>
      <c r="H286" s="13" t="str">
        <f t="shared" si="39"/>
        <v>Kochiyama_etal_2018</v>
      </c>
      <c r="I286" s="13" t="str">
        <f t="shared" si="48"/>
        <v>10.1038%2Fs41598-018-24331-0</v>
      </c>
      <c r="J286" s="13" t="str">
        <f t="shared" si="40"/>
        <v>Kochiyama_etal_2018_ExtendedDataTable1</v>
      </c>
      <c r="K286" s="13" t="str">
        <f t="shared" si="41"/>
        <v>10.1038%2Fs41598-018-24331-0_ExtendedDataTable1</v>
      </c>
      <c r="L286" s="13" t="str">
        <f t="array" ref="L286">IFERROR(INDEX(AUTO_Public_TSV_FileList!$A$1:$A$1000,MATCH(TRUE(),EXACT(K286,IFERROR(_xlfn.TEXTBEFORE(AUTO_Public_TSV_FileList!$A$1:$A$1000,".tsv"),"")),0)),"notfound")</f>
        <v>10.1038%2Fs41598-018-24331-0_ExtendedDataTable1.tsv</v>
      </c>
      <c r="M286" s="5" t="s">
        <v>1145</v>
      </c>
      <c r="N286" s="5" t="s">
        <v>35</v>
      </c>
      <c r="O286" s="4"/>
      <c r="P286" s="4" t="s">
        <v>36</v>
      </c>
      <c r="Q286" s="4"/>
      <c r="R286" s="4"/>
      <c r="S286" s="4"/>
      <c r="T286" s="4"/>
      <c r="U286" s="4"/>
      <c r="V286" s="4"/>
      <c r="W286" s="4"/>
      <c r="X286" s="4"/>
      <c r="Y286" s="4"/>
      <c r="Z286" s="4"/>
      <c r="AA286" s="4"/>
      <c r="AB286" s="4"/>
      <c r="AC286" s="4"/>
      <c r="AD286" s="4"/>
      <c r="AE286" s="4"/>
      <c r="AF286" s="4"/>
      <c r="AG286" s="4"/>
    </row>
    <row r="287" spans="1:33" ht="17.100000000000001" customHeight="1">
      <c r="A287" s="5" t="s">
        <v>1141</v>
      </c>
      <c r="B287" s="4"/>
      <c r="C287" s="5"/>
      <c r="D287" s="5" t="s">
        <v>1146</v>
      </c>
      <c r="E287" s="13" t="str">
        <f t="shared" si="37"/>
        <v>Kochiyama</v>
      </c>
      <c r="F287" s="13" t="str">
        <f t="array" ref="F287">_xlfn.LET(
 _xlpm.authors,_xlfn.TEXTBEFORE(A287," ("&amp;G287&amp;")"),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7" s="13" t="str">
        <f t="shared" si="38"/>
        <v>2018</v>
      </c>
      <c r="H287" s="13" t="str">
        <f t="shared" si="39"/>
        <v>Kochiyama_etal_2018</v>
      </c>
      <c r="I287" s="13" t="str">
        <f t="shared" si="48"/>
        <v>10.1038%2Fs41598-018-24331-0</v>
      </c>
      <c r="J287" s="13" t="str">
        <f t="shared" si="40"/>
        <v>Kochiyama_etal_2018_ExtendedDataTable3</v>
      </c>
      <c r="K287" s="13" t="str">
        <f t="shared" si="41"/>
        <v>10.1038%2Fs41598-018-24331-0_ExtendedDataTable3</v>
      </c>
      <c r="L287" s="13" t="str">
        <f t="array" ref="L287">IFERROR(INDEX(AUTO_Public_TSV_FileList!$A$1:$A$1000,MATCH(TRUE(),EXACT(K287,IFERROR(_xlfn.TEXTBEFORE(AUTO_Public_TSV_FileList!$A$1:$A$1000,".tsv"),"")),0)),"notfound")</f>
        <v>10.1038%2Fs41598-018-24331-0_ExtendedDataTable3.tsv</v>
      </c>
      <c r="M287" s="5" t="s">
        <v>1147</v>
      </c>
      <c r="N287" s="5" t="s">
        <v>35</v>
      </c>
      <c r="O287" s="4"/>
      <c r="P287" s="4" t="s">
        <v>36</v>
      </c>
      <c r="Q287" s="4"/>
      <c r="R287" s="4"/>
      <c r="S287" s="4"/>
      <c r="T287" s="4"/>
      <c r="U287" s="4"/>
      <c r="V287" s="4"/>
      <c r="W287" s="4"/>
      <c r="X287" s="4"/>
      <c r="Y287" s="4"/>
      <c r="Z287" s="4"/>
      <c r="AA287" s="4"/>
      <c r="AB287" s="4"/>
      <c r="AC287" s="4"/>
      <c r="AD287" s="4"/>
      <c r="AE287" s="4"/>
      <c r="AF287" s="4"/>
      <c r="AG287" s="4"/>
    </row>
    <row r="288" spans="1:33" ht="17.100000000000001" customHeight="1">
      <c r="A288" s="5" t="s">
        <v>1141</v>
      </c>
      <c r="B288" s="4"/>
      <c r="C288" s="5"/>
      <c r="D288" s="5" t="s">
        <v>1148</v>
      </c>
      <c r="E288" s="13" t="str">
        <f t="shared" si="37"/>
        <v>Kochiyama</v>
      </c>
      <c r="F288" s="13" t="str">
        <f t="array" ref="F288">_xlfn.LET(
 _xlpm.authors,_xlfn.TEXTBEFORE(A288," ("&amp;G288&amp;")"),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8" s="13" t="str">
        <f t="shared" si="38"/>
        <v>2018</v>
      </c>
      <c r="H288" s="13" t="str">
        <f t="shared" si="39"/>
        <v>Kochiyama_etal_2018</v>
      </c>
      <c r="I288" s="13" t="str">
        <f t="shared" si="48"/>
        <v>10.1038%2Fs41598-018-24331-0</v>
      </c>
      <c r="J288" s="13" t="str">
        <f t="shared" si="40"/>
        <v>Kochiyama_etal_2018_Figure3legend</v>
      </c>
      <c r="K288" s="13" t="str">
        <f t="shared" si="41"/>
        <v>10.1038%2Fs41598-018-24331-0_Figure3legend</v>
      </c>
      <c r="L288" s="13" t="str">
        <f t="array" ref="L288">IFERROR(INDEX(AUTO_Public_TSV_FileList!$A$1:$A$1000,MATCH(TRUE(),EXACT(K288,IFERROR(_xlfn.TEXTBEFORE(AUTO_Public_TSV_FileList!$A$1:$A$1000,".tsv"),"")),0)),"notfound")</f>
        <v>10.1038%2Fs41598-018-24331-0_Figure3legend.tsv</v>
      </c>
      <c r="M288" s="5" t="s">
        <v>1149</v>
      </c>
      <c r="N288" s="5" t="s">
        <v>1150</v>
      </c>
      <c r="O288" s="4"/>
      <c r="P288" s="4" t="s">
        <v>36</v>
      </c>
      <c r="Q288" s="4"/>
      <c r="R288" s="4"/>
      <c r="S288" s="4"/>
      <c r="T288" s="4"/>
      <c r="U288" s="4"/>
      <c r="V288" s="4"/>
      <c r="W288" s="4"/>
      <c r="X288" s="4"/>
      <c r="Y288" s="4"/>
      <c r="Z288" s="4"/>
      <c r="AA288" s="4"/>
      <c r="AB288" s="4"/>
      <c r="AC288" s="4"/>
      <c r="AD288" s="4"/>
      <c r="AE288" s="4"/>
      <c r="AF288" s="4"/>
      <c r="AG288" s="4"/>
    </row>
    <row r="289" spans="1:33" ht="17.100000000000001" customHeight="1">
      <c r="A289" s="5" t="s">
        <v>1141</v>
      </c>
      <c r="B289" s="4"/>
      <c r="C289" s="5"/>
      <c r="D289" s="5" t="s">
        <v>1151</v>
      </c>
      <c r="E289" s="13" t="str">
        <f t="shared" si="37"/>
        <v>Kochiyama</v>
      </c>
      <c r="F289" s="13" t="str">
        <f t="array" ref="F289">_xlfn.LET(
 _xlpm.authors,_xlfn.TEXTBEFORE(A289," ("&amp;G289&amp;")"),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89" s="13" t="str">
        <f t="shared" si="38"/>
        <v>2018</v>
      </c>
      <c r="H289" s="13" t="str">
        <f t="shared" si="39"/>
        <v>Kochiyama_etal_2018</v>
      </c>
      <c r="I289" s="13" t="str">
        <f t="shared" si="48"/>
        <v>10.1038%2Fs41598-018-24331-0</v>
      </c>
      <c r="J289" s="13" t="str">
        <f t="shared" si="40"/>
        <v>Kochiyama_etal_2018_Figure3A</v>
      </c>
      <c r="K289" s="13" t="str">
        <f t="shared" si="41"/>
        <v>10.1038%2Fs41598-018-24331-0_Figure3A</v>
      </c>
      <c r="L289" s="13" t="str">
        <f t="array" ref="L289">IFERROR(INDEX(AUTO_Public_TSV_FileList!$A$1:$A$1000,MATCH(TRUE(),EXACT(K289,IFERROR(_xlfn.TEXTBEFORE(AUTO_Public_TSV_FileList!$A$1:$A$1000,".tsv"),"")),0)),"notfound")</f>
        <v>10.1038%2Fs41598-018-24331-0_Figure3A.tsv</v>
      </c>
      <c r="M289" s="5" t="s">
        <v>1149</v>
      </c>
      <c r="N289" s="5" t="s">
        <v>630</v>
      </c>
      <c r="O289" s="4"/>
      <c r="P289" s="4" t="s">
        <v>36</v>
      </c>
      <c r="Q289" s="4"/>
      <c r="R289" s="4"/>
      <c r="S289" s="4"/>
      <c r="T289" s="4"/>
      <c r="U289" s="4"/>
      <c r="V289" s="4"/>
      <c r="W289" s="4"/>
      <c r="X289" s="4"/>
      <c r="Y289" s="4"/>
      <c r="Z289" s="4"/>
      <c r="AA289" s="4"/>
      <c r="AB289" s="4"/>
      <c r="AC289" s="4"/>
      <c r="AD289" s="4"/>
      <c r="AE289" s="4"/>
      <c r="AF289" s="4"/>
      <c r="AG289" s="4"/>
    </row>
    <row r="290" spans="1:33" ht="17.100000000000001" customHeight="1">
      <c r="A290" s="5" t="s">
        <v>1141</v>
      </c>
      <c r="B290" s="4"/>
      <c r="C290" s="5"/>
      <c r="D290" s="5" t="s">
        <v>1152</v>
      </c>
      <c r="E290" s="13" t="str">
        <f t="shared" si="37"/>
        <v>Kochiyama</v>
      </c>
      <c r="F290" s="13" t="str">
        <f t="array" ref="F290">_xlfn.LET(
 _xlpm.authors,_xlfn.TEXTBEFORE(A290," ("&amp;G290&amp;")"),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0" s="13" t="str">
        <f t="shared" si="38"/>
        <v>2018</v>
      </c>
      <c r="H290" s="13" t="str">
        <f t="shared" si="39"/>
        <v>Kochiyama_etal_2018</v>
      </c>
      <c r="I290" s="13" t="str">
        <f t="shared" si="48"/>
        <v>10.1038%2Fs41598-018-24331-0</v>
      </c>
      <c r="J290" s="13" t="str">
        <f t="shared" si="40"/>
        <v>Kochiyama_etal_2018_Figure3B</v>
      </c>
      <c r="K290" s="13" t="str">
        <f t="shared" si="41"/>
        <v>10.1038%2Fs41598-018-24331-0_Figure3B</v>
      </c>
      <c r="L290" s="13" t="str">
        <f t="array" ref="L290">IFERROR(INDEX(AUTO_Public_TSV_FileList!$A$1:$A$1000,MATCH(TRUE(),EXACT(K290,IFERROR(_xlfn.TEXTBEFORE(AUTO_Public_TSV_FileList!$A$1:$A$1000,".tsv"),"")),0)),"notfound")</f>
        <v>10.1038%2Fs41598-018-24331-0_Figure3B.tsv</v>
      </c>
      <c r="M290" s="5" t="s">
        <v>1149</v>
      </c>
      <c r="N290" s="5" t="s">
        <v>630</v>
      </c>
      <c r="O290" s="4"/>
      <c r="P290" s="4" t="s">
        <v>36</v>
      </c>
      <c r="Q290" s="4"/>
      <c r="R290" s="4"/>
      <c r="S290" s="4"/>
      <c r="T290" s="4"/>
      <c r="U290" s="4"/>
      <c r="V290" s="4"/>
      <c r="W290" s="4"/>
      <c r="X290" s="4"/>
      <c r="Y290" s="4"/>
      <c r="Z290" s="4"/>
      <c r="AA290" s="4"/>
      <c r="AB290" s="4"/>
      <c r="AC290" s="4"/>
      <c r="AD290" s="4"/>
      <c r="AE290" s="4"/>
      <c r="AF290" s="4"/>
      <c r="AG290" s="4"/>
    </row>
    <row r="291" spans="1:33" ht="17.100000000000001" customHeight="1">
      <c r="A291" s="5" t="s">
        <v>1141</v>
      </c>
      <c r="B291" s="4"/>
      <c r="C291" s="5"/>
      <c r="D291" s="5" t="s">
        <v>1153</v>
      </c>
      <c r="E291" s="13" t="str">
        <f t="shared" si="37"/>
        <v>Kochiyama</v>
      </c>
      <c r="F291" s="13" t="str">
        <f t="array" ref="F291">_xlfn.LET(
 _xlpm.authors,_xlfn.TEXTBEFORE(A291," ("&amp;G291&amp;")"),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1" s="13" t="str">
        <f t="shared" si="38"/>
        <v>2018</v>
      </c>
      <c r="H291" s="13" t="str">
        <f t="shared" si="39"/>
        <v>Kochiyama_etal_2018</v>
      </c>
      <c r="I291" s="13" t="str">
        <f t="shared" si="48"/>
        <v>10.1038%2Fs41598-018-24331-0</v>
      </c>
      <c r="J291" s="13" t="str">
        <f t="shared" si="40"/>
        <v>Kochiyama_etal_2018_FossilSpecimensText</v>
      </c>
      <c r="K291" s="13" t="str">
        <f t="shared" si="41"/>
        <v>10.1038%2Fs41598-018-24331-0_FossilSpecimensText</v>
      </c>
      <c r="L291" s="13" t="str">
        <f t="array" ref="L291">IFERROR(INDEX(AUTO_Public_TSV_FileList!$A$1:$A$1000,MATCH(TRUE(),EXACT(K291,IFERROR(_xlfn.TEXTBEFORE(AUTO_Public_TSV_FileList!$A$1:$A$1000,".tsv"),"")),0)),"notfound")</f>
        <v>10.1038%2Fs41598-018-24331-0_FossilSpecimensText.tsv</v>
      </c>
      <c r="M291" s="5" t="s">
        <v>1154</v>
      </c>
      <c r="N291" s="5" t="s">
        <v>35</v>
      </c>
      <c r="O291" s="4"/>
      <c r="P291" s="4" t="s">
        <v>36</v>
      </c>
      <c r="Q291" s="4"/>
      <c r="R291" s="4"/>
      <c r="S291" s="4"/>
      <c r="T291" s="4"/>
      <c r="U291" s="4"/>
      <c r="V291" s="4"/>
      <c r="W291" s="4"/>
      <c r="X291" s="4"/>
      <c r="Y291" s="4"/>
      <c r="Z291" s="4"/>
      <c r="AA291" s="4"/>
      <c r="AB291" s="4"/>
      <c r="AC291" s="4"/>
      <c r="AD291" s="4"/>
      <c r="AE291" s="4"/>
      <c r="AF291" s="4"/>
      <c r="AG291" s="4"/>
    </row>
    <row r="292" spans="1:33" ht="17.100000000000001" customHeight="1">
      <c r="A292" s="4" t="s">
        <v>1155</v>
      </c>
      <c r="B292" s="4"/>
      <c r="C292" s="4"/>
      <c r="D292" s="4" t="s">
        <v>70</v>
      </c>
      <c r="E292" s="12" t="str">
        <f t="shared" si="37"/>
        <v>Krompecher</v>
      </c>
      <c r="F292" s="13" t="str">
        <f t="array" ref="F292">_xlfn.LET(
 _xlpm.authors,_xlfn.TEXTBEFORE(A292," ("&amp;G292&amp;")"),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Lipak</v>
      </c>
      <c r="G292" s="13" t="str">
        <f t="shared" si="38"/>
        <v>1966</v>
      </c>
      <c r="H292" s="12" t="str">
        <f t="shared" si="39"/>
        <v>Krompecher_Lipak_1966</v>
      </c>
      <c r="I292" s="12" t="str">
        <f>_xlfn.LET(_xlpm.doi,IF(C292&lt;&gt;"",C292,_xlfn.TEXTAFTER(A292,"https://doi.org/")),SUBSTITUTE(SUBSTITUTE(SUBSTITUTE(SUBSTITUTE(_xlpm.doi,"/","%2F"),":","%3A"),"&lt;","%3C"),"&gt;","%3E"))</f>
        <v>10.1002%2Fcne.901270108</v>
      </c>
      <c r="J292" s="12" t="str">
        <f t="shared" si="40"/>
        <v>Krompecher_Lipak_1966_Table2</v>
      </c>
      <c r="K292" s="13" t="str">
        <f t="shared" si="41"/>
        <v>10.1002%2Fcne.901270108_Table2</v>
      </c>
      <c r="L292" s="13" t="str">
        <f t="array" ref="L292">IFERROR(INDEX(AUTO_Public_TSV_FileList!$A$1:$A$1000,MATCH(TRUE(),EXACT(K292,IFERROR(_xlfn.TEXTBEFORE(AUTO_Public_TSV_FileList!$A$1:$A$1000,".tsv"),"")),0)),"notfound")</f>
        <v>10.1002%2Fcne.901270108_Table2.tsv</v>
      </c>
      <c r="M292" s="4" t="s">
        <v>1156</v>
      </c>
      <c r="N292" s="4" t="s">
        <v>35</v>
      </c>
      <c r="O292" s="4"/>
      <c r="P292" s="4" t="s">
        <v>36</v>
      </c>
      <c r="Q292" s="4"/>
      <c r="R292" s="4"/>
      <c r="S292" s="4"/>
      <c r="T292" s="4"/>
      <c r="U292" s="4"/>
      <c r="V292" s="4"/>
      <c r="W292" s="4" t="s">
        <v>1157</v>
      </c>
      <c r="X292" s="4" t="s">
        <v>1158</v>
      </c>
      <c r="Y292" s="4" t="s">
        <v>1159</v>
      </c>
      <c r="Z292" s="4" t="s">
        <v>1160</v>
      </c>
      <c r="AA292" s="4" t="s">
        <v>1161</v>
      </c>
      <c r="AB292" s="4" t="s">
        <v>1162</v>
      </c>
      <c r="AC292" s="4"/>
      <c r="AD292" s="4"/>
      <c r="AE292" s="4" t="s">
        <v>51</v>
      </c>
      <c r="AF292" s="4" t="s">
        <v>1163</v>
      </c>
      <c r="AG292" s="4"/>
    </row>
    <row r="293" spans="1:33" ht="17.100000000000001" customHeight="1">
      <c r="A293" s="5" t="s">
        <v>1164</v>
      </c>
      <c r="B293" s="4"/>
      <c r="C293" s="5"/>
      <c r="D293" s="5" t="s">
        <v>81</v>
      </c>
      <c r="E293" s="13" t="str">
        <f t="shared" si="37"/>
        <v>Krubitzer</v>
      </c>
      <c r="F293" s="13" t="str">
        <f t="array" ref="F293">_xlfn.LET(
 _xlpm.authors,_xlfn.TEXTBEFORE(A293," ("&amp;G293&amp;")"),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Kaas</v>
      </c>
      <c r="G293" s="13" t="str">
        <f t="shared" si="38"/>
        <v>1990</v>
      </c>
      <c r="H293" s="13" t="str">
        <f t="shared" si="39"/>
        <v>Krubitzer_Kaas_1990</v>
      </c>
      <c r="I293" s="13" t="str">
        <f>_xlfn.LET(
_xlpm.doi,IF(C293&lt;&gt;"",C293,_xlfn.TEXTAFTER(A293,"https://doi.org/")),
SUBSTITUTE(
SUBSTITUTE(
SUBSTITUTE(
SUBSTITUTE(
_xlpm.doi,
"/","%2F"),
":","%3A"),
"&lt;","%3C"),
"&gt;","%3E")
)</f>
        <v>10.1017%2Fs0952523800000213</v>
      </c>
      <c r="J293" s="13" t="str">
        <f t="shared" si="40"/>
        <v>Krubitzer_Kaas_1990_Table1</v>
      </c>
      <c r="K293" s="13" t="str">
        <f t="shared" si="41"/>
        <v>10.1017%2Fs0952523800000213_Table1</v>
      </c>
      <c r="L293" s="13" t="str">
        <f t="array" ref="L293">IFERROR(INDEX(AUTO_Public_TSV_FileList!$A$1:$A$1000,MATCH(TRUE(),EXACT(K293,IFERROR(_xlfn.TEXTBEFORE(AUTO_Public_TSV_FileList!$A$1:$A$1000,".tsv"),"")),0)),"notfound")</f>
        <v>10.1017%2Fs0952523800000213_Table1.tsv</v>
      </c>
      <c r="M293" s="5" t="s">
        <v>1165</v>
      </c>
      <c r="N293" s="4"/>
      <c r="O293" s="4"/>
      <c r="P293" s="4" t="s">
        <v>36</v>
      </c>
      <c r="Q293" s="4"/>
      <c r="R293" s="4"/>
      <c r="S293" s="4"/>
      <c r="T293" s="4"/>
      <c r="U293" s="4"/>
      <c r="V293" s="4"/>
      <c r="W293" s="4"/>
      <c r="X293" s="4"/>
      <c r="Y293" s="4"/>
      <c r="Z293" s="4"/>
      <c r="AA293" s="4"/>
      <c r="AB293" s="4"/>
      <c r="AC293" s="4"/>
      <c r="AD293" s="4"/>
      <c r="AE293" s="4"/>
      <c r="AF293" s="4"/>
      <c r="AG293" s="4"/>
    </row>
    <row r="294" spans="1:33" ht="17.100000000000001" customHeight="1">
      <c r="A294" s="3" t="s">
        <v>1166</v>
      </c>
      <c r="B294" s="3"/>
      <c r="C294" s="3"/>
      <c r="D294" s="3" t="s">
        <v>70</v>
      </c>
      <c r="E294" s="12" t="str">
        <f t="shared" si="37"/>
        <v>Kruska</v>
      </c>
      <c r="F294" s="13" t="str">
        <f t="array" ref="F294">_xlfn.LET(
 _xlpm.authors,_xlfn.TEXTBEFORE(A294," ("&amp;G294&amp;")"),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94" s="13" t="str">
        <f t="shared" si="38"/>
        <v>2014</v>
      </c>
      <c r="H294" s="12" t="str">
        <f t="shared" si="39"/>
        <v>Kruska__2014</v>
      </c>
      <c r="I294" s="12" t="str">
        <f>_xlfn.LET(_xlpm.doi,IF(C294&lt;&gt;"",C294,_xlfn.TEXTAFTER(A294,"https://doi.org/")),SUBSTITUTE(SUBSTITUTE(SUBSTITUTE(SUBSTITUTE(_xlpm.doi,"/","%2F"),":","%3A"),"&lt;","%3C"),"&gt;","%3E"))</f>
        <v>10.1016%2Fj.mambio.2013.12.005</v>
      </c>
      <c r="J294" s="12" t="str">
        <f t="shared" si="40"/>
        <v>Kruska__2014_Table2</v>
      </c>
      <c r="K294" s="12" t="str">
        <f t="shared" si="41"/>
        <v>10.1016%2Fj.mambio.2013.12.005_Table2</v>
      </c>
      <c r="L294" s="13" t="str">
        <f t="array" ref="L294">IFERROR(INDEX(AUTO_Public_TSV_FileList!$A$1:$A$1000,MATCH(TRUE(),EXACT(K294,IFERROR(_xlfn.TEXTBEFORE(AUTO_Public_TSV_FileList!$A$1:$A$1000,".tsv"),"")),0)),"notfound")</f>
        <v>notfound</v>
      </c>
      <c r="M294" s="4" t="s">
        <v>1167</v>
      </c>
      <c r="N294" s="5" t="s">
        <v>35</v>
      </c>
      <c r="O294" s="4"/>
      <c r="P294" s="3" t="s">
        <v>36</v>
      </c>
      <c r="Q294" s="3"/>
      <c r="R294" s="3" t="s">
        <v>1168</v>
      </c>
      <c r="S294" s="3" t="s">
        <v>569</v>
      </c>
      <c r="T294" s="3" t="s">
        <v>570</v>
      </c>
      <c r="U294" s="3"/>
      <c r="V294" s="3" t="s">
        <v>1169</v>
      </c>
      <c r="W294" s="3" t="s">
        <v>1170</v>
      </c>
      <c r="X294" s="3" t="s">
        <v>1171</v>
      </c>
      <c r="Y294" s="3" t="s">
        <v>1172</v>
      </c>
      <c r="Z294" s="3"/>
      <c r="AA294" s="3"/>
      <c r="AB294" s="3" t="s">
        <v>1173</v>
      </c>
      <c r="AC294" s="3" t="s">
        <v>119</v>
      </c>
      <c r="AD294" s="3" t="s">
        <v>119</v>
      </c>
      <c r="AE294" s="3" t="s">
        <v>66</v>
      </c>
      <c r="AF294" s="3"/>
      <c r="AG294" s="3" t="s">
        <v>1174</v>
      </c>
    </row>
    <row r="295" spans="1:33" ht="17.100000000000001" customHeight="1">
      <c r="A295" s="3" t="s">
        <v>1166</v>
      </c>
      <c r="B295" s="3"/>
      <c r="C295" s="3"/>
      <c r="D295" s="3" t="s">
        <v>72</v>
      </c>
      <c r="E295" s="12" t="str">
        <f t="shared" ref="E295" si="49">SUBSTITUTE(SUBSTITUTE(_xlfn.TEXTBEFORE(A295,","), "-", ""), " ", "")</f>
        <v>Kruska</v>
      </c>
      <c r="F295" s="13" t="str">
        <f t="array" ref="F295">_xlfn.LET(
 _xlpm.authors,_xlfn.TEXTBEFORE(A295," ("&amp;G295&amp;")"),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295" s="13" t="str">
        <f t="shared" ref="G295" si="50">_xlfn.TEXTBEFORE(_xlfn.TEXTAFTER(A295, "("), ")")</f>
        <v>2014</v>
      </c>
      <c r="H295" s="12" t="str">
        <f t="shared" ref="H295" si="51">E295 &amp; IF(F295&lt;&gt;"", "_" &amp; F295, "_") &amp; IF(G295&lt;&gt;"", "_" &amp; G295, "_") &amp; IF(B295&lt;&gt;"", "_" &amp; B295, "")</f>
        <v>Kruska__2014</v>
      </c>
      <c r="I295" s="12" t="str">
        <f>_xlfn.LET(_xlpm.doi,IF(C295&lt;&gt;"",C295,_xlfn.TEXTAFTER(A295,"https://doi.org/")),SUBSTITUTE(SUBSTITUTE(SUBSTITUTE(SUBSTITUTE(_xlpm.doi,"/","%2F"),":","%3A"),"&lt;","%3C"),"&gt;","%3E"))</f>
        <v>10.1016%2Fj.mambio.2013.12.005</v>
      </c>
      <c r="J295" s="12" t="str">
        <f t="shared" ref="J295" si="52">TRIM(_xlfn.TEXTJOIN("_",FALSE(),H295,(SUBSTITUTE(SUBSTITUTE(D295," ",""), "_", ""))))</f>
        <v>Kruska__2014_Table3</v>
      </c>
      <c r="K295" s="12" t="str">
        <f t="shared" ref="K295" si="53">I295 &amp; "_" &amp; SUBSTITUTE(SUBSTITUTE(SUBSTITUTE(D295,CHAR(160),"")," ",""),"_","")</f>
        <v>10.1016%2Fj.mambio.2013.12.005_Table3</v>
      </c>
      <c r="L295" s="13" t="str">
        <f t="array" ref="L295">IFERROR(INDEX(AUTO_Public_TSV_FileList!$A$1:$A$1000,MATCH(TRUE(),EXACT(K295,IFERROR(_xlfn.TEXTBEFORE(AUTO_Public_TSV_FileList!$A$1:$A$1000,".tsv"),"")),0)),"notfound")</f>
        <v>notfound</v>
      </c>
      <c r="M295" s="4" t="s">
        <v>1175</v>
      </c>
      <c r="N295" s="5" t="s">
        <v>35</v>
      </c>
      <c r="O295" s="4"/>
      <c r="P295" s="3" t="s">
        <v>36</v>
      </c>
      <c r="Q295" s="3"/>
      <c r="R295" s="3" t="s">
        <v>1168</v>
      </c>
      <c r="S295" s="3" t="s">
        <v>569</v>
      </c>
      <c r="T295" s="3" t="s">
        <v>570</v>
      </c>
      <c r="U295" s="3"/>
      <c r="V295" s="3" t="s">
        <v>1169</v>
      </c>
      <c r="W295" s="3" t="s">
        <v>1170</v>
      </c>
      <c r="X295" s="3" t="s">
        <v>1171</v>
      </c>
      <c r="Y295" s="3" t="s">
        <v>1172</v>
      </c>
      <c r="Z295" s="3"/>
      <c r="AA295" s="3"/>
      <c r="AB295" s="3" t="s">
        <v>1173</v>
      </c>
      <c r="AC295" s="3" t="s">
        <v>119</v>
      </c>
      <c r="AD295" s="3" t="s">
        <v>119</v>
      </c>
      <c r="AE295" s="3" t="s">
        <v>66</v>
      </c>
      <c r="AF295" s="3"/>
      <c r="AG295" s="3" t="s">
        <v>1174</v>
      </c>
    </row>
    <row r="296" spans="1:33" ht="17.100000000000001" customHeight="1">
      <c r="A296" s="3" t="s">
        <v>1176</v>
      </c>
      <c r="B296" s="3"/>
      <c r="C296" s="3"/>
      <c r="D296" s="3" t="s">
        <v>70</v>
      </c>
      <c r="E296" s="12" t="str">
        <f t="shared" si="37"/>
        <v>Kruska</v>
      </c>
      <c r="F296" s="13" t="str">
        <f t="array" ref="F296">_xlfn.LET(
 _xlpm.authors,_xlfn.TEXTBEFORE(A296," ("&amp;G296&amp;")"),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Rohrs</v>
      </c>
      <c r="G296" s="13" t="str">
        <f t="shared" si="38"/>
        <v>1974</v>
      </c>
      <c r="H296" s="12" t="str">
        <f t="shared" si="39"/>
        <v>Kruska_Rohrs_1974</v>
      </c>
      <c r="I296" s="12" t="str">
        <f>_xlfn.LET(_xlpm.doi,IF(C296&lt;&gt;"",C296,_xlfn.TEXTAFTER(A296,"https://doi.org/")),SUBSTITUTE(SUBSTITUTE(SUBSTITUTE(SUBSTITUTE(_xlpm.doi,"/","%2F"),":","%3A"),"&lt;","%3C"),"&gt;","%3E"))</f>
        <v>10.1007%2Fbf00518633</v>
      </c>
      <c r="J296" s="12" t="str">
        <f t="shared" si="40"/>
        <v>Kruska_Rohrs_1974_Table2</v>
      </c>
      <c r="K296" s="12" t="str">
        <f t="shared" si="41"/>
        <v>10.1007%2Fbf00518633_Table2</v>
      </c>
      <c r="L296" s="13" t="str">
        <f t="array" ref="L296">IFERROR(INDEX(AUTO_Public_TSV_FileList!$A$1:$A$1000,MATCH(TRUE(),EXACT(K296,IFERROR(_xlfn.TEXTBEFORE(AUTO_Public_TSV_FileList!$A$1:$A$1000,".tsv"),"")),0)),"notfound")</f>
        <v>notfound</v>
      </c>
      <c r="M296" s="4"/>
      <c r="N296" s="5" t="s">
        <v>35</v>
      </c>
      <c r="O296" s="4"/>
      <c r="P296" s="3" t="s">
        <v>36</v>
      </c>
      <c r="Q296" s="3"/>
      <c r="R296" s="3"/>
      <c r="S296" s="3" t="s">
        <v>569</v>
      </c>
      <c r="T296" s="3" t="s">
        <v>570</v>
      </c>
      <c r="U296" s="3"/>
      <c r="V296" s="3" t="s">
        <v>571</v>
      </c>
      <c r="W296" s="3" t="s">
        <v>1105</v>
      </c>
      <c r="X296" s="3" t="s">
        <v>1177</v>
      </c>
      <c r="Y296" s="3"/>
      <c r="Z296" s="3"/>
      <c r="AA296" s="3" t="s">
        <v>1178</v>
      </c>
      <c r="AB296" s="3" t="s">
        <v>1173</v>
      </c>
      <c r="AC296" s="4"/>
      <c r="AD296" s="3"/>
      <c r="AE296" s="3" t="s">
        <v>66</v>
      </c>
      <c r="AF296" s="3"/>
      <c r="AG296" s="3" t="s">
        <v>1179</v>
      </c>
    </row>
    <row r="297" spans="1:33" ht="17.100000000000001" customHeight="1">
      <c r="A297" s="3" t="s">
        <v>1176</v>
      </c>
      <c r="B297" s="3"/>
      <c r="C297" s="3"/>
      <c r="D297" s="3" t="s">
        <v>72</v>
      </c>
      <c r="E297" s="12" t="str">
        <f t="shared" ref="E297" si="54">SUBSTITUTE(SUBSTITUTE(_xlfn.TEXTBEFORE(A297,","), "-", ""), " ", "")</f>
        <v>Kruska</v>
      </c>
      <c r="F297" s="13" t="str">
        <f t="array" ref="F297">_xlfn.LET(
 _xlpm.authors,_xlfn.TEXTBEFORE(A297," ("&amp;G297&amp;")"),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Rohrs</v>
      </c>
      <c r="G297" s="13" t="str">
        <f t="shared" ref="G297" si="55">_xlfn.TEXTBEFORE(_xlfn.TEXTAFTER(A297, "("), ")")</f>
        <v>1974</v>
      </c>
      <c r="H297" s="12" t="str">
        <f t="shared" ref="H297" si="56">E297 &amp; IF(F297&lt;&gt;"", "_" &amp; F297, "_") &amp; IF(G297&lt;&gt;"", "_" &amp; G297, "_") &amp; IF(B297&lt;&gt;"", "_" &amp; B297, "")</f>
        <v>Kruska_Rohrs_1974</v>
      </c>
      <c r="I297" s="12" t="str">
        <f>_xlfn.LET(_xlpm.doi,IF(C297&lt;&gt;"",C297,_xlfn.TEXTAFTER(A297,"https://doi.org/")),SUBSTITUTE(SUBSTITUTE(SUBSTITUTE(SUBSTITUTE(_xlpm.doi,"/","%2F"),":","%3A"),"&lt;","%3C"),"&gt;","%3E"))</f>
        <v>10.1007%2Fbf00518633</v>
      </c>
      <c r="J297" s="12" t="str">
        <f t="shared" ref="J297" si="57">TRIM(_xlfn.TEXTJOIN("_",FALSE(),H297,(SUBSTITUTE(SUBSTITUTE(D297," ",""), "_", ""))))</f>
        <v>Kruska_Rohrs_1974_Table3</v>
      </c>
      <c r="K297" s="12" t="str">
        <f t="shared" ref="K297" si="58">I297 &amp; "_" &amp; SUBSTITUTE(SUBSTITUTE(SUBSTITUTE(D297,CHAR(160),"")," ",""),"_","")</f>
        <v>10.1007%2Fbf00518633_Table3</v>
      </c>
      <c r="L297" s="13" t="str">
        <f t="array" ref="L297">IFERROR(INDEX(AUTO_Public_TSV_FileList!$A$1:$A$1000,MATCH(TRUE(),EXACT(K297,IFERROR(_xlfn.TEXTBEFORE(AUTO_Public_TSV_FileList!$A$1:$A$1000,".tsv"),"")),0)),"notfound")</f>
        <v>notfound</v>
      </c>
      <c r="M297" s="4"/>
      <c r="N297" s="5" t="s">
        <v>35</v>
      </c>
      <c r="O297" s="4"/>
      <c r="P297" s="3" t="s">
        <v>36</v>
      </c>
      <c r="Q297" s="3"/>
      <c r="R297" s="3"/>
      <c r="S297" s="3" t="s">
        <v>569</v>
      </c>
      <c r="T297" s="3" t="s">
        <v>570</v>
      </c>
      <c r="U297" s="3"/>
      <c r="V297" s="3" t="s">
        <v>571</v>
      </c>
      <c r="W297" s="3" t="s">
        <v>1105</v>
      </c>
      <c r="X297" s="3" t="s">
        <v>1177</v>
      </c>
      <c r="Y297" s="3"/>
      <c r="Z297" s="3"/>
      <c r="AA297" s="3" t="s">
        <v>1178</v>
      </c>
      <c r="AB297" s="3" t="s">
        <v>1173</v>
      </c>
      <c r="AC297" s="4"/>
      <c r="AD297" s="3"/>
      <c r="AE297" s="3" t="s">
        <v>66</v>
      </c>
      <c r="AF297" s="3"/>
      <c r="AG297" s="3" t="s">
        <v>1179</v>
      </c>
    </row>
    <row r="298" spans="1:33" ht="17.100000000000001" customHeight="1">
      <c r="A298" s="5" t="s">
        <v>1180</v>
      </c>
      <c r="B298" s="4"/>
      <c r="C298" s="4"/>
      <c r="D298" s="5" t="s">
        <v>81</v>
      </c>
      <c r="E298" s="13" t="str">
        <f t="shared" si="37"/>
        <v>Kverkova</v>
      </c>
      <c r="F298" s="13" t="str">
        <f t="array" ref="F298">_xlfn.LET(
 _xlpm.authors,_xlfn.TEXTBEFORE(A298," ("&amp;G298&amp;")"),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8" s="13" t="str">
        <f t="shared" si="38"/>
        <v>2018</v>
      </c>
      <c r="H298" s="13" t="str">
        <f t="shared" si="39"/>
        <v>Kverkova_etal_2018</v>
      </c>
      <c r="I298" s="13" t="str">
        <f>_xlfn.LET(
_xlpm.doi,IF(C298&lt;&gt;"",C298,_xlfn.TEXTAFTER(A298,"https://doi.org/")),
SUBSTITUTE(
SUBSTITUTE(
SUBSTITUTE(
SUBSTITUTE(
_xlpm.doi,
"/","%2F"),
":","%3A"),
"&lt;","%3C"),
"&gt;","%3E")
)</f>
        <v>10.1038%2Fs41598-018-26062-8</v>
      </c>
      <c r="J298" s="13" t="str">
        <f t="shared" si="40"/>
        <v>Kverkova_etal_2018_Table1</v>
      </c>
      <c r="K298" s="13" t="str">
        <f t="shared" si="41"/>
        <v>10.1038%2Fs41598-018-26062-8_Table1</v>
      </c>
      <c r="L298" s="13" t="str">
        <f t="array" ref="L298">IFERROR(INDEX(AUTO_Public_TSV_FileList!$A$1:$A$1000,MATCH(TRUE(),EXACT(K298,IFERROR(_xlfn.TEXTBEFORE(AUTO_Public_TSV_FileList!$A$1:$A$1000,".tsv"),"")),0)),"notfound")</f>
        <v>10.1038%2Fs41598-018-26062-8_Table1.tsv</v>
      </c>
      <c r="M298" s="5" t="s">
        <v>1181</v>
      </c>
      <c r="N298" s="5" t="s">
        <v>35</v>
      </c>
      <c r="O298" s="4"/>
      <c r="P298" s="5" t="s">
        <v>36</v>
      </c>
      <c r="Q298" s="5"/>
      <c r="R298" s="4"/>
      <c r="S298" s="4"/>
      <c r="T298" s="4"/>
      <c r="U298" s="4"/>
      <c r="V298" s="4"/>
      <c r="W298" s="5" t="s">
        <v>1182</v>
      </c>
      <c r="X298" s="5" t="s">
        <v>837</v>
      </c>
      <c r="Y298" s="4"/>
      <c r="Z298" s="4"/>
      <c r="AA298" s="4"/>
      <c r="AB298" s="5"/>
      <c r="AC298" s="5" t="s">
        <v>1183</v>
      </c>
      <c r="AD298" s="5" t="s">
        <v>1183</v>
      </c>
      <c r="AE298" s="5" t="s">
        <v>66</v>
      </c>
      <c r="AF298" s="5"/>
      <c r="AG298" s="4"/>
    </row>
    <row r="299" spans="1:33" ht="17.100000000000001" customHeight="1">
      <c r="A299" s="5" t="s">
        <v>1180</v>
      </c>
      <c r="B299" s="4"/>
      <c r="C299" s="4"/>
      <c r="D299" s="5" t="s">
        <v>231</v>
      </c>
      <c r="E299" s="13" t="str">
        <f t="shared" si="37"/>
        <v>Kverkova</v>
      </c>
      <c r="F299" s="13" t="str">
        <f t="array" ref="F299">_xlfn.LET(
 _xlpm.authors,_xlfn.TEXTBEFORE(A299," ("&amp;G299&amp;")"),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299" s="13" t="str">
        <f t="shared" si="38"/>
        <v>2018</v>
      </c>
      <c r="H299" s="13" t="str">
        <f t="shared" si="39"/>
        <v>Kverkova_etal_2018</v>
      </c>
      <c r="I299" s="13" t="str">
        <f>_xlfn.LET(
_xlpm.doi,IF(C299&lt;&gt;"",C299,_xlfn.TEXTAFTER(A299,"https://doi.org/")),
SUBSTITUTE(
SUBSTITUTE(
SUBSTITUTE(
SUBSTITUTE(
_xlpm.doi,
"/","%2F"),
":","%3A"),
"&lt;","%3C"),
"&gt;","%3E")
)</f>
        <v>10.1038%2Fs41598-018-26062-8</v>
      </c>
      <c r="J299" s="13" t="str">
        <f t="shared" si="40"/>
        <v>Kverkova_etal_2018_TableS1</v>
      </c>
      <c r="K299" s="13" t="str">
        <f t="shared" si="41"/>
        <v>10.1038%2Fs41598-018-26062-8_TableS1</v>
      </c>
      <c r="L299" s="13" t="str">
        <f t="array" ref="L299">IFERROR(INDEX(AUTO_Public_TSV_FileList!$A$1:$A$1000,MATCH(TRUE(),EXACT(K299,IFERROR(_xlfn.TEXTBEFORE(AUTO_Public_TSV_FileList!$A$1:$A$1000,".tsv"),"")),0)),"notfound")</f>
        <v>10.1038%2Fs41598-018-26062-8_TableS1.tsv</v>
      </c>
      <c r="M299" s="5" t="s">
        <v>1184</v>
      </c>
      <c r="N299" s="5" t="s">
        <v>35</v>
      </c>
      <c r="O299" s="4"/>
      <c r="P299" s="5" t="s">
        <v>36</v>
      </c>
      <c r="Q299" s="5"/>
      <c r="R299" s="5" t="s">
        <v>1185</v>
      </c>
      <c r="S299" s="4"/>
      <c r="T299" s="4"/>
      <c r="U299" s="4"/>
      <c r="V299" s="4"/>
      <c r="W299" s="5" t="s">
        <v>1182</v>
      </c>
      <c r="X299" s="5" t="s">
        <v>814</v>
      </c>
      <c r="Y299" s="4"/>
      <c r="Z299" s="4"/>
      <c r="AA299" s="4"/>
      <c r="AB299" s="5" t="s">
        <v>815</v>
      </c>
      <c r="AC299" s="5" t="s">
        <v>1183</v>
      </c>
      <c r="AD299" s="5" t="s">
        <v>1183</v>
      </c>
      <c r="AE299" s="5" t="s">
        <v>66</v>
      </c>
      <c r="AF299" s="5"/>
      <c r="AG299" s="4"/>
    </row>
    <row r="300" spans="1:33" ht="17.100000000000001" customHeight="1">
      <c r="A300" s="5" t="s">
        <v>1180</v>
      </c>
      <c r="B300" s="4"/>
      <c r="C300" s="4"/>
      <c r="D300" s="5" t="s">
        <v>1029</v>
      </c>
      <c r="E300" s="13" t="str">
        <f t="shared" si="37"/>
        <v>Kverkova</v>
      </c>
      <c r="F300" s="13" t="str">
        <f t="array" ref="F300">_xlfn.LET(
 _xlpm.authors,_xlfn.TEXTBEFORE(A300," ("&amp;G300&amp;")"),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0" s="13" t="str">
        <f t="shared" si="38"/>
        <v>2018</v>
      </c>
      <c r="H300" s="13" t="str">
        <f t="shared" si="39"/>
        <v>Kverkova_etal_2018</v>
      </c>
      <c r="I300" s="13" t="str">
        <f>_xlfn.LET(
_xlpm.doi,IF(C300&lt;&gt;"",C300,_xlfn.TEXTAFTER(A300,"https://doi.org/")),
SUBSTITUTE(
SUBSTITUTE(
SUBSTITUTE(
SUBSTITUTE(
_xlpm.doi,
"/","%2F"),
":","%3A"),
"&lt;","%3C"),
"&gt;","%3E")
)</f>
        <v>10.1038%2Fs41598-018-26062-8</v>
      </c>
      <c r="J300" s="13" t="str">
        <f t="shared" si="40"/>
        <v>Kverkova_etal_2018_TableS5</v>
      </c>
      <c r="K300" s="13" t="str">
        <f t="shared" si="41"/>
        <v>10.1038%2Fs41598-018-26062-8_TableS5</v>
      </c>
      <c r="L300" s="13" t="str">
        <f t="array" ref="L300">IFERROR(INDEX(AUTO_Public_TSV_FileList!$A$1:$A$1000,MATCH(TRUE(),EXACT(K300,IFERROR(_xlfn.TEXTBEFORE(AUTO_Public_TSV_FileList!$A$1:$A$1000,".tsv"),"")),0)),"notfound")</f>
        <v>10.1038%2Fs41598-018-26062-8_TableS5.tsv</v>
      </c>
      <c r="M300" s="5" t="s">
        <v>1186</v>
      </c>
      <c r="N300" s="5" t="s">
        <v>35</v>
      </c>
      <c r="O300" s="4"/>
      <c r="P300" s="5" t="s">
        <v>36</v>
      </c>
      <c r="Q300" s="5"/>
      <c r="R300" s="5" t="s">
        <v>1185</v>
      </c>
      <c r="S300" s="4"/>
      <c r="T300" s="4"/>
      <c r="U300" s="4"/>
      <c r="V300" s="4"/>
      <c r="W300" s="5" t="s">
        <v>1182</v>
      </c>
      <c r="X300" s="5" t="s">
        <v>1187</v>
      </c>
      <c r="Y300" s="4"/>
      <c r="Z300" s="4"/>
      <c r="AA300" s="5" t="s">
        <v>63</v>
      </c>
      <c r="AB300" s="5" t="s">
        <v>64</v>
      </c>
      <c r="AC300" s="5" t="s">
        <v>1183</v>
      </c>
      <c r="AD300" s="5" t="s">
        <v>1183</v>
      </c>
      <c r="AE300" s="5" t="s">
        <v>66</v>
      </c>
      <c r="AF300" s="5"/>
      <c r="AG300" s="4"/>
    </row>
    <row r="301" spans="1:33" ht="17.100000000000001" customHeight="1">
      <c r="A301" s="4" t="s">
        <v>1188</v>
      </c>
      <c r="B301" s="4"/>
      <c r="C301" s="4" t="s">
        <v>1189</v>
      </c>
      <c r="D301" s="4" t="s">
        <v>728</v>
      </c>
      <c r="E301" s="12" t="str">
        <f t="shared" si="37"/>
        <v>Latimer</v>
      </c>
      <c r="F301" s="13" t="str">
        <f t="array" ref="F301">_xlfn.LET(
 _xlpm.authors,_xlfn.TEXTBEFORE(A301," ("&amp;G301&amp;")"),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01" s="13" t="str">
        <f t="shared" si="38"/>
        <v>1942</v>
      </c>
      <c r="H301" s="12" t="str">
        <f t="shared" si="39"/>
        <v>Latimer__1942</v>
      </c>
      <c r="I301" s="12" t="str">
        <f>_xlfn.LET(_xlpm.doi,IF(C301&lt;&gt;"",C301,_xlfn.TEXTAFTER(A301,"https://doi.org/")),SUBSTITUTE(SUBSTITUTE(SUBSTITUTE(SUBSTITUTE(_xlpm.doi,"/","%2F"),":","%3A"),"&lt;","%3C"),"&gt;","%3E"))</f>
        <v>10.0001%2Fplaceholder</v>
      </c>
      <c r="J301" s="12" t="str">
        <f t="shared" si="40"/>
        <v>Latimer__1942_TABLEI</v>
      </c>
      <c r="K301" s="13" t="str">
        <f t="shared" si="41"/>
        <v>10.0001%2Fplaceholder_TABLEI</v>
      </c>
      <c r="L301" s="13" t="str">
        <f t="array" ref="L301">IFERROR(INDEX(AUTO_Public_TSV_FileList!$A$1:$A$1000,MATCH(TRUE(),EXACT(K301,IFERROR(_xlfn.TEXTBEFORE(AUTO_Public_TSV_FileList!$A$1:$A$1000,".tsv"),"")),0)),"notfound")</f>
        <v>10.0001%2Fplaceholder_TABLEI.tsv</v>
      </c>
      <c r="M301" s="4" t="s">
        <v>1190</v>
      </c>
      <c r="N301" s="4" t="s">
        <v>35</v>
      </c>
      <c r="O301" s="4"/>
      <c r="P301" s="4" t="s">
        <v>36</v>
      </c>
      <c r="Q301" s="4"/>
      <c r="R301" s="4"/>
      <c r="S301" s="4"/>
      <c r="T301" s="4"/>
      <c r="U301" s="4"/>
      <c r="V301" s="4"/>
      <c r="W301" s="4" t="s">
        <v>1191</v>
      </c>
      <c r="X301" s="4" t="s">
        <v>1192</v>
      </c>
      <c r="Y301" s="4" t="s">
        <v>1193</v>
      </c>
      <c r="Z301" s="4" t="s">
        <v>1160</v>
      </c>
      <c r="AA301" s="4" t="s">
        <v>1194</v>
      </c>
      <c r="AB301" s="4" t="s">
        <v>1195</v>
      </c>
      <c r="AC301" s="4"/>
      <c r="AD301" s="4"/>
      <c r="AE301" s="4" t="s">
        <v>66</v>
      </c>
      <c r="AF301" s="4"/>
      <c r="AG301" s="4"/>
    </row>
    <row r="302" spans="1:33" ht="17.100000000000001" customHeight="1">
      <c r="A302" s="4" t="s">
        <v>1196</v>
      </c>
      <c r="B302" s="4"/>
      <c r="C302" s="4"/>
      <c r="D302" s="4" t="s">
        <v>70</v>
      </c>
      <c r="E302" s="12" t="str">
        <f t="shared" si="37"/>
        <v>Latimer</v>
      </c>
      <c r="F302" s="13" t="str">
        <f t="array" ref="F302">_xlfn.LET(
 _xlpm.authors,_xlfn.TEXTBEFORE(A302," ("&amp;G302&amp;")"),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02" s="13" t="str">
        <f t="shared" si="38"/>
        <v>1956</v>
      </c>
      <c r="H302" s="12" t="str">
        <f t="shared" si="39"/>
        <v>Latimer__1956</v>
      </c>
      <c r="I302" s="12" t="str">
        <f>_xlfn.LET(_xlpm.doi,IF(C302&lt;&gt;"",C302,_xlfn.TEXTAFTER(A302,"https://doi.org/")),SUBSTITUTE(SUBSTITUTE(SUBSTITUTE(SUBSTITUTE(_xlpm.doi,"/","%2F"),":","%3A"),"&lt;","%3C"),"&gt;","%3E"))</f>
        <v>10.2307%2F3626308</v>
      </c>
      <c r="J302" s="12" t="str">
        <f t="shared" si="40"/>
        <v>Latimer__1956_Table2</v>
      </c>
      <c r="K302" s="13" t="str">
        <f t="shared" si="41"/>
        <v>10.2307%2F3626308_Table2</v>
      </c>
      <c r="L302" s="13" t="str">
        <f t="array" ref="L302">IFERROR(INDEX(AUTO_Public_TSV_FileList!$A$1:$A$1000,MATCH(TRUE(),EXACT(K302,IFERROR(_xlfn.TEXTBEFORE(AUTO_Public_TSV_FileList!$A$1:$A$1000,".tsv"),"")),0)),"notfound")</f>
        <v>10.2307%2F3626308_Table2.tsv</v>
      </c>
      <c r="M302" s="4" t="s">
        <v>1197</v>
      </c>
      <c r="N302" s="4"/>
      <c r="O302" s="4"/>
      <c r="P302" s="4"/>
      <c r="Q302" s="4"/>
      <c r="R302" s="4"/>
      <c r="S302" s="4"/>
      <c r="T302" s="4"/>
      <c r="U302" s="4"/>
      <c r="V302" s="4"/>
      <c r="W302" s="4"/>
      <c r="X302" s="4"/>
      <c r="Y302" s="4"/>
      <c r="Z302" s="4"/>
      <c r="AA302" s="4"/>
      <c r="AB302" s="4"/>
      <c r="AC302" s="4"/>
      <c r="AD302" s="4"/>
      <c r="AE302" s="4"/>
      <c r="AF302" s="4"/>
      <c r="AG302" s="4"/>
    </row>
    <row r="303" spans="1:33" ht="17.100000000000001" customHeight="1">
      <c r="A303" s="5" t="s">
        <v>1198</v>
      </c>
      <c r="B303" s="4"/>
      <c r="C303" s="4"/>
      <c r="D303" s="5" t="s">
        <v>1071</v>
      </c>
      <c r="E303" s="13" t="str">
        <f t="shared" si="37"/>
        <v>Lewitus</v>
      </c>
      <c r="F303" s="13" t="str">
        <f t="array" ref="F303">_xlfn.LET(
 _xlpm.authors,_xlfn.TEXTBEFORE(A303," ("&amp;G303&amp;")"),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3" s="13" t="str">
        <f t="shared" si="38"/>
        <v>2013</v>
      </c>
      <c r="H303" s="13" t="str">
        <f t="shared" si="39"/>
        <v>Lewitus_etal_2013</v>
      </c>
      <c r="I303" s="13" t="str">
        <f t="shared" ref="I303:I321" si="59">_xlfn.LET(
_xlpm.doi,IF(C303&lt;&gt;"",C303,_xlfn.TEXTAFTER(A303,"https://doi.org/")),
SUBSTITUTE(
SUBSTITUTE(
SUBSTITUTE(
SUBSTITUTE(
_xlpm.doi,
"/","%2F"),
":","%3A"),
"&lt;","%3C"),
"&gt;","%3E")
)</f>
        <v>10.3389%2Ffnhum.2013.00424</v>
      </c>
      <c r="J303" s="13" t="str">
        <f t="shared" si="40"/>
        <v>Lewitus_etal_2013_TableA1</v>
      </c>
      <c r="K303" s="13" t="str">
        <f t="shared" si="41"/>
        <v>10.3389%2Ffnhum.2013.00424_TableA1</v>
      </c>
      <c r="L303" s="13" t="str">
        <f t="array" ref="L303">IFERROR(INDEX(AUTO_Public_TSV_FileList!$A$1:$A$1000,MATCH(TRUE(),EXACT(K303,IFERROR(_xlfn.TEXTBEFORE(AUTO_Public_TSV_FileList!$A$1:$A$1000,".tsv"),"")),0)),"notfound")</f>
        <v>10.3389%2Ffnhum.2013.00424_TableA1.tsv</v>
      </c>
      <c r="M303" s="5" t="s">
        <v>1199</v>
      </c>
      <c r="N303" s="4"/>
      <c r="O303" s="4"/>
      <c r="P303" s="5"/>
      <c r="Q303" s="4"/>
      <c r="R303" s="4"/>
      <c r="S303" s="4"/>
      <c r="T303" s="4"/>
      <c r="U303" s="4"/>
      <c r="V303" s="4"/>
      <c r="W303" s="5" t="s">
        <v>138</v>
      </c>
      <c r="X303" s="5"/>
      <c r="Y303" s="4"/>
      <c r="Z303" s="4"/>
      <c r="AA303" s="4"/>
      <c r="AB303" s="5" t="s">
        <v>1200</v>
      </c>
      <c r="AC303" s="4"/>
      <c r="AD303" s="4"/>
      <c r="AE303" s="5" t="s">
        <v>179</v>
      </c>
      <c r="AF303" s="5"/>
      <c r="AG303" s="4"/>
    </row>
    <row r="304" spans="1:33" ht="17.100000000000001" customHeight="1">
      <c r="A304" s="5" t="s">
        <v>1201</v>
      </c>
      <c r="B304" s="4"/>
      <c r="C304" s="4"/>
      <c r="D304" s="5" t="s">
        <v>231</v>
      </c>
      <c r="E304" s="13" t="str">
        <f t="shared" si="37"/>
        <v>Lewitus</v>
      </c>
      <c r="F304" s="13" t="str">
        <f t="array" ref="F304">_xlfn.LET(
 _xlpm.authors,_xlfn.TEXTBEFORE(A304," ("&amp;G304&amp;")"),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4" s="13" t="str">
        <f t="shared" si="38"/>
        <v>2014</v>
      </c>
      <c r="H304" s="13" t="str">
        <f t="shared" si="39"/>
        <v>Lewitus_etal_2014</v>
      </c>
      <c r="I304" s="13" t="str">
        <f t="shared" si="59"/>
        <v>10.1371%2Fjournal.pbio.1002000</v>
      </c>
      <c r="J304" s="13" t="str">
        <f t="shared" si="40"/>
        <v>Lewitus_etal_2014_TableS1</v>
      </c>
      <c r="K304" s="13" t="str">
        <f t="shared" si="41"/>
        <v>10.1371%2Fjournal.pbio.1002000_TableS1</v>
      </c>
      <c r="L304" s="13" t="str">
        <f t="array" ref="L304">IFERROR(INDEX(AUTO_Public_TSV_FileList!$A$1:$A$1000,MATCH(TRUE(),EXACT(K304,IFERROR(_xlfn.TEXTBEFORE(AUTO_Public_TSV_FileList!$A$1:$A$1000,".tsv"),"")),0)),"notfound")</f>
        <v>10.1371%2Fjournal.pbio.1002000_TableS1.tsv</v>
      </c>
      <c r="M304" s="5" t="s">
        <v>1202</v>
      </c>
      <c r="N304" s="4"/>
      <c r="O304" s="4"/>
      <c r="P304" s="5" t="s">
        <v>36</v>
      </c>
      <c r="Q304" s="4"/>
      <c r="R304" s="4"/>
      <c r="S304" s="4"/>
      <c r="T304" s="4"/>
      <c r="U304" s="4"/>
      <c r="V304" s="4"/>
      <c r="W304" s="5" t="s">
        <v>138</v>
      </c>
      <c r="X304" s="5" t="s">
        <v>1203</v>
      </c>
      <c r="Y304" s="4"/>
      <c r="Z304" s="4"/>
      <c r="AA304" s="4"/>
      <c r="AB304" s="5" t="s">
        <v>1204</v>
      </c>
      <c r="AC304" s="4"/>
      <c r="AD304" s="4"/>
      <c r="AE304" s="5" t="s">
        <v>179</v>
      </c>
      <c r="AF304" s="5"/>
      <c r="AG304" s="4"/>
    </row>
    <row r="305" spans="1:33" ht="17.100000000000001" customHeight="1">
      <c r="A305" s="5" t="s">
        <v>1201</v>
      </c>
      <c r="B305" s="4"/>
      <c r="C305" s="4"/>
      <c r="D305" s="5" t="s">
        <v>1035</v>
      </c>
      <c r="E305" s="13" t="str">
        <f t="shared" si="37"/>
        <v>Lewitus</v>
      </c>
      <c r="F305" s="13" t="str">
        <f t="array" ref="F305">_xlfn.LET(
 _xlpm.authors,_xlfn.TEXTBEFORE(A305," ("&amp;G305&amp;")"),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5" s="13" t="str">
        <f t="shared" si="38"/>
        <v>2014</v>
      </c>
      <c r="H305" s="13" t="str">
        <f t="shared" si="39"/>
        <v>Lewitus_etal_2014</v>
      </c>
      <c r="I305" s="13" t="str">
        <f t="shared" si="59"/>
        <v>10.1371%2Fjournal.pbio.1002000</v>
      </c>
      <c r="J305" s="13" t="str">
        <f t="shared" si="40"/>
        <v>Lewitus_etal_2014_TableS8</v>
      </c>
      <c r="K305" s="13" t="str">
        <f t="shared" si="41"/>
        <v>10.1371%2Fjournal.pbio.1002000_TableS8</v>
      </c>
      <c r="L305" s="13" t="str">
        <f t="array" ref="L305">IFERROR(INDEX(AUTO_Public_TSV_FileList!$A$1:$A$1000,MATCH(TRUE(),EXACT(K305,IFERROR(_xlfn.TEXTBEFORE(AUTO_Public_TSV_FileList!$A$1:$A$1000,".tsv"),"")),0)),"notfound")</f>
        <v>10.1371%2Fjournal.pbio.1002000_TableS8.tsv</v>
      </c>
      <c r="M305" s="5" t="s">
        <v>1205</v>
      </c>
      <c r="N305" s="4"/>
      <c r="O305" s="4"/>
      <c r="P305" s="5" t="s">
        <v>36</v>
      </c>
      <c r="Q305" s="4"/>
      <c r="R305" s="4"/>
      <c r="S305" s="4"/>
      <c r="T305" s="4"/>
      <c r="U305" s="4"/>
      <c r="V305" s="4"/>
      <c r="W305" s="5" t="s">
        <v>138</v>
      </c>
      <c r="X305" s="5" t="s">
        <v>1203</v>
      </c>
      <c r="Y305" s="4"/>
      <c r="Z305" s="4"/>
      <c r="AA305" s="4"/>
      <c r="AB305" s="5" t="s">
        <v>1204</v>
      </c>
      <c r="AC305" s="4"/>
      <c r="AD305" s="4"/>
      <c r="AE305" s="5" t="s">
        <v>179</v>
      </c>
      <c r="AF305" s="5"/>
      <c r="AG305" s="4"/>
    </row>
    <row r="306" spans="1:33" ht="17.100000000000001" customHeight="1">
      <c r="A306" s="5" t="s">
        <v>1206</v>
      </c>
      <c r="B306" s="4"/>
      <c r="C306" s="4"/>
      <c r="D306" s="5" t="s">
        <v>231</v>
      </c>
      <c r="E306" s="13" t="str">
        <f t="shared" si="37"/>
        <v>Liu</v>
      </c>
      <c r="F306" s="13" t="str">
        <f t="array" ref="F306">_xlfn.LET(
 _xlpm.authors,_xlfn.TEXTBEFORE(A306," ("&amp;G306&amp;")"),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6" s="13" t="str">
        <f t="shared" si="38"/>
        <v>2016</v>
      </c>
      <c r="H306" s="13" t="str">
        <f t="shared" si="39"/>
        <v>Liu_etal_2016</v>
      </c>
      <c r="I306" s="13" t="str">
        <f t="shared" si="59"/>
        <v>10.1098%2Frspb.2016.1923</v>
      </c>
      <c r="J306" s="13" t="str">
        <f t="shared" si="40"/>
        <v>Liu_etal_2016_TableS1</v>
      </c>
      <c r="K306" s="13" t="str">
        <f t="shared" si="41"/>
        <v>10.1098%2Frspb.2016.1923_TableS1</v>
      </c>
      <c r="L306" s="13" t="str">
        <f t="array" ref="L306">IFERROR(INDEX(AUTO_Public_TSV_FileList!$A$1:$A$1000,MATCH(TRUE(),EXACT(K306,IFERROR(_xlfn.TEXTBEFORE(AUTO_Public_TSV_FileList!$A$1:$A$1000,".tsv"),"")),0)),"notfound")</f>
        <v>10.1098%2Frspb.2016.1923_TableS1.tsv</v>
      </c>
      <c r="M306" s="4"/>
      <c r="N306" s="5" t="s">
        <v>35</v>
      </c>
      <c r="O306" s="4"/>
      <c r="P306" s="5" t="s">
        <v>36</v>
      </c>
      <c r="Q306" s="5"/>
      <c r="R306" s="4"/>
      <c r="S306" s="4"/>
      <c r="T306" s="4"/>
      <c r="U306" s="4"/>
      <c r="V306" s="4"/>
      <c r="W306" s="5" t="s">
        <v>100</v>
      </c>
      <c r="X306" s="5" t="s">
        <v>1207</v>
      </c>
      <c r="Y306" s="4"/>
      <c r="Z306" s="4"/>
      <c r="AA306" s="4"/>
      <c r="AB306" s="5" t="s">
        <v>1208</v>
      </c>
      <c r="AC306" s="5" t="s">
        <v>1209</v>
      </c>
      <c r="AD306" s="4"/>
      <c r="AE306" s="5" t="s">
        <v>179</v>
      </c>
      <c r="AF306" s="5"/>
      <c r="AG306" s="5" t="s">
        <v>1210</v>
      </c>
    </row>
    <row r="307" spans="1:33" ht="17.100000000000001" customHeight="1">
      <c r="A307" s="5" t="s">
        <v>1211</v>
      </c>
      <c r="B307" s="4"/>
      <c r="C307" s="4"/>
      <c r="D307" s="5" t="s">
        <v>81</v>
      </c>
      <c r="E307" s="13" t="str">
        <f t="shared" si="37"/>
        <v>Lyamin</v>
      </c>
      <c r="F307" s="13" t="str">
        <f t="array" ref="F307">_xlfn.LET(
 _xlpm.authors,_xlfn.TEXTBEFORE(A307," ("&amp;G307&amp;")"),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7" s="13" t="str">
        <f t="shared" si="38"/>
        <v>2008</v>
      </c>
      <c r="H307" s="13" t="str">
        <f t="shared" si="39"/>
        <v>Lyamin_etal_2008</v>
      </c>
      <c r="I307" s="13" t="str">
        <f t="shared" si="59"/>
        <v>10.1016%2Fj.neubiorev.2008.05.023</v>
      </c>
      <c r="J307" s="13" t="str">
        <f t="shared" si="40"/>
        <v>Lyamin_etal_2008_Table1</v>
      </c>
      <c r="K307" s="13" t="str">
        <f t="shared" si="41"/>
        <v>10.1016%2Fj.neubiorev.2008.05.023_Table1</v>
      </c>
      <c r="L307" s="13" t="str">
        <f t="array" ref="L307">IFERROR(INDEX(AUTO_Public_TSV_FileList!$A$1:$A$1000,MATCH(TRUE(),EXACT(K307,IFERROR(_xlfn.TEXTBEFORE(AUTO_Public_TSV_FileList!$A$1:$A$1000,".tsv"),"")),0)),"notfound")</f>
        <v>10.1016%2Fj.neubiorev.2008.05.023_Table1.tsv</v>
      </c>
      <c r="M307" s="4"/>
      <c r="N307" s="4"/>
      <c r="O307" s="4"/>
      <c r="P307" s="5" t="s">
        <v>36</v>
      </c>
      <c r="Q307" s="4"/>
      <c r="R307" s="4"/>
      <c r="S307" s="4"/>
      <c r="T307" s="4"/>
      <c r="U307" s="4"/>
      <c r="V307" s="4"/>
      <c r="W307" s="4"/>
      <c r="X307" s="4"/>
      <c r="Y307" s="4"/>
      <c r="Z307" s="4"/>
      <c r="AA307" s="4"/>
      <c r="AB307" s="4"/>
      <c r="AC307" s="4"/>
      <c r="AD307" s="4"/>
      <c r="AE307" s="4"/>
      <c r="AF307" s="4"/>
      <c r="AG307" s="4"/>
    </row>
    <row r="308" spans="1:33" ht="17.100000000000001" customHeight="1">
      <c r="A308" s="5" t="s">
        <v>1211</v>
      </c>
      <c r="B308" s="4"/>
      <c r="C308" s="4"/>
      <c r="D308" s="5" t="s">
        <v>70</v>
      </c>
      <c r="E308" s="13" t="str">
        <f t="shared" si="37"/>
        <v>Lyamin</v>
      </c>
      <c r="F308" s="13" t="str">
        <f t="array" ref="F308">_xlfn.LET(
 _xlpm.authors,_xlfn.TEXTBEFORE(A308," ("&amp;G308&amp;")"),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8" s="13" t="str">
        <f t="shared" si="38"/>
        <v>2008</v>
      </c>
      <c r="H308" s="13" t="str">
        <f t="shared" si="39"/>
        <v>Lyamin_etal_2008</v>
      </c>
      <c r="I308" s="13" t="str">
        <f t="shared" si="59"/>
        <v>10.1016%2Fj.neubiorev.2008.05.023</v>
      </c>
      <c r="J308" s="13" t="str">
        <f t="shared" si="40"/>
        <v>Lyamin_etal_2008_Table2</v>
      </c>
      <c r="K308" s="13" t="str">
        <f t="shared" si="41"/>
        <v>10.1016%2Fj.neubiorev.2008.05.023_Table2</v>
      </c>
      <c r="L308" s="13" t="str">
        <f t="array" ref="L308">IFERROR(INDEX(AUTO_Public_TSV_FileList!$A$1:$A$1000,MATCH(TRUE(),EXACT(K308,IFERROR(_xlfn.TEXTBEFORE(AUTO_Public_TSV_FileList!$A$1:$A$1000,".tsv"),"")),0)),"notfound")</f>
        <v>10.1016%2Fj.neubiorev.2008.05.023_Table2.tsv</v>
      </c>
      <c r="M308" s="4"/>
      <c r="N308" s="4"/>
      <c r="O308" s="4" t="s">
        <v>1212</v>
      </c>
      <c r="P308" s="5" t="s">
        <v>36</v>
      </c>
      <c r="Q308" s="4"/>
      <c r="R308" s="4"/>
      <c r="S308" s="4"/>
      <c r="T308" s="4"/>
      <c r="U308" s="4"/>
      <c r="V308" s="4"/>
      <c r="W308" s="4"/>
      <c r="X308" s="4"/>
      <c r="Y308" s="4"/>
      <c r="Z308" s="4"/>
      <c r="AA308" s="4"/>
      <c r="AB308" s="4"/>
      <c r="AC308" s="4"/>
      <c r="AD308" s="4"/>
      <c r="AE308" s="4"/>
      <c r="AF308" s="4"/>
      <c r="AG308" s="4"/>
    </row>
    <row r="309" spans="1:33" ht="17.100000000000001" customHeight="1">
      <c r="A309" s="4" t="s">
        <v>1213</v>
      </c>
      <c r="B309" s="4"/>
      <c r="C309" s="4"/>
      <c r="D309" s="4" t="s">
        <v>1214</v>
      </c>
      <c r="E309" s="12" t="str">
        <f t="shared" si="37"/>
        <v>Mackes</v>
      </c>
      <c r="F309" s="12" t="str">
        <f t="array" ref="F309">_xlfn.LET(
 _xlpm.authors,_xlfn.TEXTBEFORE(A309," ("&amp;G309&amp;")"),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09" s="12" t="str">
        <f t="shared" si="38"/>
        <v>2020</v>
      </c>
      <c r="H309" s="12" t="str">
        <f t="shared" si="39"/>
        <v>Mackes_etal_2020</v>
      </c>
      <c r="I309" s="12" t="str">
        <f t="shared" si="59"/>
        <v>10.1073%2Fpnas.1911264116</v>
      </c>
      <c r="J309" s="12" t="str">
        <f t="shared" si="40"/>
        <v>Mackes_etal_2020_ERABIS(cortical)</v>
      </c>
      <c r="K309" s="12" t="str">
        <f>I309 &amp; "_" &amp; SUBSTITUTE(SUBSTITUTE(SUBSTITUTE(D309,CHAR(160),""), " ", ""), "_", "")</f>
        <v>10.1073%2Fpnas.1911264116_ERABIS(cortical)</v>
      </c>
      <c r="L309" s="13" t="str">
        <f t="array" ref="L309">IFERROR(INDEX(AUTO_Public_TSV_FileList!$A$1:$A$1000,MATCH(TRUE(),EXACT(K309,IFERROR(_xlfn.TEXTBEFORE(AUTO_Public_TSV_FileList!$A$1:$A$1000,".tsv"),"")),0)),"notfound")</f>
        <v>10.1073%2Fpnas.1911264116_ERABIS(cortical).tsv</v>
      </c>
      <c r="M309" s="4" t="s">
        <v>1215</v>
      </c>
      <c r="N309" s="4" t="s">
        <v>1045</v>
      </c>
      <c r="O309" s="4"/>
      <c r="P309" s="4" t="s">
        <v>36</v>
      </c>
      <c r="Q309" s="4" t="s">
        <v>1216</v>
      </c>
      <c r="R309" s="4"/>
      <c r="S309" s="4"/>
      <c r="T309" s="4"/>
      <c r="U309" s="4"/>
      <c r="V309" s="4"/>
      <c r="W309" s="4" t="s">
        <v>644</v>
      </c>
      <c r="X309" s="4"/>
      <c r="Y309" s="4"/>
      <c r="Z309" s="4" t="s">
        <v>1217</v>
      </c>
      <c r="AA309" s="4" t="s">
        <v>1218</v>
      </c>
      <c r="AB309" s="4" t="s">
        <v>90</v>
      </c>
      <c r="AC309" s="4" t="s">
        <v>1219</v>
      </c>
      <c r="AD309" s="4"/>
      <c r="AE309" s="4" t="s">
        <v>66</v>
      </c>
      <c r="AF309" s="4"/>
      <c r="AG309" s="4"/>
    </row>
    <row r="310" spans="1:33" ht="17.100000000000001" customHeight="1">
      <c r="A310" s="4" t="s">
        <v>1213</v>
      </c>
      <c r="B310" s="4"/>
      <c r="C310" s="4"/>
      <c r="D310" s="4" t="s">
        <v>1220</v>
      </c>
      <c r="E310" s="12" t="str">
        <f t="shared" si="37"/>
        <v>Mackes</v>
      </c>
      <c r="F310" s="12" t="str">
        <f t="array" ref="F310">_xlfn.LET(
 _xlpm.authors,_xlfn.TEXTBEFORE(A310," ("&amp;G310&amp;")"),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10" s="12" t="str">
        <f t="shared" si="38"/>
        <v>2020</v>
      </c>
      <c r="H310" s="12" t="str">
        <f t="shared" si="39"/>
        <v>Mackes_etal_2020</v>
      </c>
      <c r="I310" s="12" t="str">
        <f t="shared" si="59"/>
        <v>10.1073%2Fpnas.1911264116</v>
      </c>
      <c r="J310" s="12" t="str">
        <f t="shared" si="40"/>
        <v>Mackes_etal_2020_subcortical</v>
      </c>
      <c r="K310" s="12" t="str">
        <f>I310 &amp; "_" &amp; SUBSTITUTE(SUBSTITUTE(SUBSTITUTE(D310,CHAR(160),""), " ", ""), "_", "")</f>
        <v>10.1073%2Fpnas.1911264116_subcortical</v>
      </c>
      <c r="L310" s="13" t="str">
        <f t="array" ref="L310">IFERROR(INDEX(AUTO_Public_TSV_FileList!$A$1:$A$1000,MATCH(TRUE(),EXACT(K310,IFERROR(_xlfn.TEXTBEFORE(AUTO_Public_TSV_FileList!$A$1:$A$1000,".tsv"),"")),0)),"notfound")</f>
        <v>10.1073%2Fpnas.1911264116_subcortical.tsv</v>
      </c>
      <c r="M310" s="4" t="s">
        <v>1221</v>
      </c>
      <c r="N310" s="4" t="s">
        <v>1045</v>
      </c>
      <c r="O310" s="4"/>
      <c r="P310" s="4" t="s">
        <v>36</v>
      </c>
      <c r="Q310" s="4" t="s">
        <v>1222</v>
      </c>
      <c r="R310" s="4"/>
      <c r="S310" s="4"/>
      <c r="T310" s="4"/>
      <c r="U310" s="4"/>
      <c r="V310" s="4"/>
      <c r="W310" s="4" t="s">
        <v>644</v>
      </c>
      <c r="X310" s="4"/>
      <c r="Y310" s="4"/>
      <c r="Z310" s="4" t="s">
        <v>1223</v>
      </c>
      <c r="AA310" s="4" t="s">
        <v>1224</v>
      </c>
      <c r="AB310" s="4" t="s">
        <v>90</v>
      </c>
      <c r="AC310" s="4" t="s">
        <v>1219</v>
      </c>
      <c r="AD310" s="4"/>
      <c r="AE310" s="4" t="s">
        <v>66</v>
      </c>
      <c r="AF310" s="4"/>
      <c r="AG310" s="4"/>
    </row>
    <row r="311" spans="1:33" ht="17.100000000000001" customHeight="1">
      <c r="A311" s="5" t="s">
        <v>1225</v>
      </c>
      <c r="B311" s="4"/>
      <c r="C311" s="4"/>
      <c r="D311" s="5" t="s">
        <v>81</v>
      </c>
      <c r="E311" s="13" t="str">
        <f t="shared" si="37"/>
        <v>MacLarnon</v>
      </c>
      <c r="F311" s="13" t="str">
        <f t="array" ref="F311">_xlfn.LET(
 _xlpm.authors,_xlfn.TEXTBEFORE(A311," ("&amp;G311&amp;")"),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1" s="13" t="str">
        <f t="shared" si="38"/>
        <v>1996</v>
      </c>
      <c r="H311" s="13" t="str">
        <f t="shared" si="39"/>
        <v>MacLarnon__1996</v>
      </c>
      <c r="I311" s="13" t="str">
        <f t="shared" si="59"/>
        <v>10.1006%2Fjhev.1996.0005</v>
      </c>
      <c r="J311" s="13" t="str">
        <f t="shared" si="40"/>
        <v>MacLarnon__1996_Table1</v>
      </c>
      <c r="K311" s="13" t="str">
        <f t="shared" ref="K311:K321" si="60">I311 &amp; "_" &amp; SUBSTITUTE(SUBSTITUTE(SUBSTITUTE(D311,CHAR(160),"")," ",""),"_","")</f>
        <v>10.1006%2Fjhev.1996.0005_Table1</v>
      </c>
      <c r="L311" s="13" t="str">
        <f t="array" ref="L311">IFERROR(INDEX(AUTO_Public_TSV_FileList!$A$1:$A$1000,MATCH(TRUE(),EXACT(K311,IFERROR(_xlfn.TEXTBEFORE(AUTO_Public_TSV_FileList!$A$1:$A$1000,".tsv"),"")),0)),"notfound")</f>
        <v>10.1006%2Fjhev.1996.0005_Table1.tsv</v>
      </c>
      <c r="M311" s="5" t="s">
        <v>1226</v>
      </c>
      <c r="N311" s="4"/>
      <c r="O311" s="4"/>
      <c r="P311" s="5" t="s">
        <v>36</v>
      </c>
      <c r="Q311" s="4"/>
      <c r="R311" s="4"/>
      <c r="S311" s="4"/>
      <c r="T311" s="4"/>
      <c r="U311" s="4"/>
      <c r="V311" s="4"/>
      <c r="W311" s="5" t="s">
        <v>100</v>
      </c>
      <c r="X311" s="5" t="s">
        <v>1227</v>
      </c>
      <c r="Y311" s="4"/>
      <c r="Z311" s="4"/>
      <c r="AA311" s="4"/>
      <c r="AB311" s="5" t="s">
        <v>1228</v>
      </c>
      <c r="AC311" s="4"/>
      <c r="AD311" s="4"/>
      <c r="AE311" s="5" t="s">
        <v>66</v>
      </c>
      <c r="AF311" s="5"/>
      <c r="AG311" s="4"/>
    </row>
    <row r="312" spans="1:33" ht="17.100000000000001" customHeight="1">
      <c r="A312" s="5" t="s">
        <v>1229</v>
      </c>
      <c r="B312" s="4"/>
      <c r="C312" s="5" t="s">
        <v>1230</v>
      </c>
      <c r="D312" s="5" t="s">
        <v>1231</v>
      </c>
      <c r="E312" s="13" t="str">
        <f t="shared" si="37"/>
        <v>MacLeod</v>
      </c>
      <c r="F312" s="13" t="str">
        <f t="array" ref="F312">_xlfn.LET(
 _xlpm.authors,_xlfn.TEXTBEFORE(A312," ("&amp;G312&amp;")"),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2" s="13" t="str">
        <f t="shared" si="38"/>
        <v>2000</v>
      </c>
      <c r="H312" s="13" t="str">
        <f t="shared" si="39"/>
        <v>MacLeod__2000</v>
      </c>
      <c r="I312" s="13" t="str">
        <f t="shared" si="59"/>
        <v>NQ%3A61662</v>
      </c>
      <c r="J312" s="13" t="str">
        <f t="shared" si="40"/>
        <v>MacLeod__2000_APPENDIXI</v>
      </c>
      <c r="K312" s="13" t="str">
        <f t="shared" si="60"/>
        <v>NQ%3A61662_APPENDIXI</v>
      </c>
      <c r="L312" s="13" t="str">
        <f t="array" ref="L312">IFERROR(INDEX(AUTO_Public_TSV_FileList!$A$1:$A$1000,MATCH(TRUE(),EXACT(K312,IFERROR(_xlfn.TEXTBEFORE(AUTO_Public_TSV_FileList!$A$1:$A$1000,".tsv"),"")),0)),"notfound")</f>
        <v>NQ%3A61662_APPENDIXI.tsv</v>
      </c>
      <c r="M312" s="5" t="s">
        <v>1232</v>
      </c>
      <c r="N312" s="4"/>
      <c r="O312" s="4"/>
      <c r="P312" s="5" t="s">
        <v>36</v>
      </c>
      <c r="Q312" s="4"/>
      <c r="R312" s="4"/>
      <c r="S312" s="4"/>
      <c r="T312" s="4"/>
      <c r="U312" s="4"/>
      <c r="V312" s="4"/>
      <c r="W312" s="4"/>
      <c r="X312" s="4"/>
      <c r="Y312" s="4"/>
      <c r="Z312" s="4"/>
      <c r="AA312" s="4"/>
      <c r="AB312" s="4"/>
      <c r="AC312" s="4"/>
      <c r="AD312" s="4"/>
      <c r="AE312" s="4"/>
      <c r="AF312" s="4"/>
      <c r="AG312" s="4"/>
    </row>
    <row r="313" spans="1:33" ht="17.100000000000001" customHeight="1">
      <c r="A313" s="5" t="s">
        <v>1233</v>
      </c>
      <c r="B313" s="4"/>
      <c r="C313" s="4"/>
      <c r="D313" s="5" t="s">
        <v>81</v>
      </c>
      <c r="E313" s="13" t="str">
        <f t="shared" si="37"/>
        <v>MacLeod</v>
      </c>
      <c r="F313" s="13" t="str">
        <f t="array" ref="F313">_xlfn.LET(
 _xlpm.authors,_xlfn.TEXTBEFORE(A313," ("&amp;G313&amp;")"),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13" s="13" t="str">
        <f t="shared" si="38"/>
        <v>2003</v>
      </c>
      <c r="H313" s="13" t="str">
        <f t="shared" si="39"/>
        <v>MacLeod_etal_2003</v>
      </c>
      <c r="I313" s="13" t="str">
        <f t="shared" si="59"/>
        <v>10.1016%2Fs0047-2484(03)00028-9</v>
      </c>
      <c r="J313" s="13" t="str">
        <f t="shared" si="40"/>
        <v>MacLeod_etal_2003_Table1</v>
      </c>
      <c r="K313" s="13" t="str">
        <f t="shared" si="60"/>
        <v>10.1016%2Fs0047-2484(03)00028-9_Table1</v>
      </c>
      <c r="L313" s="13" t="str">
        <f t="array" ref="L313">IFERROR(INDEX(AUTO_Public_TSV_FileList!$A$1:$A$1000,MATCH(TRUE(),EXACT(K313,IFERROR(_xlfn.TEXTBEFORE(AUTO_Public_TSV_FileList!$A$1:$A$1000,".tsv"),"")),0)),"notfound")</f>
        <v>10.1016%2Fs0047-2484(03)00028-9_Table1.tsv</v>
      </c>
      <c r="M313" s="5" t="s">
        <v>1234</v>
      </c>
      <c r="N313" s="4"/>
      <c r="O313" s="4"/>
      <c r="P313" s="5" t="s">
        <v>36</v>
      </c>
      <c r="Q313" s="4"/>
      <c r="R313" s="4"/>
      <c r="S313" s="4"/>
      <c r="T313" s="4"/>
      <c r="U313" s="4"/>
      <c r="V313" s="4"/>
      <c r="W313" s="5" t="s">
        <v>100</v>
      </c>
      <c r="X313" s="5" t="s">
        <v>1235</v>
      </c>
      <c r="Y313" s="4"/>
      <c r="Z313" s="5" t="s">
        <v>1236</v>
      </c>
      <c r="AA313" s="5" t="s">
        <v>130</v>
      </c>
      <c r="AB313" s="5" t="s">
        <v>90</v>
      </c>
      <c r="AC313" s="5" t="s">
        <v>1237</v>
      </c>
      <c r="AD313" s="5" t="s">
        <v>1238</v>
      </c>
      <c r="AE313" s="5" t="s">
        <v>66</v>
      </c>
      <c r="AF313" s="5"/>
      <c r="AG313" s="4"/>
    </row>
    <row r="314" spans="1:33" ht="17.100000000000001" customHeight="1">
      <c r="A314" s="5" t="s">
        <v>1233</v>
      </c>
      <c r="B314" s="4"/>
      <c r="C314" s="4"/>
      <c r="D314" s="5" t="s">
        <v>70</v>
      </c>
      <c r="E314" s="13" t="str">
        <f t="shared" si="37"/>
        <v>MacLeod</v>
      </c>
      <c r="F314" s="13" t="str">
        <f t="array" ref="F314">_xlfn.LET(
 _xlpm.authors,_xlfn.TEXTBEFORE(A314," ("&amp;G314&amp;")"),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14" s="13" t="str">
        <f t="shared" si="38"/>
        <v>2003</v>
      </c>
      <c r="H314" s="13" t="str">
        <f t="shared" si="39"/>
        <v>MacLeod_etal_2003</v>
      </c>
      <c r="I314" s="13" t="str">
        <f t="shared" si="59"/>
        <v>10.1016%2Fs0047-2484(03)00028-9</v>
      </c>
      <c r="J314" s="13" t="str">
        <f t="shared" si="40"/>
        <v>MacLeod_etal_2003_Table2</v>
      </c>
      <c r="K314" s="13" t="str">
        <f t="shared" si="60"/>
        <v>10.1016%2Fs0047-2484(03)00028-9_Table2</v>
      </c>
      <c r="L314" s="13" t="str">
        <f t="array" ref="L314">IFERROR(INDEX(AUTO_Public_TSV_FileList!$A$1:$A$1000,MATCH(TRUE(),EXACT(K314,IFERROR(_xlfn.TEXTBEFORE(AUTO_Public_TSV_FileList!$A$1:$A$1000,".tsv"),"")),0)),"notfound")</f>
        <v>10.1016%2Fs0047-2484(03)00028-9_Table2.tsv</v>
      </c>
      <c r="M314" s="5" t="s">
        <v>1239</v>
      </c>
      <c r="N314" s="4"/>
      <c r="O314" s="4"/>
      <c r="P314" s="5" t="s">
        <v>36</v>
      </c>
      <c r="Q314" s="4"/>
      <c r="R314" s="4"/>
      <c r="S314" s="4"/>
      <c r="T314" s="4"/>
      <c r="U314" s="4"/>
      <c r="V314" s="4"/>
      <c r="W314" s="5" t="s">
        <v>100</v>
      </c>
      <c r="X314" s="5" t="s">
        <v>1235</v>
      </c>
      <c r="Y314" s="4"/>
      <c r="Z314" s="5" t="s">
        <v>83</v>
      </c>
      <c r="AA314" s="5" t="s">
        <v>130</v>
      </c>
      <c r="AB314" s="5" t="s">
        <v>90</v>
      </c>
      <c r="AC314" s="5" t="s">
        <v>417</v>
      </c>
      <c r="AD314" s="5" t="s">
        <v>417</v>
      </c>
      <c r="AE314" s="5" t="s">
        <v>66</v>
      </c>
      <c r="AF314" s="5"/>
      <c r="AG314" s="4"/>
    </row>
    <row r="315" spans="1:33" ht="17.100000000000001" customHeight="1">
      <c r="A315" s="5" t="s">
        <v>1240</v>
      </c>
      <c r="B315" s="4"/>
      <c r="C315" s="4"/>
      <c r="D315" s="5" t="s">
        <v>81</v>
      </c>
      <c r="E315" s="13" t="str">
        <f t="shared" si="37"/>
        <v>Manger</v>
      </c>
      <c r="F315" s="13" t="str">
        <f t="array" ref="F315">_xlfn.LET(
 _xlpm.authors,_xlfn.TEXTBEFORE(A315," ("&amp;G315&amp;")"),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5" s="13" t="str">
        <f t="shared" si="38"/>
        <v>2006</v>
      </c>
      <c r="H315" s="13" t="str">
        <f t="shared" si="39"/>
        <v>Manger__2006</v>
      </c>
      <c r="I315" s="13" t="str">
        <f t="shared" si="59"/>
        <v>10.1017%2FS1464793106007019</v>
      </c>
      <c r="J315" s="13" t="str">
        <f t="shared" si="40"/>
        <v>Manger__2006_Table1</v>
      </c>
      <c r="K315" s="13" t="str">
        <f t="shared" si="60"/>
        <v>10.1017%2FS1464793106007019_Table1</v>
      </c>
      <c r="L315" s="13" t="str">
        <f t="array" ref="L315">IFERROR(INDEX(AUTO_Public_TSV_FileList!$A$1:$A$1000,MATCH(TRUE(),EXACT(K315,IFERROR(_xlfn.TEXTBEFORE(AUTO_Public_TSV_FileList!$A$1:$A$1000,".tsv"),"")),0)),"notfound")</f>
        <v>10.1017%2FS1464793106007019_Table1.tsv</v>
      </c>
      <c r="M315" s="4"/>
      <c r="N315" s="4"/>
      <c r="O315" s="4"/>
      <c r="P315" s="5" t="s">
        <v>36</v>
      </c>
      <c r="Q315" s="4"/>
      <c r="R315" s="4"/>
      <c r="S315" s="4"/>
      <c r="T315" s="4"/>
      <c r="U315" s="4"/>
      <c r="V315" s="4"/>
      <c r="W315" s="4"/>
      <c r="X315" s="4"/>
      <c r="Y315" s="4"/>
      <c r="Z315" s="4"/>
      <c r="AA315" s="4"/>
      <c r="AB315" s="4"/>
      <c r="AC315" s="4"/>
      <c r="AD315" s="4"/>
      <c r="AE315" s="4"/>
      <c r="AF315" s="4"/>
      <c r="AG315" s="4"/>
    </row>
    <row r="316" spans="1:33" ht="17.100000000000001" customHeight="1">
      <c r="A316" s="5" t="s">
        <v>1241</v>
      </c>
      <c r="B316" s="4"/>
      <c r="C316" s="4"/>
      <c r="D316" s="5" t="s">
        <v>1242</v>
      </c>
      <c r="E316" s="13" t="str">
        <f t="shared" si="37"/>
        <v>ManyPrimates</v>
      </c>
      <c r="F316" s="13" t="str">
        <f t="array" ref="F316">_xlfn.LET(
 _xlpm.authors,_xlfn.TEXTBEFORE(A316," ("&amp;G316&amp;")"),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6" s="13" t="str">
        <f t="shared" si="38"/>
        <v>2022</v>
      </c>
      <c r="H316" s="13" t="str">
        <f t="shared" si="39"/>
        <v>ManyPrimates__2022</v>
      </c>
      <c r="I316" s="13" t="str">
        <f t="shared" si="59"/>
        <v>10.26451%2Fabc.09.04.06.2022</v>
      </c>
      <c r="J316" s="13" t="str">
        <f t="shared" si="40"/>
        <v>ManyPrimates__2022_speciespredictors</v>
      </c>
      <c r="K316" s="13" t="str">
        <f t="shared" si="60"/>
        <v>10.26451%2Fabc.09.04.06.2022_speciespredictors</v>
      </c>
      <c r="L316" s="13" t="str">
        <f t="array" ref="L316">IFERROR(INDEX(AUTO_Public_TSV_FileList!$A$1:$A$1000,MATCH(TRUE(),EXACT(K316,IFERROR(_xlfn.TEXTBEFORE(AUTO_Public_TSV_FileList!$A$1:$A$1000,".tsv"),"")),0)),"notfound")</f>
        <v>10.26451%2Fabc.09.04.06.2022_speciespredictors.tsv</v>
      </c>
      <c r="M316" s="4"/>
      <c r="N316" s="5" t="s">
        <v>35</v>
      </c>
      <c r="O316" s="4"/>
      <c r="P316" s="5" t="s">
        <v>36</v>
      </c>
      <c r="Q316" s="4"/>
      <c r="R316" s="5" t="s">
        <v>1243</v>
      </c>
      <c r="S316" s="4"/>
      <c r="T316" s="4"/>
      <c r="U316" s="4"/>
      <c r="V316" s="5"/>
      <c r="W316" s="5" t="s">
        <v>100</v>
      </c>
      <c r="X316" s="5" t="s">
        <v>1244</v>
      </c>
      <c r="Y316" s="5" t="s">
        <v>1245</v>
      </c>
      <c r="Z316" s="4"/>
      <c r="AA316" s="4"/>
      <c r="AB316" s="5" t="s">
        <v>1246</v>
      </c>
      <c r="AC316" s="4"/>
      <c r="AD316" s="4"/>
      <c r="AE316" s="5" t="s">
        <v>51</v>
      </c>
      <c r="AF316" s="5"/>
      <c r="AG316" s="4"/>
    </row>
    <row r="317" spans="1:33" ht="17.100000000000001" customHeight="1">
      <c r="A317" s="5" t="s">
        <v>1247</v>
      </c>
      <c r="B317" s="5"/>
      <c r="C317" s="4"/>
      <c r="D317" s="5" t="s">
        <v>568</v>
      </c>
      <c r="E317" s="13" t="str">
        <f t="shared" si="37"/>
        <v>Matano</v>
      </c>
      <c r="F317" s="13" t="str">
        <f t="array" ref="F317">_xlfn.LET(
 _xlpm.authors,_xlfn.TEXTBEFORE(A317," ("&amp;G317&amp;")"),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7" s="13" t="str">
        <f t="shared" si="38"/>
        <v>1986</v>
      </c>
      <c r="H317" s="13" t="str">
        <f t="shared" si="39"/>
        <v>Matano__1986</v>
      </c>
      <c r="I317" s="13" t="str">
        <f t="shared" si="59"/>
        <v>10.1159%2F000156277</v>
      </c>
      <c r="J317" s="13" t="str">
        <f t="shared" si="40"/>
        <v>Matano__1986_TableI</v>
      </c>
      <c r="K317" s="13" t="str">
        <f t="shared" si="60"/>
        <v>10.1159%2F000156277_TableI</v>
      </c>
      <c r="L317" s="13" t="str">
        <f t="array" ref="L317">IFERROR(INDEX(AUTO_Public_TSV_FileList!$A$1:$A$1000,MATCH(TRUE(),EXACT(K317,IFERROR(_xlfn.TEXTBEFORE(AUTO_Public_TSV_FileList!$A$1:$A$1000,".tsv"),"")),0)),"notfound")</f>
        <v>10.1159%2F000156277_TableI.tsv</v>
      </c>
      <c r="M317" s="4"/>
      <c r="N317" s="4"/>
      <c r="O317" s="4"/>
      <c r="P317" s="5" t="s">
        <v>36</v>
      </c>
      <c r="Q317" s="4"/>
      <c r="R317" s="4"/>
      <c r="S317" s="4"/>
      <c r="T317" s="4"/>
      <c r="U317" s="4"/>
      <c r="V317" s="4"/>
      <c r="W317" s="4"/>
      <c r="X317" s="4"/>
      <c r="Y317" s="4"/>
      <c r="Z317" s="5"/>
      <c r="AA317" s="4"/>
      <c r="AB317" s="4"/>
      <c r="AC317" s="5"/>
      <c r="AD317" s="5"/>
      <c r="AE317" s="4" t="s">
        <v>51</v>
      </c>
      <c r="AF317" s="4"/>
      <c r="AG317" s="4"/>
    </row>
    <row r="318" spans="1:33" ht="17.100000000000001" customHeight="1">
      <c r="A318" s="5" t="s">
        <v>1248</v>
      </c>
      <c r="B318" s="5"/>
      <c r="C318" s="4"/>
      <c r="D318" s="5" t="s">
        <v>81</v>
      </c>
      <c r="E318" s="13" t="str">
        <f t="shared" si="37"/>
        <v>Matano</v>
      </c>
      <c r="F318" s="13" t="str">
        <f t="array" ref="F318">_xlfn.LET(
 _xlpm.authors,_xlfn.TEXTBEFORE(A318," ("&amp;G318&amp;")"),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8" s="13" t="str">
        <f t="shared" si="38"/>
        <v>1992</v>
      </c>
      <c r="H318" s="13" t="str">
        <f t="shared" si="39"/>
        <v>Matano__1992</v>
      </c>
      <c r="I318" s="13" t="str">
        <f t="shared" si="59"/>
        <v>10.1537%2Fase1911.100.69</v>
      </c>
      <c r="J318" s="13" t="str">
        <f t="shared" si="40"/>
        <v>Matano__1992_Table1</v>
      </c>
      <c r="K318" s="13" t="str">
        <f t="shared" si="60"/>
        <v>10.1537%2Fase1911.100.69_Table1</v>
      </c>
      <c r="L318" s="13" t="str">
        <f t="array" ref="L318">IFERROR(INDEX(AUTO_Public_TSV_FileList!$A$1:$A$1000,MATCH(TRUE(),EXACT(K318,IFERROR(_xlfn.TEXTBEFORE(AUTO_Public_TSV_FileList!$A$1:$A$1000,".tsv"),"")),0)),"notfound")</f>
        <v>10.1537%2Fase1911.100.69_Table1.tsv</v>
      </c>
      <c r="M318" s="4" t="s">
        <v>1249</v>
      </c>
      <c r="N318" s="4"/>
      <c r="O318" s="4"/>
      <c r="P318" s="5" t="s">
        <v>36</v>
      </c>
      <c r="Q318" s="4"/>
      <c r="R318" s="4"/>
      <c r="S318" s="4"/>
      <c r="T318" s="4"/>
      <c r="U318" s="4"/>
      <c r="V318" s="4"/>
      <c r="W318" s="4"/>
      <c r="X318" s="4"/>
      <c r="Y318" s="4"/>
      <c r="Z318" s="5"/>
      <c r="AA318" s="4"/>
      <c r="AB318" s="4"/>
      <c r="AC318" s="5"/>
      <c r="AD318" s="5"/>
      <c r="AE318" s="4"/>
      <c r="AF318" s="4"/>
      <c r="AG318" s="4"/>
    </row>
    <row r="319" spans="1:33" ht="17.100000000000001" customHeight="1">
      <c r="A319" s="5" t="s">
        <v>1248</v>
      </c>
      <c r="B319" s="5"/>
      <c r="C319" s="4"/>
      <c r="D319" s="5" t="s">
        <v>70</v>
      </c>
      <c r="E319" s="13" t="str">
        <f t="shared" si="37"/>
        <v>Matano</v>
      </c>
      <c r="F319" s="13" t="str">
        <f t="array" ref="F319">_xlfn.LET(
 _xlpm.authors,_xlfn.TEXTBEFORE(A319," ("&amp;G319&amp;")"),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19" s="13" t="str">
        <f t="shared" si="38"/>
        <v>1992</v>
      </c>
      <c r="H319" s="13" t="str">
        <f t="shared" si="39"/>
        <v>Matano__1992</v>
      </c>
      <c r="I319" s="13" t="str">
        <f t="shared" si="59"/>
        <v>10.1537%2Fase1911.100.69</v>
      </c>
      <c r="J319" s="13" t="str">
        <f t="shared" si="40"/>
        <v>Matano__1992_Table2</v>
      </c>
      <c r="K319" s="13" t="str">
        <f t="shared" si="60"/>
        <v>10.1537%2Fase1911.100.69_Table2</v>
      </c>
      <c r="L319" s="13" t="str">
        <f t="array" ref="L319">IFERROR(INDEX(AUTO_Public_TSV_FileList!$A$1:$A$1000,MATCH(TRUE(),EXACT(K319,IFERROR(_xlfn.TEXTBEFORE(AUTO_Public_TSV_FileList!$A$1:$A$1000,".tsv"),"")),0)),"notfound")</f>
        <v>10.1537%2Fase1911.100.69_Table2.tsv</v>
      </c>
      <c r="M319" s="4" t="s">
        <v>1250</v>
      </c>
      <c r="N319" s="4"/>
      <c r="O319" s="4"/>
      <c r="P319" s="5" t="s">
        <v>36</v>
      </c>
      <c r="Q319" s="4"/>
      <c r="R319" s="4"/>
      <c r="S319" s="4"/>
      <c r="T319" s="4"/>
      <c r="U319" s="4"/>
      <c r="V319" s="4"/>
      <c r="W319" s="4"/>
      <c r="X319" s="4"/>
      <c r="Y319" s="4"/>
      <c r="Z319" s="5"/>
      <c r="AA319" s="4"/>
      <c r="AB319" s="4"/>
      <c r="AC319" s="5"/>
      <c r="AD319" s="5"/>
      <c r="AE319" s="4"/>
      <c r="AF319" s="4"/>
      <c r="AG319" s="4"/>
    </row>
    <row r="320" spans="1:33" ht="17.100000000000001" customHeight="1">
      <c r="A320" s="5" t="s">
        <v>1248</v>
      </c>
      <c r="B320" s="5"/>
      <c r="C320" s="4"/>
      <c r="D320" s="5" t="s">
        <v>72</v>
      </c>
      <c r="E320" s="13" t="str">
        <f t="shared" si="37"/>
        <v>Matano</v>
      </c>
      <c r="F320" s="13" t="str">
        <f t="array" ref="F320">_xlfn.LET(
 _xlpm.authors,_xlfn.TEXTBEFORE(A320," ("&amp;G320&amp;")"),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0" s="13" t="str">
        <f t="shared" si="38"/>
        <v>1992</v>
      </c>
      <c r="H320" s="13" t="str">
        <f t="shared" si="39"/>
        <v>Matano__1992</v>
      </c>
      <c r="I320" s="13" t="str">
        <f t="shared" si="59"/>
        <v>10.1537%2Fase1911.100.69</v>
      </c>
      <c r="J320" s="13" t="str">
        <f t="shared" si="40"/>
        <v>Matano__1992_Table3</v>
      </c>
      <c r="K320" s="13" t="str">
        <f t="shared" si="60"/>
        <v>10.1537%2Fase1911.100.69_Table3</v>
      </c>
      <c r="L320" s="13" t="str">
        <f t="array" ref="L320">IFERROR(INDEX(AUTO_Public_TSV_FileList!$A$1:$A$1000,MATCH(TRUE(),EXACT(K320,IFERROR(_xlfn.TEXTBEFORE(AUTO_Public_TSV_FileList!$A$1:$A$1000,".tsv"),"")),0)),"notfound")</f>
        <v>10.1537%2Fase1911.100.69_Table3.tsv</v>
      </c>
      <c r="M320" s="4"/>
      <c r="N320" s="4"/>
      <c r="O320" s="4"/>
      <c r="P320" s="5" t="s">
        <v>36</v>
      </c>
      <c r="Q320" s="4"/>
      <c r="R320" s="4"/>
      <c r="S320" s="4"/>
      <c r="T320" s="4"/>
      <c r="U320" s="4"/>
      <c r="V320" s="4"/>
      <c r="W320" s="4"/>
      <c r="X320" s="4"/>
      <c r="Y320" s="4"/>
      <c r="Z320" s="5"/>
      <c r="AA320" s="4"/>
      <c r="AB320" s="4"/>
      <c r="AC320" s="5"/>
      <c r="AD320" s="5"/>
      <c r="AE320" s="4" t="s">
        <v>51</v>
      </c>
      <c r="AF320" s="4"/>
      <c r="AG320" s="4"/>
    </row>
    <row r="321" spans="1:33" ht="17.100000000000001" customHeight="1">
      <c r="A321" s="5" t="s">
        <v>1248</v>
      </c>
      <c r="B321" s="5"/>
      <c r="C321" s="4"/>
      <c r="D321" s="5" t="s">
        <v>34</v>
      </c>
      <c r="E321" s="13" t="str">
        <f t="shared" si="37"/>
        <v>Matano</v>
      </c>
      <c r="F321" s="13" t="str">
        <f t="array" ref="F321">_xlfn.LET(
 _xlpm.authors,_xlfn.TEXTBEFORE(A321," ("&amp;G321&amp;")"),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1" s="13" t="str">
        <f t="shared" si="38"/>
        <v>1992</v>
      </c>
      <c r="H321" s="13" t="str">
        <f t="shared" si="39"/>
        <v>Matano__1992</v>
      </c>
      <c r="I321" s="13" t="str">
        <f t="shared" si="59"/>
        <v>10.1537%2Fase1911.100.69</v>
      </c>
      <c r="J321" s="13" t="str">
        <f t="shared" si="40"/>
        <v>Matano__1992_Table4</v>
      </c>
      <c r="K321" s="13" t="str">
        <f t="shared" si="60"/>
        <v>10.1537%2Fase1911.100.69_Table4</v>
      </c>
      <c r="L321" s="13" t="str">
        <f t="array" ref="L321">IFERROR(INDEX(AUTO_Public_TSV_FileList!$A$1:$A$1000,MATCH(TRUE(),EXACT(K321,IFERROR(_xlfn.TEXTBEFORE(AUTO_Public_TSV_FileList!$A$1:$A$1000,".tsv"),"")),0)),"notfound")</f>
        <v>10.1537%2Fase1911.100.69_Table4.tsv</v>
      </c>
      <c r="M321" s="4" t="s">
        <v>1251</v>
      </c>
      <c r="N321" s="4"/>
      <c r="O321" s="4"/>
      <c r="P321" s="5" t="s">
        <v>36</v>
      </c>
      <c r="Q321" s="4"/>
      <c r="R321" s="4"/>
      <c r="S321" s="4"/>
      <c r="T321" s="4"/>
      <c r="U321" s="4"/>
      <c r="V321" s="4"/>
      <c r="W321" s="4"/>
      <c r="X321" s="4"/>
      <c r="Y321" s="4"/>
      <c r="Z321" s="5"/>
      <c r="AA321" s="4"/>
      <c r="AB321" s="4"/>
      <c r="AC321" s="5"/>
      <c r="AD321" s="5"/>
      <c r="AE321" s="4"/>
      <c r="AF321" s="4"/>
      <c r="AG321" s="4"/>
    </row>
    <row r="322" spans="1:33" ht="17.100000000000001" customHeight="1">
      <c r="A322" s="5" t="s">
        <v>1252</v>
      </c>
      <c r="B322" s="5"/>
      <c r="C322" s="4"/>
      <c r="D322" s="5" t="s">
        <v>110</v>
      </c>
      <c r="E322" s="13" t="str">
        <f t="shared" ref="E322:E339" si="61">SUBSTITUTE(SUBSTITUTE(_xlfn.TEXTBEFORE(A322,","), "-", ""), " ", "")</f>
        <v>Matano</v>
      </c>
      <c r="F322" s="13" t="str">
        <f t="array" ref="F322">_xlfn.LET(
 _xlpm.authors,_xlfn.TEXTBEFORE(A322," ("&amp;G322&amp;")"),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2" s="13" t="str">
        <f t="shared" ref="G322:G339" si="62">_xlfn.TEXTBEFORE(_xlfn.TEXTAFTER(A322, "("), ")")</f>
        <v>2001</v>
      </c>
      <c r="H322" s="13" t="str">
        <f t="shared" ref="H322:H339" si="63">E322 &amp; IF(F322&lt;&gt;"", "_" &amp; F322, "_") &amp; IF(G322&lt;&gt;"", "_" &amp; G322, "_") &amp; IF(B322&lt;&gt;"", "_" &amp; B322, "")</f>
        <v>Matano__2001</v>
      </c>
      <c r="I322" s="13" t="str">
        <f t="shared" ref="I322:I339" si="64">_xlfn.LET(
_xlpm.doi,IF(C322&lt;&gt;"",C322,_xlfn.TEXTAFTER(A322,"https://doi.org/")),
SUBSTITUTE(
SUBSTITUTE(
SUBSTITUTE(
SUBSTITUTE(
_xlpm.doi,
"/","%2F"),
":","%3A"),
"&lt;","%3C"),
"&gt;","%3E")
)</f>
        <v>10.1002%2F1096-8644(200102)114%3A2%3C163%3A%3AAID-AJPA1016%3E3.0.CO;2-F</v>
      </c>
      <c r="J322" s="13" t="str">
        <f t="shared" ref="J322:J339" si="65">TRIM(_xlfn.TEXTJOIN("_",FALSE(),H322,(SUBSTITUTE(SUBSTITUTE(D322," ",""), "_", ""))))</f>
        <v>Matano__2001_TABLE2</v>
      </c>
      <c r="K322" s="13" t="str">
        <f t="shared" ref="K322:K339" si="66">I322 &amp; "_" &amp; SUBSTITUTE(SUBSTITUTE(SUBSTITUTE(D322,CHAR(160),"")," ",""),"_","")</f>
        <v>10.1002%2F1096-8644(200102)114%3A2%3C163%3A%3AAID-AJPA1016%3E3.0.CO;2-F_TABLE2</v>
      </c>
      <c r="L322" s="13" t="str">
        <f t="array" ref="L322">IFERROR(INDEX(AUTO_Public_TSV_FileList!$A$1:$A$1000,MATCH(TRUE(),EXACT(K322,IFERROR(_xlfn.TEXTBEFORE(AUTO_Public_TSV_FileList!$A$1:$A$1000,".tsv"),"")),0)),"notfound")</f>
        <v>10.1002%2F1096-8644(200102)114%3A2%3C163%3A%3AAID-AJPA1016%3E3.0.CO;2-F_TABLE2.tsv</v>
      </c>
      <c r="M322" s="5" t="s">
        <v>1253</v>
      </c>
      <c r="N322" s="4"/>
      <c r="O322" s="4"/>
      <c r="P322" s="5" t="s">
        <v>36</v>
      </c>
      <c r="Q322" s="4"/>
      <c r="R322" s="4"/>
      <c r="S322" s="4"/>
      <c r="T322" s="4"/>
      <c r="U322" s="4"/>
      <c r="V322" s="4"/>
      <c r="W322" s="4"/>
      <c r="X322" s="4"/>
      <c r="Y322" s="4"/>
      <c r="Z322" s="4"/>
      <c r="AA322" s="4"/>
      <c r="AB322" s="4"/>
      <c r="AC322" s="4"/>
      <c r="AD322" s="4"/>
      <c r="AE322" s="4"/>
      <c r="AF322" s="4"/>
      <c r="AG322" s="4"/>
    </row>
    <row r="323" spans="1:33" ht="17.100000000000001" customHeight="1">
      <c r="A323" s="5" t="s">
        <v>1254</v>
      </c>
      <c r="B323" s="5" t="s">
        <v>278</v>
      </c>
      <c r="C323" s="4"/>
      <c r="D323" s="5" t="s">
        <v>81</v>
      </c>
      <c r="E323" s="13" t="str">
        <f t="shared" si="61"/>
        <v>Matano</v>
      </c>
      <c r="F323" s="13" t="str">
        <f t="array" ref="F323">_xlfn.LET(
 _xlpm.authors,_xlfn.TEXTBEFORE(A323," ("&amp;G323&amp;")"),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3" s="13" t="str">
        <f t="shared" si="62"/>
        <v>1985</v>
      </c>
      <c r="H323" s="13" t="str">
        <f t="shared" si="63"/>
        <v>Matano_etal_1985_a</v>
      </c>
      <c r="I323" s="13" t="str">
        <f t="shared" si="64"/>
        <v>10.1159%2F000156212</v>
      </c>
      <c r="J323" s="13" t="str">
        <f t="shared" si="65"/>
        <v>Matano_etal_1985_a_Table1</v>
      </c>
      <c r="K323" s="13" t="str">
        <f t="shared" si="66"/>
        <v>10.1159%2F000156212_Table1</v>
      </c>
      <c r="L323" s="13" t="str">
        <f t="array" ref="L323">IFERROR(INDEX(AUTO_Public_TSV_FileList!$A$1:$A$1000,MATCH(TRUE(),EXACT(K323,IFERROR(_xlfn.TEXTBEFORE(AUTO_Public_TSV_FileList!$A$1:$A$1000,".tsv"),"")),0)),"notfound")</f>
        <v>10.1159%2F000156212_Table1.tsv</v>
      </c>
      <c r="M323" s="4"/>
      <c r="N323" s="5" t="s">
        <v>35</v>
      </c>
      <c r="O323" s="4"/>
      <c r="P323" s="5" t="s">
        <v>36</v>
      </c>
      <c r="Q323" s="4"/>
      <c r="R323" s="4"/>
      <c r="S323" s="4"/>
      <c r="T323" s="4"/>
      <c r="U323" s="4"/>
      <c r="V323" s="4"/>
      <c r="W323" s="5" t="s">
        <v>117</v>
      </c>
      <c r="X323" s="5" t="s">
        <v>1255</v>
      </c>
      <c r="Y323" s="4"/>
      <c r="Z323" s="5" t="s">
        <v>83</v>
      </c>
      <c r="AA323" s="5" t="s">
        <v>130</v>
      </c>
      <c r="AB323" s="5" t="s">
        <v>90</v>
      </c>
      <c r="AC323" s="5" t="s">
        <v>119</v>
      </c>
      <c r="AD323" s="5" t="s">
        <v>119</v>
      </c>
      <c r="AE323" s="5" t="s">
        <v>51</v>
      </c>
      <c r="AF323" s="5"/>
      <c r="AG323" s="4"/>
    </row>
    <row r="324" spans="1:33" ht="17.100000000000001" customHeight="1">
      <c r="A324" s="5" t="s">
        <v>1256</v>
      </c>
      <c r="B324" s="5" t="s">
        <v>283</v>
      </c>
      <c r="C324" s="4"/>
      <c r="D324" s="5" t="s">
        <v>81</v>
      </c>
      <c r="E324" s="13" t="str">
        <f t="shared" si="61"/>
        <v>Matano</v>
      </c>
      <c r="F324" s="13" t="str">
        <f t="array" ref="F324">_xlfn.LET(
 _xlpm.authors,_xlfn.TEXTBEFORE(A324," ("&amp;G324&amp;")"),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4" s="13" t="str">
        <f t="shared" si="62"/>
        <v>1985</v>
      </c>
      <c r="H324" s="13" t="str">
        <f t="shared" si="63"/>
        <v>Matano_etal_1985_b</v>
      </c>
      <c r="I324" s="13" t="str">
        <f t="shared" si="64"/>
        <v>10.1159%2F000156211</v>
      </c>
      <c r="J324" s="13" t="str">
        <f t="shared" si="65"/>
        <v>Matano_etal_1985_b_Table1</v>
      </c>
      <c r="K324" s="13" t="str">
        <f t="shared" si="66"/>
        <v>10.1159%2F000156211_Table1</v>
      </c>
      <c r="L324" s="13" t="str">
        <f t="array" ref="L324">IFERROR(INDEX(AUTO_Public_TSV_FileList!$A$1:$A$1000,MATCH(TRUE(),EXACT(K324,IFERROR(_xlfn.TEXTBEFORE(AUTO_Public_TSV_FileList!$A$1:$A$1000,".tsv"),"")),0)),"notfound")</f>
        <v>10.1159%2F000156211_Table1.tsv</v>
      </c>
      <c r="M324" s="4"/>
      <c r="N324" s="4"/>
      <c r="O324" s="4"/>
      <c r="P324" s="5" t="s">
        <v>36</v>
      </c>
      <c r="Q324" s="4"/>
      <c r="R324" s="4"/>
      <c r="S324" s="4"/>
      <c r="T324" s="4"/>
      <c r="U324" s="4"/>
      <c r="V324" s="4"/>
      <c r="W324" s="4"/>
      <c r="X324" s="4"/>
      <c r="Y324" s="4"/>
      <c r="Z324" s="5" t="s">
        <v>83</v>
      </c>
      <c r="AA324" s="4"/>
      <c r="AB324" s="4"/>
      <c r="AC324" s="5" t="s">
        <v>119</v>
      </c>
      <c r="AD324" s="5" t="s">
        <v>119</v>
      </c>
      <c r="AE324" s="4" t="s">
        <v>66</v>
      </c>
      <c r="AF324" s="4"/>
      <c r="AG324" s="4"/>
    </row>
    <row r="325" spans="1:33" ht="17.100000000000001" customHeight="1">
      <c r="A325" s="5" t="s">
        <v>1257</v>
      </c>
      <c r="B325" s="5"/>
      <c r="C325" s="4"/>
      <c r="D325" s="5" t="s">
        <v>81</v>
      </c>
      <c r="E325" s="13" t="str">
        <f t="shared" si="61"/>
        <v>McDowell</v>
      </c>
      <c r="F325" s="13" t="str">
        <f t="array" ref="F325">_xlfn.LET(
 _xlpm.authors,_xlfn.TEXTBEFORE(A325," ("&amp;G325&amp;")"),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25" s="13" t="str">
        <f t="shared" si="62"/>
        <v>2024</v>
      </c>
      <c r="H325" s="13" t="str">
        <f t="shared" si="63"/>
        <v>McDowell_etal_2024</v>
      </c>
      <c r="I325" s="13" t="str">
        <f t="shared" si="64"/>
        <v>10.1186%2Fs12915-024-02038-1</v>
      </c>
      <c r="J325" s="13" t="str">
        <f t="shared" si="65"/>
        <v>McDowell_etal_2024_Table1</v>
      </c>
      <c r="K325" s="13" t="str">
        <f t="shared" si="66"/>
        <v>10.1186%2Fs12915-024-02038-1_Table1</v>
      </c>
      <c r="L325" s="13" t="str">
        <f t="array" ref="L325">IFERROR(INDEX(AUTO_Public_TSV_FileList!$A$1:$A$1000,MATCH(TRUE(),EXACT(K325,IFERROR(_xlfn.TEXTBEFORE(AUTO_Public_TSV_FileList!$A$1:$A$1000,".tsv"),"")),0)),"notfound")</f>
        <v>10.1186%2Fs12915-024-02038-1_Table1.tsv</v>
      </c>
      <c r="M325" s="4"/>
      <c r="N325" s="4"/>
      <c r="O325" s="4"/>
      <c r="P325" s="5"/>
      <c r="Q325" s="4"/>
      <c r="R325" s="4"/>
      <c r="S325" s="4"/>
      <c r="T325" s="4"/>
      <c r="U325" s="4"/>
      <c r="V325" s="4"/>
      <c r="W325" s="4"/>
      <c r="X325" s="4"/>
      <c r="Y325" s="4"/>
      <c r="Z325" s="5"/>
      <c r="AA325" s="4"/>
      <c r="AB325" s="4"/>
      <c r="AC325" s="5"/>
      <c r="AD325" s="5"/>
      <c r="AE325" s="4"/>
      <c r="AF325" s="4"/>
      <c r="AG325" s="4"/>
    </row>
    <row r="326" spans="1:33" ht="17.100000000000001" customHeight="1">
      <c r="A326" s="3" t="s">
        <v>1258</v>
      </c>
      <c r="B326" s="3"/>
      <c r="C326" s="3"/>
      <c r="D326" s="3" t="s">
        <v>1259</v>
      </c>
      <c r="E326" s="13" t="str">
        <f t="shared" si="61"/>
        <v>McGuire</v>
      </c>
      <c r="F326" s="13" t="str">
        <f t="array" ref="F326">_xlfn.LET(
 _xlpm.authors,_xlfn.TEXTBEFORE(A326," ("&amp;G326&amp;")"),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Ratcliffe</v>
      </c>
      <c r="G326" s="13" t="str">
        <f t="shared" si="62"/>
        <v>2011</v>
      </c>
      <c r="H326" s="13" t="str">
        <f t="shared" si="63"/>
        <v>McGuire_Ratcliffe_2011</v>
      </c>
      <c r="I326" s="13" t="str">
        <f t="shared" si="64"/>
        <v>10.1098%2Frsbl.2010.0744</v>
      </c>
      <c r="J326" s="13" t="str">
        <f t="shared" si="65"/>
        <v>McGuire_Ratcliffe_2011_ElectronicSupplementaryMaterial1,Table1</v>
      </c>
      <c r="K326" s="13" t="str">
        <f t="shared" si="66"/>
        <v>10.1098%2Frsbl.2010.0744_ElectronicSupplementaryMaterial1,Table1</v>
      </c>
      <c r="L326" s="13" t="str">
        <f t="array" ref="L326">IFERROR(INDEX(AUTO_Public_TSV_FileList!$A$1:$A$1000,MATCH(TRUE(),EXACT(K326,IFERROR(_xlfn.TEXTBEFORE(AUTO_Public_TSV_FileList!$A$1:$A$1000,".tsv"),"")),0)),"notfound")</f>
        <v>notfound</v>
      </c>
      <c r="M326" s="4"/>
      <c r="N326" s="5" t="s">
        <v>35</v>
      </c>
      <c r="O326" s="4"/>
      <c r="P326" s="3"/>
      <c r="Q326" s="3"/>
      <c r="R326" s="3" t="s">
        <v>1260</v>
      </c>
      <c r="S326" s="3" t="s">
        <v>569</v>
      </c>
      <c r="T326" s="3" t="s">
        <v>570</v>
      </c>
      <c r="U326" s="3"/>
      <c r="V326" s="3" t="s">
        <v>1169</v>
      </c>
      <c r="W326" s="3" t="s">
        <v>1261</v>
      </c>
      <c r="X326" s="3" t="s">
        <v>1262</v>
      </c>
      <c r="Y326" s="3" t="s">
        <v>1263</v>
      </c>
      <c r="Z326" s="3"/>
      <c r="AA326" s="3"/>
      <c r="AB326" s="3" t="s">
        <v>1264</v>
      </c>
      <c r="AC326" s="3" t="s">
        <v>119</v>
      </c>
      <c r="AD326" s="3" t="s">
        <v>119</v>
      </c>
      <c r="AE326" s="3" t="s">
        <v>179</v>
      </c>
      <c r="AF326" s="3"/>
      <c r="AG326" s="3" t="s">
        <v>1265</v>
      </c>
    </row>
    <row r="327" spans="1:33" ht="17.100000000000001" customHeight="1">
      <c r="A327" s="5" t="s">
        <v>1266</v>
      </c>
      <c r="B327" s="4"/>
      <c r="C327" s="4"/>
      <c r="D327" s="4" t="s">
        <v>1267</v>
      </c>
      <c r="E327" s="13" t="str">
        <f t="shared" si="61"/>
        <v>MedinaGonzález</v>
      </c>
      <c r="F327" s="13" t="str">
        <f t="array" ref="F327">_xlfn.LET(
 _xlpm.authors,_xlfn.TEXTBEFORE(A327," ("&amp;G327&amp;")"),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7" s="13" t="str">
        <f t="shared" si="62"/>
        <v>2026</v>
      </c>
      <c r="H327" s="13" t="str">
        <f t="shared" si="63"/>
        <v>MedinaGonzález__2026</v>
      </c>
      <c r="I327" s="13" t="str">
        <f t="shared" si="64"/>
        <v>10.1002%2Fjez.70069</v>
      </c>
      <c r="J327" s="13" t="str">
        <f t="shared" si="65"/>
        <v>MedinaGonzález__2026_SupplementaryFile1</v>
      </c>
      <c r="K327" s="13" t="str">
        <f t="shared" si="66"/>
        <v>10.1002%2Fjez.70069_SupplementaryFile1</v>
      </c>
      <c r="L327" s="13" t="str">
        <f t="array" ref="L327">IFERROR(INDEX(AUTO_Public_TSV_FileList!$A$1:$A$1000,MATCH(TRUE(),EXACT(K327,IFERROR(_xlfn.TEXTBEFORE(AUTO_Public_TSV_FileList!$A$1:$A$1000,".tsv"),"")),0)),"notfound")</f>
        <v>10.1002%2Fjez.70069_SupplementaryFile1.tsv</v>
      </c>
      <c r="M327" s="4"/>
      <c r="N327" s="5" t="s">
        <v>35</v>
      </c>
      <c r="O327" s="4"/>
      <c r="P327" s="4"/>
      <c r="Q327" s="4"/>
      <c r="R327" s="4"/>
      <c r="S327" s="4"/>
      <c r="T327" s="4"/>
      <c r="U327" s="4"/>
      <c r="V327" s="4"/>
      <c r="W327" s="4"/>
      <c r="X327" s="4"/>
      <c r="Y327" s="4"/>
      <c r="Z327" s="4"/>
      <c r="AA327" s="4"/>
      <c r="AB327" s="4"/>
      <c r="AC327" s="4"/>
      <c r="AD327" s="4"/>
      <c r="AE327" s="4" t="s">
        <v>51</v>
      </c>
      <c r="AF327" s="4"/>
      <c r="AG327" s="4"/>
    </row>
    <row r="328" spans="1:33" ht="17.100000000000001" customHeight="1">
      <c r="A328" s="5" t="s">
        <v>1266</v>
      </c>
      <c r="B328" s="4"/>
      <c r="C328" s="4"/>
      <c r="D328" s="4" t="s">
        <v>1268</v>
      </c>
      <c r="E328" s="13" t="str">
        <f t="shared" si="61"/>
        <v>MedinaGonzález</v>
      </c>
      <c r="F328" s="13" t="str">
        <f t="array" ref="F328">_xlfn.LET(
 _xlpm.authors,_xlfn.TEXTBEFORE(A328," ("&amp;G328&amp;")"),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8" s="13" t="str">
        <f t="shared" si="62"/>
        <v>2026</v>
      </c>
      <c r="H328" s="13" t="str">
        <f t="shared" si="63"/>
        <v>MedinaGonzález__2026</v>
      </c>
      <c r="I328" s="13" t="str">
        <f t="shared" si="64"/>
        <v>10.1002%2Fjez.70069</v>
      </c>
      <c r="J328" s="13" t="str">
        <f t="shared" si="65"/>
        <v>MedinaGonzález__2026_SupplementaryFile2</v>
      </c>
      <c r="K328" s="13" t="str">
        <f t="shared" si="66"/>
        <v>10.1002%2Fjez.70069_SupplementaryFile2</v>
      </c>
      <c r="L328" s="13" t="str">
        <f t="array" ref="L328">IFERROR(INDEX(AUTO_Public_TSV_FileList!$A$1:$A$1000,MATCH(TRUE(),EXACT(K328,IFERROR(_xlfn.TEXTBEFORE(AUTO_Public_TSV_FileList!$A$1:$A$1000,".tsv"),"")),0)),"notfound")</f>
        <v>10.1002%2Fjez.70069_SupplementaryFile2.tsv</v>
      </c>
      <c r="M328" s="4"/>
      <c r="N328" s="5" t="s">
        <v>35</v>
      </c>
      <c r="O328" s="4"/>
      <c r="P328" s="4"/>
      <c r="Q328" s="4"/>
      <c r="R328" s="4"/>
      <c r="S328" s="4"/>
      <c r="T328" s="4"/>
      <c r="U328" s="4"/>
      <c r="V328" s="4"/>
      <c r="W328" s="4"/>
      <c r="X328" s="4"/>
      <c r="Y328" s="4"/>
      <c r="Z328" s="4"/>
      <c r="AA328" s="4"/>
      <c r="AB328" s="4"/>
      <c r="AC328" s="4"/>
      <c r="AD328" s="4"/>
      <c r="AE328" s="4" t="s">
        <v>51</v>
      </c>
      <c r="AF328" s="4"/>
      <c r="AG328" s="4"/>
    </row>
    <row r="329" spans="1:33" ht="17.100000000000001" customHeight="1">
      <c r="A329" s="5" t="s">
        <v>1266</v>
      </c>
      <c r="B329" s="4"/>
      <c r="C329" s="4"/>
      <c r="D329" s="4" t="s">
        <v>1269</v>
      </c>
      <c r="E329" s="13" t="str">
        <f t="shared" si="61"/>
        <v>MedinaGonzález</v>
      </c>
      <c r="F329" s="13" t="str">
        <f t="array" ref="F329">_xlfn.LET(
 _xlpm.authors,_xlfn.TEXTBEFORE(A329," ("&amp;G329&amp;")"),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29" s="13" t="str">
        <f t="shared" si="62"/>
        <v>2026</v>
      </c>
      <c r="H329" s="13" t="str">
        <f t="shared" si="63"/>
        <v>MedinaGonzález__2026</v>
      </c>
      <c r="I329" s="13" t="str">
        <f t="shared" si="64"/>
        <v>10.1002%2Fjez.70069</v>
      </c>
      <c r="J329" s="13" t="str">
        <f t="shared" si="65"/>
        <v>MedinaGonzález__2026_SupplementaryFile3</v>
      </c>
      <c r="K329" s="13" t="str">
        <f t="shared" si="66"/>
        <v>10.1002%2Fjez.70069_SupplementaryFile3</v>
      </c>
      <c r="L329" s="13" t="str">
        <f t="array" ref="L329">IFERROR(INDEX(AUTO_Public_TSV_FileList!$A$1:$A$1000,MATCH(TRUE(),EXACT(K329,IFERROR(_xlfn.TEXTBEFORE(AUTO_Public_TSV_FileList!$A$1:$A$1000,".tsv"),"")),0)),"notfound")</f>
        <v>10.1002%2Fjez.70069_SupplementaryFile3.tsv</v>
      </c>
      <c r="M329" s="4"/>
      <c r="N329" s="5" t="s">
        <v>35</v>
      </c>
      <c r="O329" s="4"/>
      <c r="P329" s="4"/>
      <c r="Q329" s="4"/>
      <c r="R329" s="4"/>
      <c r="S329" s="4"/>
      <c r="T329" s="4"/>
      <c r="U329" s="4"/>
      <c r="V329" s="4"/>
      <c r="W329" s="4"/>
      <c r="X329" s="4"/>
      <c r="Y329" s="4"/>
      <c r="Z329" s="4"/>
      <c r="AA329" s="4"/>
      <c r="AB329" s="4"/>
      <c r="AC329" s="4"/>
      <c r="AD329" s="4"/>
      <c r="AE329" s="4" t="s">
        <v>51</v>
      </c>
      <c r="AF329" s="4"/>
      <c r="AG329" s="4"/>
    </row>
    <row r="330" spans="1:33" ht="17.100000000000001" customHeight="1">
      <c r="A330" s="4" t="s">
        <v>1270</v>
      </c>
      <c r="B330" s="4"/>
      <c r="C330" s="4"/>
      <c r="D330" s="4" t="s">
        <v>407</v>
      </c>
      <c r="E330" s="13" t="str">
        <f t="shared" si="61"/>
        <v>Mooney</v>
      </c>
      <c r="F330" s="13" t="str">
        <f t="array" ref="F330">_xlfn.LET(
 _xlpm.authors,_xlfn.TEXTBEFORE(A330," ("&amp;G330&amp;")"),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0" s="13" t="str">
        <f t="shared" si="62"/>
        <v>2012</v>
      </c>
      <c r="H330" s="13" t="str">
        <f t="shared" si="63"/>
        <v>Mooney_etal_2012</v>
      </c>
      <c r="I330" s="13" t="str">
        <f t="shared" si="64"/>
        <v>10.1016%2FB978-0-12-394282-1.00004-1</v>
      </c>
      <c r="J330" s="13" t="str">
        <f t="shared" si="65"/>
        <v>Mooney_etal_2012_Table4.1</v>
      </c>
      <c r="K330" s="13" t="str">
        <f t="shared" si="66"/>
        <v>10.1016%2FB978-0-12-394282-1.00004-1_Table4.1</v>
      </c>
      <c r="L330" s="13" t="str">
        <f t="array" ref="L330">IFERROR(INDEX(AUTO_Public_TSV_FileList!$A$1:$A$1000,MATCH(TRUE(),EXACT(K330,IFERROR(_xlfn.TEXTBEFORE(AUTO_Public_TSV_FileList!$A$1:$A$1000,".tsv"),"")),0)),"notfound")</f>
        <v>10.1016%2FB978-0-12-394282-1.00004-1_Table4.1.tsv</v>
      </c>
      <c r="M330" s="4" t="s">
        <v>1271</v>
      </c>
      <c r="N330" s="4" t="s">
        <v>660</v>
      </c>
      <c r="O330" s="4" t="s">
        <v>1272</v>
      </c>
      <c r="P330" s="4"/>
      <c r="Q330" s="4"/>
      <c r="R330" s="4" t="s">
        <v>908</v>
      </c>
      <c r="S330" s="4"/>
      <c r="T330" s="4" t="s">
        <v>1273</v>
      </c>
      <c r="U330" s="4"/>
      <c r="V330" s="4" t="s">
        <v>664</v>
      </c>
      <c r="W330" s="4" t="s">
        <v>1274</v>
      </c>
      <c r="X330" s="4" t="s">
        <v>1275</v>
      </c>
      <c r="Y330" s="4" t="s">
        <v>1276</v>
      </c>
      <c r="Z330" s="4"/>
      <c r="AA330" s="4" t="s">
        <v>1277</v>
      </c>
      <c r="AB330" s="4" t="s">
        <v>1138</v>
      </c>
      <c r="AC330" s="4" t="s">
        <v>914</v>
      </c>
      <c r="AD330" s="4"/>
      <c r="AE330" s="4" t="s">
        <v>179</v>
      </c>
      <c r="AF330" s="4" t="s">
        <v>1278</v>
      </c>
      <c r="AG330" s="4" t="s">
        <v>1279</v>
      </c>
    </row>
    <row r="331" spans="1:33" ht="17.100000000000001" customHeight="1">
      <c r="A331" s="4" t="s">
        <v>1270</v>
      </c>
      <c r="B331" s="4"/>
      <c r="C331" s="4"/>
      <c r="D331" s="4" t="s">
        <v>1280</v>
      </c>
      <c r="E331" s="13" t="str">
        <f t="shared" si="61"/>
        <v>Mooney</v>
      </c>
      <c r="F331" s="13" t="str">
        <f t="array" ref="F331">_xlfn.LET(
 _xlpm.authors,_xlfn.TEXTBEFORE(A331," ("&amp;G331&amp;")"),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1" s="13" t="str">
        <f t="shared" si="62"/>
        <v>2012</v>
      </c>
      <c r="H331" s="13" t="str">
        <f t="shared" si="63"/>
        <v>Mooney_etal_2012</v>
      </c>
      <c r="I331" s="13" t="str">
        <f t="shared" si="64"/>
        <v>10.1016%2FB978-0-12-394282-1.00004-1</v>
      </c>
      <c r="J331" s="13" t="str">
        <f t="shared" si="65"/>
        <v>Mooney_etal_2012_Text</v>
      </c>
      <c r="K331" s="13" t="str">
        <f t="shared" si="66"/>
        <v>10.1016%2FB978-0-12-394282-1.00004-1_Text</v>
      </c>
      <c r="L331" s="13" t="str">
        <f t="array" ref="L331">IFERROR(INDEX(AUTO_Public_TSV_FileList!$A$1:$A$1000,MATCH(TRUE(),EXACT(K331,IFERROR(_xlfn.TEXTBEFORE(AUTO_Public_TSV_FileList!$A$1:$A$1000,".tsv"),"")),0)),"notfound")</f>
        <v>notfound</v>
      </c>
      <c r="M331" s="4" t="s">
        <v>1281</v>
      </c>
      <c r="N331" s="4" t="s">
        <v>364</v>
      </c>
      <c r="O331" s="4" t="s">
        <v>1282</v>
      </c>
      <c r="P331" s="4"/>
      <c r="Q331" s="4"/>
      <c r="R331" s="4" t="s">
        <v>908</v>
      </c>
      <c r="S331" s="4"/>
      <c r="T331" s="4" t="s">
        <v>1283</v>
      </c>
      <c r="U331" s="4"/>
      <c r="V331" s="4" t="s">
        <v>664</v>
      </c>
      <c r="W331" s="4" t="s">
        <v>1284</v>
      </c>
      <c r="X331" s="4" t="s">
        <v>1285</v>
      </c>
      <c r="Y331" s="4"/>
      <c r="Z331" s="4"/>
      <c r="AA331" s="4" t="s">
        <v>1121</v>
      </c>
      <c r="AB331" s="4" t="s">
        <v>1286</v>
      </c>
      <c r="AC331" s="4" t="s">
        <v>914</v>
      </c>
      <c r="AD331" s="4"/>
      <c r="AE331" s="4" t="s">
        <v>179</v>
      </c>
      <c r="AF331" s="4" t="s">
        <v>1287</v>
      </c>
      <c r="AG331" s="4" t="s">
        <v>1288</v>
      </c>
    </row>
    <row r="332" spans="1:33" ht="17.100000000000001" customHeight="1">
      <c r="A332" s="4" t="s">
        <v>1289</v>
      </c>
      <c r="B332" s="4"/>
      <c r="C332" s="4"/>
      <c r="D332" s="4" t="s">
        <v>1290</v>
      </c>
      <c r="E332" s="13" t="str">
        <f t="shared" si="61"/>
        <v>Morgan</v>
      </c>
      <c r="F332" s="13" t="str">
        <f t="array" ref="F332">_xlfn.LET(
 _xlpm.authors,_xlfn.TEXTBEFORE(A332," ("&amp;G332&amp;")"),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2" s="13" t="str">
        <f t="shared" si="62"/>
        <v>2014</v>
      </c>
      <c r="H332" s="13" t="str">
        <f t="shared" si="63"/>
        <v>Morgan_etal_2014</v>
      </c>
      <c r="I332" s="13" t="str">
        <f t="shared" si="64"/>
        <v>10.1371%2Fjournal.pone.0110356</v>
      </c>
      <c r="J332" s="13" t="str">
        <f t="shared" si="65"/>
        <v>Morgan_etal_2014_DataS1</v>
      </c>
      <c r="K332" s="13" t="str">
        <f t="shared" si="66"/>
        <v>10.1371%2Fjournal.pone.0110356_DataS1</v>
      </c>
      <c r="L332" s="13" t="str">
        <f t="array" ref="L332">IFERROR(INDEX(AUTO_Public_TSV_FileList!$A$1:$A$1000,MATCH(TRUE(),EXACT(K332,IFERROR(_xlfn.TEXTBEFORE(AUTO_Public_TSV_FileList!$A$1:$A$1000,".tsv"),"")),0)),"notfound")</f>
        <v>10.1371%2Fjournal.pone.0110356_DataS1.tsv</v>
      </c>
      <c r="M332" s="4" t="s">
        <v>1291</v>
      </c>
      <c r="N332" s="4" t="s">
        <v>1292</v>
      </c>
      <c r="O332" s="4"/>
      <c r="P332" s="4" t="s">
        <v>36</v>
      </c>
      <c r="Q332" s="4" t="s">
        <v>1293</v>
      </c>
      <c r="R332" s="4"/>
      <c r="S332" s="4"/>
      <c r="T332" s="4"/>
      <c r="U332" s="4"/>
      <c r="V332" s="4"/>
      <c r="W332" s="4" t="s">
        <v>644</v>
      </c>
      <c r="X332" s="4"/>
      <c r="Y332" s="4"/>
      <c r="Z332" s="4" t="s">
        <v>1294</v>
      </c>
      <c r="AA332" s="4" t="s">
        <v>1295</v>
      </c>
      <c r="AB332" s="4" t="s">
        <v>1048</v>
      </c>
      <c r="AC332" s="4" t="s">
        <v>1296</v>
      </c>
      <c r="AD332" s="4"/>
      <c r="AE332" s="4" t="s">
        <v>66</v>
      </c>
      <c r="AF332" s="4"/>
      <c r="AG332" s="4"/>
    </row>
    <row r="333" spans="1:33" ht="17.100000000000001" customHeight="1">
      <c r="A333" s="5" t="s">
        <v>1297</v>
      </c>
      <c r="B333" s="4"/>
      <c r="C333" s="4"/>
      <c r="D333" s="5" t="s">
        <v>231</v>
      </c>
      <c r="E333" s="13" t="str">
        <f t="shared" si="61"/>
        <v>Mota</v>
      </c>
      <c r="F333" s="13" t="str">
        <f t="array" ref="F333">_xlfn.LET(
 _xlpm.authors,_xlfn.TEXTBEFORE(A333," ("&amp;G333&amp;")"),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HerculanoHouzel</v>
      </c>
      <c r="G333" s="13" t="str">
        <f t="shared" si="62"/>
        <v>2015</v>
      </c>
      <c r="H333" s="13" t="str">
        <f t="shared" si="63"/>
        <v>Mota_HerculanoHouzel_2015</v>
      </c>
      <c r="I333" s="13" t="str">
        <f t="shared" si="64"/>
        <v>10.1126%2Fscience.aaa9101</v>
      </c>
      <c r="J333" s="13" t="str">
        <f t="shared" si="65"/>
        <v>Mota_HerculanoHouzel_2015_TableS1</v>
      </c>
      <c r="K333" s="13" t="str">
        <f t="shared" si="66"/>
        <v>10.1126%2Fscience.aaa9101_TableS1</v>
      </c>
      <c r="L333" s="13" t="str">
        <f t="array" ref="L333">IFERROR(INDEX(AUTO_Public_TSV_FileList!$A$1:$A$1000,MATCH(TRUE(),EXACT(K333,IFERROR(_xlfn.TEXTBEFORE(AUTO_Public_TSV_FileList!$A$1:$A$1000,".tsv"),"")),0)),"notfound")</f>
        <v>10.1126%2Fscience.aaa9101_TableS1.tsv</v>
      </c>
      <c r="M333" s="4"/>
      <c r="N333" s="4"/>
      <c r="O333" s="4"/>
      <c r="P333" s="4" t="s">
        <v>36</v>
      </c>
      <c r="Q333" s="4"/>
      <c r="R333" s="4"/>
      <c r="S333" s="4"/>
      <c r="T333" s="4"/>
      <c r="U333" s="4"/>
      <c r="V333" s="4"/>
      <c r="W333" s="5" t="s">
        <v>138</v>
      </c>
      <c r="X333" s="5" t="s">
        <v>1298</v>
      </c>
      <c r="Y333" s="4"/>
      <c r="Z333" s="4"/>
      <c r="AA333" s="4"/>
      <c r="AB333" s="5" t="s">
        <v>1298</v>
      </c>
      <c r="AC333" s="4"/>
      <c r="AD333" s="4"/>
      <c r="AE333" s="5" t="s">
        <v>51</v>
      </c>
      <c r="AF333" s="5"/>
      <c r="AG333" s="4"/>
    </row>
    <row r="334" spans="1:33" ht="17.100000000000001" customHeight="1">
      <c r="A334" s="5" t="s">
        <v>1299</v>
      </c>
      <c r="B334" s="4"/>
      <c r="C334" s="4"/>
      <c r="D334" s="5" t="s">
        <v>1300</v>
      </c>
      <c r="E334" s="13" t="str">
        <f t="shared" si="61"/>
        <v>Mota</v>
      </c>
      <c r="F334" s="13" t="str">
        <f t="array" ref="F334">_xlfn.LET(
 _xlpm.authors,_xlfn.TEXTBEFORE(A334," ("&amp;G334&amp;")"),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4" s="13" t="str">
        <f t="shared" si="62"/>
        <v>2019</v>
      </c>
      <c r="H334" s="13" t="str">
        <f t="shared" si="63"/>
        <v>Mota_etal_2019</v>
      </c>
      <c r="I334" s="13" t="str">
        <f t="shared" si="64"/>
        <v>10.1073%2Fpnas.1716956116</v>
      </c>
      <c r="J334" s="13" t="str">
        <f t="shared" si="65"/>
        <v>Mota_etal_2019_SupplementaryTableS1</v>
      </c>
      <c r="K334" s="13" t="str">
        <f t="shared" si="66"/>
        <v>10.1073%2Fpnas.1716956116_SupplementaryTableS1</v>
      </c>
      <c r="L334" s="13" t="str">
        <f t="array" ref="L334">IFERROR(INDEX(AUTO_Public_TSV_FileList!$A$1:$A$1000,MATCH(TRUE(),EXACT(K334,IFERROR(_xlfn.TEXTBEFORE(AUTO_Public_TSV_FileList!$A$1:$A$1000,".tsv"),"")),0)),"notfound")</f>
        <v>10.1073%2Fpnas.1716956116_SupplementaryTableS1.tsv</v>
      </c>
      <c r="M334" s="5" t="s">
        <v>1301</v>
      </c>
      <c r="N334" s="4"/>
      <c r="O334" s="4"/>
      <c r="P334" s="4" t="s">
        <v>36</v>
      </c>
      <c r="Q334" s="4"/>
      <c r="R334" s="4"/>
      <c r="S334" s="4"/>
      <c r="T334" s="4"/>
      <c r="U334" s="4"/>
      <c r="V334" s="4"/>
      <c r="W334" s="5" t="s">
        <v>138</v>
      </c>
      <c r="X334" s="5" t="s">
        <v>1302</v>
      </c>
      <c r="Y334" s="5" t="s">
        <v>1303</v>
      </c>
      <c r="Z334" s="4"/>
      <c r="AA334" s="4"/>
      <c r="AB334" s="5" t="s">
        <v>1304</v>
      </c>
      <c r="AC334" s="4"/>
      <c r="AD334" s="4"/>
      <c r="AE334" s="5" t="s">
        <v>51</v>
      </c>
      <c r="AF334" s="5"/>
      <c r="AG334" s="4"/>
    </row>
    <row r="335" spans="1:33" ht="17.100000000000001" customHeight="1">
      <c r="A335" s="4" t="s">
        <v>1305</v>
      </c>
      <c r="B335" s="4"/>
      <c r="C335" s="4"/>
      <c r="D335" s="4" t="s">
        <v>1306</v>
      </c>
      <c r="E335" s="13" t="str">
        <f t="shared" si="61"/>
        <v>Myhrvold</v>
      </c>
      <c r="F335" s="13" t="str">
        <f t="array" ref="F335">_xlfn.LET(
 _xlpm.authors,_xlfn.TEXTBEFORE(A335," ("&amp;G335&amp;")"),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5" s="13" t="str">
        <f t="shared" si="62"/>
        <v>2015</v>
      </c>
      <c r="H335" s="13" t="str">
        <f t="shared" si="63"/>
        <v>Myhrvold_etal_2015</v>
      </c>
      <c r="I335" s="13" t="str">
        <f t="shared" si="64"/>
        <v>10.1890%2F15-0846r.1</v>
      </c>
      <c r="J335" s="13" t="str">
        <f t="shared" si="65"/>
        <v>Myhrvold_etal_2015_AmnioteDatabaseAug2015.csv</v>
      </c>
      <c r="K335" s="13" t="str">
        <f t="shared" si="66"/>
        <v>10.1890%2F15-0846r.1_AmnioteDatabaseAug2015.csv</v>
      </c>
      <c r="L335" s="13" t="str">
        <f t="array" ref="L335">IFERROR(INDEX(AUTO_Public_TSV_FileList!$A$1:$A$1000,MATCH(TRUE(),EXACT(K335,IFERROR(_xlfn.TEXTBEFORE(AUTO_Public_TSV_FileList!$A$1:$A$1000,".tsv"),"")),0)),"notfound")</f>
        <v>notfound</v>
      </c>
      <c r="M335" s="4"/>
      <c r="N335" s="4"/>
      <c r="O335" s="4"/>
      <c r="P335" s="4"/>
      <c r="Q335" s="4"/>
      <c r="R335" s="4"/>
      <c r="S335" s="4"/>
      <c r="T335" s="4"/>
      <c r="U335" s="4"/>
      <c r="V335" s="4"/>
      <c r="W335" s="4"/>
      <c r="X335" s="4"/>
      <c r="Y335" s="4"/>
      <c r="Z335" s="4"/>
      <c r="AA335" s="4"/>
      <c r="AB335" s="4"/>
      <c r="AC335" s="4"/>
      <c r="AD335" s="4"/>
      <c r="AE335" s="4"/>
      <c r="AF335" s="4"/>
      <c r="AG335" s="4"/>
    </row>
    <row r="336" spans="1:33" ht="17.100000000000001" customHeight="1">
      <c r="A336" s="4" t="s">
        <v>1305</v>
      </c>
      <c r="B336" s="4"/>
      <c r="C336" s="4"/>
      <c r="D336" s="4" t="s">
        <v>1307</v>
      </c>
      <c r="E336" s="13" t="str">
        <f t="shared" si="61"/>
        <v>Myhrvold</v>
      </c>
      <c r="F336" s="13" t="str">
        <f t="array" ref="F336">_xlfn.LET(
 _xlpm.authors,_xlfn.TEXTBEFORE(A336," ("&amp;G336&amp;")"),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6" s="13" t="str">
        <f t="shared" si="62"/>
        <v>2015</v>
      </c>
      <c r="H336" s="13" t="str">
        <f t="shared" si="63"/>
        <v>Myhrvold_etal_2015</v>
      </c>
      <c r="I336" s="13" t="str">
        <f t="shared" si="64"/>
        <v>10.1890%2F15-0846r.1</v>
      </c>
      <c r="J336" s="13" t="str">
        <f t="shared" si="65"/>
        <v>Myhrvold_etal_2015_AmnioteDatabaseReferencesAug2015.csv</v>
      </c>
      <c r="K336" s="13" t="str">
        <f t="shared" si="66"/>
        <v>10.1890%2F15-0846r.1_AmnioteDatabaseReferencesAug2015.csv</v>
      </c>
      <c r="L336" s="13" t="str">
        <f t="array" ref="L336">IFERROR(INDEX(AUTO_Public_TSV_FileList!$A$1:$A$1000,MATCH(TRUE(),EXACT(K336,IFERROR(_xlfn.TEXTBEFORE(AUTO_Public_TSV_FileList!$A$1:$A$1000,".tsv"),"")),0)),"notfound")</f>
        <v>notfound</v>
      </c>
      <c r="M336" s="4"/>
      <c r="N336" s="4"/>
      <c r="O336" s="4"/>
      <c r="P336" s="4"/>
      <c r="Q336" s="4"/>
      <c r="R336" s="4"/>
      <c r="S336" s="4"/>
      <c r="T336" s="4"/>
      <c r="U336" s="4"/>
      <c r="V336" s="4"/>
      <c r="W336" s="4"/>
      <c r="X336" s="4"/>
      <c r="Y336" s="4"/>
      <c r="Z336" s="4"/>
      <c r="AA336" s="4"/>
      <c r="AB336" s="4"/>
      <c r="AC336" s="4"/>
      <c r="AD336" s="4"/>
      <c r="AE336" s="4"/>
      <c r="AF336" s="4"/>
      <c r="AG336" s="4"/>
    </row>
    <row r="337" spans="1:33" ht="17.100000000000001" customHeight="1">
      <c r="A337" s="4" t="s">
        <v>1305</v>
      </c>
      <c r="B337" s="4"/>
      <c r="C337" s="4"/>
      <c r="D337" s="4" t="s">
        <v>1308</v>
      </c>
      <c r="E337" s="13" t="str">
        <f t="shared" si="61"/>
        <v>Myhrvold</v>
      </c>
      <c r="F337" s="13" t="str">
        <f t="array" ref="F337">_xlfn.LET(
 _xlpm.authors,_xlfn.TEXTBEFORE(A337," ("&amp;G337&amp;")"),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7" s="13" t="str">
        <f t="shared" si="62"/>
        <v>2015</v>
      </c>
      <c r="H337" s="13" t="str">
        <f t="shared" si="63"/>
        <v>Myhrvold_etal_2015</v>
      </c>
      <c r="I337" s="13" t="str">
        <f t="shared" si="64"/>
        <v>10.1890%2F15-0846r.1</v>
      </c>
      <c r="J337" s="13" t="str">
        <f t="shared" si="65"/>
        <v>Myhrvold_etal_2015_AmnioteRangeCountAug2015.csv</v>
      </c>
      <c r="K337" s="13" t="str">
        <f t="shared" si="66"/>
        <v>10.1890%2F15-0846r.1_AmnioteRangeCountAug2015.csv</v>
      </c>
      <c r="L337" s="13" t="str">
        <f t="array" ref="L337">IFERROR(INDEX(AUTO_Public_TSV_FileList!$A$1:$A$1000,MATCH(TRUE(),EXACT(K337,IFERROR(_xlfn.TEXTBEFORE(AUTO_Public_TSV_FileList!$A$1:$A$1000,".tsv"),"")),0)),"notfound")</f>
        <v>notfound</v>
      </c>
      <c r="M337" s="4"/>
      <c r="N337" s="4"/>
      <c r="O337" s="4"/>
      <c r="P337" s="4"/>
      <c r="Q337" s="4"/>
      <c r="R337" s="4"/>
      <c r="S337" s="4"/>
      <c r="T337" s="4"/>
      <c r="U337" s="4"/>
      <c r="V337" s="4"/>
      <c r="W337" s="4"/>
      <c r="X337" s="4"/>
      <c r="Y337" s="4"/>
      <c r="Z337" s="4"/>
      <c r="AA337" s="4"/>
      <c r="AB337" s="4"/>
      <c r="AC337" s="4"/>
      <c r="AD337" s="4"/>
      <c r="AE337" s="4"/>
      <c r="AF337" s="4"/>
      <c r="AG337" s="4"/>
    </row>
    <row r="338" spans="1:33" ht="17.100000000000001" customHeight="1">
      <c r="A338" s="4" t="s">
        <v>1305</v>
      </c>
      <c r="B338" s="4"/>
      <c r="C338" s="4"/>
      <c r="D338" s="4" t="s">
        <v>1309</v>
      </c>
      <c r="E338" s="13" t="str">
        <f t="shared" si="61"/>
        <v>Myhrvold</v>
      </c>
      <c r="F338" s="13" t="str">
        <f t="array" ref="F338">_xlfn.LET(
 _xlpm.authors,_xlfn.TEXTBEFORE(A338," ("&amp;G338&amp;")"),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8" s="13" t="str">
        <f t="shared" si="62"/>
        <v>2015</v>
      </c>
      <c r="H338" s="13" t="str">
        <f t="shared" si="63"/>
        <v>Myhrvold_etal_2015</v>
      </c>
      <c r="I338" s="13" t="str">
        <f t="shared" si="64"/>
        <v>10.1890%2F15-0846r.1</v>
      </c>
      <c r="J338" s="13" t="str">
        <f t="shared" si="65"/>
        <v>Myhrvold_etal_2015_AmnioteSparseTableAug2015.csv</v>
      </c>
      <c r="K338" s="13" t="str">
        <f t="shared" si="66"/>
        <v>10.1890%2F15-0846r.1_AmnioteSparseTableAug2015.csv</v>
      </c>
      <c r="L338" s="13" t="str">
        <f t="array" ref="L338">IFERROR(INDEX(AUTO_Public_TSV_FileList!$A$1:$A$1000,MATCH(TRUE(),EXACT(K338,IFERROR(_xlfn.TEXTBEFORE(AUTO_Public_TSV_FileList!$A$1:$A$1000,".tsv"),"")),0)),"notfound")</f>
        <v>notfound</v>
      </c>
      <c r="M338" s="4"/>
      <c r="N338" s="4"/>
      <c r="O338" s="4"/>
      <c r="P338" s="4"/>
      <c r="Q338" s="4"/>
      <c r="R338" s="4"/>
      <c r="S338" s="4"/>
      <c r="T338" s="4"/>
      <c r="U338" s="4"/>
      <c r="V338" s="4"/>
      <c r="W338" s="4"/>
      <c r="X338" s="4"/>
      <c r="Y338" s="4"/>
      <c r="Z338" s="4"/>
      <c r="AA338" s="4"/>
      <c r="AB338" s="4"/>
      <c r="AC338" s="4"/>
      <c r="AD338" s="4"/>
      <c r="AE338" s="4"/>
      <c r="AF338" s="4"/>
      <c r="AG338" s="4"/>
    </row>
    <row r="339" spans="1:33" ht="17.100000000000001" customHeight="1">
      <c r="A339" s="5" t="s">
        <v>1310</v>
      </c>
      <c r="B339" s="4"/>
      <c r="C339" s="4"/>
      <c r="D339" s="5" t="s">
        <v>840</v>
      </c>
      <c r="E339" s="13" t="str">
        <f t="shared" si="61"/>
        <v>Navarrete</v>
      </c>
      <c r="F339" s="13" t="str">
        <f t="array" ref="F339">_xlfn.LET(
 _xlpm.authors,_xlfn.TEXTBEFORE(A339," ("&amp;G339&amp;")"),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39" s="13" t="str">
        <f t="shared" si="62"/>
        <v>2016</v>
      </c>
      <c r="H339" s="13" t="str">
        <f t="shared" si="63"/>
        <v>Navarrete_etal_2016</v>
      </c>
      <c r="I339" s="13" t="str">
        <f t="shared" si="64"/>
        <v>10.1098%2Frstb.2015.0186</v>
      </c>
      <c r="J339" s="13" t="str">
        <f t="shared" si="65"/>
        <v>Navarrete_etal_2016_Data</v>
      </c>
      <c r="K339" s="13" t="str">
        <f t="shared" si="66"/>
        <v>10.1098%2Frstb.2015.0186_Data</v>
      </c>
      <c r="L339" s="13" t="str">
        <f t="array" ref="L339">IFERROR(INDEX(AUTO_Public_TSV_FileList!$A$1:$A$1000,MATCH(TRUE(),EXACT(K339,IFERROR(_xlfn.TEXTBEFORE(AUTO_Public_TSV_FileList!$A$1:$A$1000,".tsv"),"")),0)),"notfound")</f>
        <v>10.1098%2Frstb.2015.0186_Data.tsv</v>
      </c>
      <c r="M339" s="4"/>
      <c r="N339" s="4"/>
      <c r="O339" s="4"/>
      <c r="P339" s="4" t="s">
        <v>36</v>
      </c>
      <c r="Q339" s="4" t="s">
        <v>1311</v>
      </c>
      <c r="R339" s="4"/>
      <c r="S339" s="4"/>
      <c r="T339" s="4"/>
      <c r="U339" s="4"/>
      <c r="V339" s="4"/>
      <c r="W339" s="5"/>
      <c r="X339" s="5"/>
      <c r="Y339" s="5"/>
      <c r="Z339" s="4"/>
      <c r="AA339" s="4"/>
      <c r="AB339" s="5"/>
      <c r="AC339" s="4"/>
      <c r="AD339" s="4"/>
      <c r="AE339" s="5" t="s">
        <v>51</v>
      </c>
      <c r="AF339" s="5"/>
      <c r="AG339" s="4"/>
    </row>
    <row r="340" spans="1:33" ht="17.100000000000001" customHeight="1">
      <c r="A340" s="5" t="s">
        <v>1312</v>
      </c>
      <c r="B340" s="4"/>
      <c r="C340" s="4"/>
      <c r="D340" s="4" t="s">
        <v>70</v>
      </c>
      <c r="E340" s="13" t="str">
        <f t="shared" ref="E340:E388" si="67">SUBSTITUTE(SUBSTITUTE(_xlfn.TEXTBEFORE(A340,","), "-", ""), " ", "")</f>
        <v>Nguyen</v>
      </c>
      <c r="F340" s="13" t="str">
        <f t="array" ref="F340">_xlfn.LET(
 _xlpm.authors,_xlfn.TEXTBEFORE(A340," ("&amp;G340&amp;")"),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0" s="13" t="str">
        <f t="shared" ref="G340:G388" si="68">_xlfn.TEXTBEFORE(_xlfn.TEXTAFTER(A340, "("), ")")</f>
        <v>2019</v>
      </c>
      <c r="H340" s="13" t="str">
        <f t="shared" ref="H340:H388" si="69">E340 &amp; IF(F340&lt;&gt;"", "_" &amp; F340, "_") &amp; IF(G340&lt;&gt;"", "_" &amp; G340, "_") &amp; IF(B340&lt;&gt;"", "_" &amp; B340, "")</f>
        <v>Nguyen_etal_2019</v>
      </c>
      <c r="I340" s="13" t="str">
        <f t="shared" ref="I340:I348" si="70">_xlfn.LET(
_xlpm.doi,IF(C340&lt;&gt;"",C340,_xlfn.TEXTAFTER(A340,"https://doi.org/")),
SUBSTITUTE(
SUBSTITUTE(
SUBSTITUTE(
SUBSTITUTE(
_xlpm.doi,
"/","%2F"),
":","%3A"),
"&lt;","%3C"),
"&gt;","%3E")
)</f>
        <v>10.1002%2Fcne.24823</v>
      </c>
      <c r="J340" s="13" t="str">
        <f t="shared" ref="J340:J388" si="71">TRIM(_xlfn.TEXTJOIN("_",FALSE(),H340,(SUBSTITUTE(SUBSTITUTE(D340," ",""), "_", ""))))</f>
        <v>Nguyen_etal_2019_Table2</v>
      </c>
      <c r="K340" s="13" t="str">
        <f t="shared" ref="K340" si="72">I340 &amp; "_" &amp; SUBSTITUTE(SUBSTITUTE(SUBSTITUTE(D340,CHAR(160),"")," ",""),"_","")</f>
        <v>10.1002%2Fcne.24823_Table2</v>
      </c>
      <c r="L340" s="13" t="str">
        <f t="array" ref="L340">IFERROR(INDEX(AUTO_Public_TSV_FileList!$A$1:$A$1000,MATCH(TRUE(),EXACT(K340,IFERROR(_xlfn.TEXTBEFORE(AUTO_Public_TSV_FileList!$A$1:$A$1000,".tsv"),"")),0)),"notfound")</f>
        <v>10.1002%2Fcne.24823_Table2.tsv</v>
      </c>
      <c r="M340" s="4" t="s">
        <v>1313</v>
      </c>
      <c r="N340" s="4"/>
      <c r="O340" s="4"/>
      <c r="P340" s="4" t="s">
        <v>36</v>
      </c>
      <c r="Q340" s="4"/>
      <c r="R340" s="4"/>
      <c r="S340" s="4"/>
      <c r="T340" s="4"/>
      <c r="U340" s="4"/>
      <c r="V340" s="4"/>
      <c r="W340" s="4"/>
      <c r="X340" s="4"/>
      <c r="Y340" s="4"/>
      <c r="Z340" s="4"/>
      <c r="AA340" s="4"/>
      <c r="AB340" s="4"/>
      <c r="AC340" s="4"/>
      <c r="AD340" s="4"/>
      <c r="AE340" s="4" t="s">
        <v>66</v>
      </c>
      <c r="AF340" s="4"/>
      <c r="AG340" s="4"/>
    </row>
    <row r="341" spans="1:33" ht="17.100000000000001" customHeight="1">
      <c r="A341" s="4" t="s">
        <v>1314</v>
      </c>
      <c r="B341" s="4"/>
      <c r="C341" s="4"/>
      <c r="D341" s="4" t="s">
        <v>81</v>
      </c>
      <c r="E341" s="12" t="str">
        <f t="shared" si="67"/>
        <v>Nimchinsky</v>
      </c>
      <c r="F341" s="12" t="str">
        <f t="array" ref="F341">_xlfn.LET(
 _xlpm.authors,_xlfn.TEXTBEFORE(A341," ("&amp;G341&amp;")"),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1" s="12" t="str">
        <f t="shared" si="68"/>
        <v>1999</v>
      </c>
      <c r="H341" s="12" t="str">
        <f t="shared" si="69"/>
        <v>Nimchinsky_etal_1999</v>
      </c>
      <c r="I341" s="12" t="str">
        <f t="shared" si="70"/>
        <v>10.1073%2Fpnas.96.9.5268</v>
      </c>
      <c r="J341" s="12" t="str">
        <f t="shared" si="71"/>
        <v>Nimchinsky_etal_1999_Table1</v>
      </c>
      <c r="K341" s="12" t="str">
        <f>I341 &amp; "_" &amp; SUBSTITUTE(SUBSTITUTE(SUBSTITUTE(D341,CHAR(160),""), " ", ""), "_", "")</f>
        <v>10.1073%2Fpnas.96.9.5268_Table1</v>
      </c>
      <c r="L341" s="13" t="str">
        <f t="array" ref="L341">IFERROR(INDEX(AUTO_Public_TSV_FileList!$A$1:$A$1000,MATCH(TRUE(),EXACT(K341,IFERROR(_xlfn.TEXTBEFORE(AUTO_Public_TSV_FileList!$A$1:$A$1000,".tsv"),"")),0)),"notfound")</f>
        <v>notfound</v>
      </c>
      <c r="M341" s="4"/>
      <c r="N341" s="4"/>
      <c r="O341" s="4" t="s">
        <v>1315</v>
      </c>
      <c r="P341" s="5" t="s">
        <v>36</v>
      </c>
      <c r="Q341" s="4"/>
      <c r="R341" s="4"/>
      <c r="S341" s="4"/>
      <c r="T341" s="4"/>
      <c r="U341" s="4"/>
      <c r="V341" s="4"/>
      <c r="W341" s="4"/>
      <c r="X341" s="4"/>
      <c r="Y341" s="4"/>
      <c r="Z341" s="4"/>
      <c r="AA341" s="4"/>
      <c r="AB341" s="4"/>
      <c r="AC341" s="4"/>
      <c r="AD341" s="4"/>
      <c r="AE341" s="4"/>
      <c r="AF341" s="4"/>
      <c r="AG341" s="4"/>
    </row>
    <row r="342" spans="1:33" ht="17.100000000000001" customHeight="1">
      <c r="A342" s="4" t="s">
        <v>1314</v>
      </c>
      <c r="B342" s="4"/>
      <c r="C342" s="4"/>
      <c r="D342" s="4" t="s">
        <v>70</v>
      </c>
      <c r="E342" s="12" t="str">
        <f t="shared" si="67"/>
        <v>Nimchinsky</v>
      </c>
      <c r="F342" s="12" t="str">
        <f t="array" ref="F342">_xlfn.LET(
 _xlpm.authors,_xlfn.TEXTBEFORE(A342," ("&amp;G342&amp;")"),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2" s="12" t="str">
        <f t="shared" si="68"/>
        <v>1999</v>
      </c>
      <c r="H342" s="12" t="str">
        <f t="shared" si="69"/>
        <v>Nimchinsky_etal_1999</v>
      </c>
      <c r="I342" s="12" t="str">
        <f t="shared" si="70"/>
        <v>10.1073%2Fpnas.96.9.5268</v>
      </c>
      <c r="J342" s="12" t="str">
        <f t="shared" si="71"/>
        <v>Nimchinsky_etal_1999_Table2</v>
      </c>
      <c r="K342" s="12" t="str">
        <f>I342 &amp; "_" &amp; SUBSTITUTE(SUBSTITUTE(SUBSTITUTE(D342,CHAR(160),""), " ", ""), "_", "")</f>
        <v>10.1073%2Fpnas.96.9.5268_Table2</v>
      </c>
      <c r="L342" s="13" t="str">
        <f t="array" ref="L342">IFERROR(INDEX(AUTO_Public_TSV_FileList!$A$1:$A$1000,MATCH(TRUE(),EXACT(K342,IFERROR(_xlfn.TEXTBEFORE(AUTO_Public_TSV_FileList!$A$1:$A$1000,".tsv"),"")),0)),"notfound")</f>
        <v>notfound</v>
      </c>
      <c r="M342" s="4"/>
      <c r="N342" s="4"/>
      <c r="O342" s="4" t="s">
        <v>1315</v>
      </c>
      <c r="P342" s="5" t="s">
        <v>36</v>
      </c>
      <c r="Q342" s="4"/>
      <c r="R342" s="4"/>
      <c r="S342" s="4"/>
      <c r="T342" s="4"/>
      <c r="U342" s="4"/>
      <c r="V342" s="4"/>
      <c r="W342" s="4"/>
      <c r="X342" s="4"/>
      <c r="Y342" s="4"/>
      <c r="Z342" s="4"/>
      <c r="AA342" s="4"/>
      <c r="AB342" s="4"/>
      <c r="AC342" s="4"/>
      <c r="AD342" s="4"/>
      <c r="AE342" s="4"/>
      <c r="AF342" s="4"/>
      <c r="AG342" s="4"/>
    </row>
    <row r="343" spans="1:33" ht="17.100000000000001" customHeight="1">
      <c r="A343" s="5" t="s">
        <v>1316</v>
      </c>
      <c r="B343" s="4"/>
      <c r="C343" s="4"/>
      <c r="D343" s="5" t="s">
        <v>58</v>
      </c>
      <c r="E343" s="13" t="str">
        <f t="shared" si="67"/>
        <v>Nudo</v>
      </c>
      <c r="F343" s="13" t="str">
        <f t="array" ref="F343">_xlfn.LET(
 _xlpm.authors,_xlfn.TEXTBEFORE(A343," ("&amp;G343&amp;")"),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3" s="13" t="str">
        <f t="shared" si="68"/>
        <v>1995</v>
      </c>
      <c r="H343" s="13" t="str">
        <f t="shared" si="69"/>
        <v>Nudo_etal_1995</v>
      </c>
      <c r="I343" s="13" t="str">
        <f t="shared" si="70"/>
        <v>10.1002%2Fcne.903580203</v>
      </c>
      <c r="J343" s="13" t="str">
        <f t="shared" si="71"/>
        <v>Nudo_etal_1995_TABLE1</v>
      </c>
      <c r="K343" s="13" t="str">
        <f t="shared" ref="K343:K372" si="73">I343 &amp; "_" &amp; SUBSTITUTE(SUBSTITUTE(SUBSTITUTE(D343,CHAR(160),"")," ",""),"_","")</f>
        <v>10.1002%2Fcne.903580203_TABLE1</v>
      </c>
      <c r="L343" s="13" t="str">
        <f t="array" ref="L343">IFERROR(INDEX(AUTO_Public_TSV_FileList!$A$1:$A$1000,MATCH(TRUE(),EXACT(K343,IFERROR(_xlfn.TEXTBEFORE(AUTO_Public_TSV_FileList!$A$1:$A$1000,".tsv"),"")),0)),"notfound")</f>
        <v>10.1002%2Fcne.903580203_TABLE1.tsv</v>
      </c>
      <c r="M343" s="4"/>
      <c r="N343" s="5" t="s">
        <v>35</v>
      </c>
      <c r="O343" s="4"/>
      <c r="P343" s="4" t="s">
        <v>36</v>
      </c>
      <c r="Q343" s="4" t="s">
        <v>1317</v>
      </c>
      <c r="R343" s="4"/>
      <c r="S343" s="4"/>
      <c r="T343" s="4"/>
      <c r="U343" s="4"/>
      <c r="V343" s="4"/>
      <c r="W343" s="5" t="s">
        <v>138</v>
      </c>
      <c r="X343" s="5" t="s">
        <v>1318</v>
      </c>
      <c r="Y343" s="5"/>
      <c r="Z343" s="4"/>
      <c r="AA343" s="4"/>
      <c r="AB343" s="5" t="s">
        <v>1319</v>
      </c>
      <c r="AC343" s="5" t="s">
        <v>1320</v>
      </c>
      <c r="AD343" s="4"/>
      <c r="AE343" s="5" t="s">
        <v>66</v>
      </c>
      <c r="AF343" s="5"/>
      <c r="AG343" s="5" t="s">
        <v>1321</v>
      </c>
    </row>
    <row r="344" spans="1:33" ht="17.100000000000001" customHeight="1">
      <c r="A344" s="5" t="s">
        <v>1316</v>
      </c>
      <c r="B344" s="4"/>
      <c r="C344" s="4"/>
      <c r="D344" s="5" t="s">
        <v>110</v>
      </c>
      <c r="E344" s="13" t="str">
        <f t="shared" si="67"/>
        <v>Nudo</v>
      </c>
      <c r="F344" s="13" t="str">
        <f t="array" ref="F344">_xlfn.LET(
 _xlpm.authors,_xlfn.TEXTBEFORE(A344," ("&amp;G344&amp;")"),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4" s="13" t="str">
        <f t="shared" si="68"/>
        <v>1995</v>
      </c>
      <c r="H344" s="13" t="str">
        <f t="shared" si="69"/>
        <v>Nudo_etal_1995</v>
      </c>
      <c r="I344" s="13" t="str">
        <f t="shared" si="70"/>
        <v>10.1002%2Fcne.903580203</v>
      </c>
      <c r="J344" s="13" t="str">
        <f t="shared" si="71"/>
        <v>Nudo_etal_1995_TABLE2</v>
      </c>
      <c r="K344" s="13" t="str">
        <f t="shared" si="73"/>
        <v>10.1002%2Fcne.903580203_TABLE2</v>
      </c>
      <c r="L344" s="13" t="str">
        <f t="array" ref="L344">IFERROR(INDEX(AUTO_Public_TSV_FileList!$A$1:$A$1000,MATCH(TRUE(),EXACT(K344,IFERROR(_xlfn.TEXTBEFORE(AUTO_Public_TSV_FileList!$A$1:$A$1000,".tsv"),"")),0)),"notfound")</f>
        <v>10.1002%2Fcne.903580203_TABLE2.tsv</v>
      </c>
      <c r="M344" s="4"/>
      <c r="N344" s="5" t="s">
        <v>35</v>
      </c>
      <c r="O344" s="4"/>
      <c r="P344" s="4" t="s">
        <v>36</v>
      </c>
      <c r="Q344" s="5"/>
      <c r="R344" s="4"/>
      <c r="S344" s="4"/>
      <c r="T344" s="4"/>
      <c r="U344" s="4"/>
      <c r="V344" s="4"/>
      <c r="W344" s="5" t="s">
        <v>138</v>
      </c>
      <c r="X344" s="5" t="s">
        <v>1322</v>
      </c>
      <c r="Y344" s="5"/>
      <c r="Z344" s="4"/>
      <c r="AA344" s="4"/>
      <c r="AB344" s="5" t="s">
        <v>1323</v>
      </c>
      <c r="AC344" s="5" t="s">
        <v>1320</v>
      </c>
      <c r="AD344" s="4"/>
      <c r="AE344" s="5" t="s">
        <v>66</v>
      </c>
      <c r="AF344" s="5"/>
      <c r="AG344" s="5" t="s">
        <v>1324</v>
      </c>
    </row>
    <row r="345" spans="1:33" ht="17.100000000000001" customHeight="1">
      <c r="A345" s="5" t="s">
        <v>1316</v>
      </c>
      <c r="B345" s="4"/>
      <c r="C345" s="4"/>
      <c r="D345" s="5" t="s">
        <v>287</v>
      </c>
      <c r="E345" s="13" t="str">
        <f t="shared" si="67"/>
        <v>Nudo</v>
      </c>
      <c r="F345" s="13" t="str">
        <f t="array" ref="F345">_xlfn.LET(
 _xlpm.authors,_xlfn.TEXTBEFORE(A345," ("&amp;G345&amp;")"),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5" s="13" t="str">
        <f t="shared" si="68"/>
        <v>1995</v>
      </c>
      <c r="H345" s="13" t="str">
        <f t="shared" si="69"/>
        <v>Nudo_etal_1995</v>
      </c>
      <c r="I345" s="13" t="str">
        <f t="shared" si="70"/>
        <v>10.1002%2Fcne.903580203</v>
      </c>
      <c r="J345" s="13" t="str">
        <f t="shared" si="71"/>
        <v>Nudo_etal_1995_TABLE3</v>
      </c>
      <c r="K345" s="13" t="str">
        <f t="shared" si="73"/>
        <v>10.1002%2Fcne.903580203_TABLE3</v>
      </c>
      <c r="L345" s="13" t="str">
        <f t="array" ref="L345">IFERROR(INDEX(AUTO_Public_TSV_FileList!$A$1:$A$1000,MATCH(TRUE(),EXACT(K345,IFERROR(_xlfn.TEXTBEFORE(AUTO_Public_TSV_FileList!$A$1:$A$1000,".tsv"),"")),0)),"notfound")</f>
        <v>10.1002%2Fcne.903580203_TABLE3.tsv</v>
      </c>
      <c r="M345" s="4"/>
      <c r="N345" s="5" t="s">
        <v>35</v>
      </c>
      <c r="O345" s="4"/>
      <c r="P345" s="4" t="s">
        <v>36</v>
      </c>
      <c r="Q345" s="5"/>
      <c r="R345" s="4"/>
      <c r="S345" s="4"/>
      <c r="T345" s="4"/>
      <c r="U345" s="4"/>
      <c r="V345" s="4"/>
      <c r="W345" s="5" t="s">
        <v>138</v>
      </c>
      <c r="X345" s="5" t="s">
        <v>1325</v>
      </c>
      <c r="Y345" s="5"/>
      <c r="Z345" s="4"/>
      <c r="AA345" s="4"/>
      <c r="AB345" s="5" t="s">
        <v>1326</v>
      </c>
      <c r="AC345" s="5" t="s">
        <v>1320</v>
      </c>
      <c r="AD345" s="4"/>
      <c r="AE345" s="5" t="s">
        <v>179</v>
      </c>
      <c r="AF345" s="5"/>
      <c r="AG345" s="5" t="s">
        <v>1327</v>
      </c>
    </row>
    <row r="346" spans="1:33" ht="17.100000000000001" customHeight="1">
      <c r="A346" s="5" t="s">
        <v>1316</v>
      </c>
      <c r="B346" s="4"/>
      <c r="C346" s="4"/>
      <c r="D346" s="5" t="s">
        <v>1328</v>
      </c>
      <c r="E346" s="13" t="str">
        <f t="shared" si="67"/>
        <v>Nudo</v>
      </c>
      <c r="F346" s="13" t="str">
        <f t="array" ref="F346">_xlfn.LET(
 _xlpm.authors,_xlfn.TEXTBEFORE(A346," ("&amp;G346&amp;")"),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6" s="13" t="str">
        <f t="shared" si="68"/>
        <v>1995</v>
      </c>
      <c r="H346" s="13" t="str">
        <f t="shared" si="69"/>
        <v>Nudo_etal_1995</v>
      </c>
      <c r="I346" s="13" t="str">
        <f t="shared" si="70"/>
        <v>10.1002%2Fcne.903580203</v>
      </c>
      <c r="J346" s="13" t="str">
        <f t="shared" si="71"/>
        <v>Nudo_etal_1995_TABLE4</v>
      </c>
      <c r="K346" s="13" t="str">
        <f t="shared" si="73"/>
        <v>10.1002%2Fcne.903580203_TABLE4</v>
      </c>
      <c r="L346" s="13" t="str">
        <f t="array" ref="L346">IFERROR(INDEX(AUTO_Public_TSV_FileList!$A$1:$A$1000,MATCH(TRUE(),EXACT(K346,IFERROR(_xlfn.TEXTBEFORE(AUTO_Public_TSV_FileList!$A$1:$A$1000,".tsv"),"")),0)),"notfound")</f>
        <v>10.1002%2Fcne.903580203_TABLE4.tsv</v>
      </c>
      <c r="M346" s="4"/>
      <c r="N346" s="5" t="s">
        <v>35</v>
      </c>
      <c r="O346" s="4"/>
      <c r="P346" s="4" t="s">
        <v>36</v>
      </c>
      <c r="Q346" s="5"/>
      <c r="R346" s="4"/>
      <c r="S346" s="4"/>
      <c r="T346" s="4"/>
      <c r="U346" s="4"/>
      <c r="V346" s="4"/>
      <c r="W346" s="5" t="s">
        <v>138</v>
      </c>
      <c r="X346" s="5" t="s">
        <v>1329</v>
      </c>
      <c r="Y346" s="5"/>
      <c r="Z346" s="4"/>
      <c r="AA346" s="4"/>
      <c r="AB346" s="5" t="s">
        <v>1330</v>
      </c>
      <c r="AC346" s="5" t="s">
        <v>1320</v>
      </c>
      <c r="AD346" s="4"/>
      <c r="AE346" s="5" t="s">
        <v>66</v>
      </c>
      <c r="AF346" s="5"/>
      <c r="AG346" s="5" t="s">
        <v>1331</v>
      </c>
    </row>
    <row r="347" spans="1:33" ht="17.100000000000001" customHeight="1">
      <c r="A347" s="5" t="s">
        <v>1316</v>
      </c>
      <c r="B347" s="4"/>
      <c r="C347" s="4"/>
      <c r="D347" s="5" t="s">
        <v>1332</v>
      </c>
      <c r="E347" s="13" t="str">
        <f t="shared" si="67"/>
        <v>Nudo</v>
      </c>
      <c r="F347" s="13" t="str">
        <f t="array" ref="F347">_xlfn.LET(
 _xlpm.authors,_xlfn.TEXTBEFORE(A347," ("&amp;G347&amp;")"),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7" s="13" t="str">
        <f t="shared" si="68"/>
        <v>1995</v>
      </c>
      <c r="H347" s="13" t="str">
        <f t="shared" si="69"/>
        <v>Nudo_etal_1995</v>
      </c>
      <c r="I347" s="13" t="str">
        <f t="shared" si="70"/>
        <v>10.1002%2Fcne.903580203</v>
      </c>
      <c r="J347" s="13" t="str">
        <f t="shared" si="71"/>
        <v>Nudo_etal_1995_TABLE5</v>
      </c>
      <c r="K347" s="13" t="str">
        <f t="shared" si="73"/>
        <v>10.1002%2Fcne.903580203_TABLE5</v>
      </c>
      <c r="L347" s="13" t="str">
        <f t="array" ref="L347">IFERROR(INDEX(AUTO_Public_TSV_FileList!$A$1:$A$1000,MATCH(TRUE(),EXACT(K347,IFERROR(_xlfn.TEXTBEFORE(AUTO_Public_TSV_FileList!$A$1:$A$1000,".tsv"),"")),0)),"notfound")</f>
        <v>10.1002%2Fcne.903580203_TABLE5.tsv</v>
      </c>
      <c r="M347" s="4"/>
      <c r="N347" s="5" t="s">
        <v>35</v>
      </c>
      <c r="O347" s="4"/>
      <c r="P347" s="4" t="s">
        <v>36</v>
      </c>
      <c r="Q347" s="5"/>
      <c r="R347" s="4"/>
      <c r="S347" s="4"/>
      <c r="T347" s="4"/>
      <c r="U347" s="4"/>
      <c r="V347" s="4"/>
      <c r="W347" s="5" t="s">
        <v>138</v>
      </c>
      <c r="X347" s="5" t="s">
        <v>1333</v>
      </c>
      <c r="Y347" s="5"/>
      <c r="Z347" s="4"/>
      <c r="AA347" s="4"/>
      <c r="AB347" s="5" t="s">
        <v>1334</v>
      </c>
      <c r="AC347" s="5" t="s">
        <v>1320</v>
      </c>
      <c r="AD347" s="4"/>
      <c r="AE347" s="5" t="s">
        <v>66</v>
      </c>
      <c r="AF347" s="5"/>
      <c r="AG347" s="5" t="s">
        <v>1335</v>
      </c>
    </row>
    <row r="348" spans="1:33" ht="17.100000000000001" customHeight="1">
      <c r="A348" s="5" t="s">
        <v>1336</v>
      </c>
      <c r="B348" s="4"/>
      <c r="C348" s="4"/>
      <c r="D348" s="4" t="s">
        <v>380</v>
      </c>
      <c r="E348" s="13" t="str">
        <f t="shared" si="67"/>
        <v>Olkowicz</v>
      </c>
      <c r="F348" s="13" t="str">
        <f t="array" ref="F348">_xlfn.LET(
 _xlpm.authors,_xlfn.TEXTBEFORE(A348," ("&amp;G348&amp;")"),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48" s="13" t="str">
        <f t="shared" si="68"/>
        <v>2016</v>
      </c>
      <c r="H348" s="13" t="str">
        <f t="shared" si="69"/>
        <v>Olkowicz_etal_2016</v>
      </c>
      <c r="I348" s="13" t="str">
        <f t="shared" si="70"/>
        <v>10.1073%2Fpnas.1517131113</v>
      </c>
      <c r="J348" s="13" t="str">
        <f t="shared" si="71"/>
        <v>Olkowicz_etal_2016_DatasetS1</v>
      </c>
      <c r="K348" s="13" t="str">
        <f t="shared" si="73"/>
        <v>10.1073%2Fpnas.1517131113_DatasetS1</v>
      </c>
      <c r="L348" s="13" t="str">
        <f t="array" ref="L348">IFERROR(INDEX(AUTO_Public_TSV_FileList!$A$1:$A$1000,MATCH(TRUE(),EXACT(K348,IFERROR(_xlfn.TEXTBEFORE(AUTO_Public_TSV_FileList!$A$1:$A$1000,".tsv"),"")),0)),"notfound")</f>
        <v>10.1073%2Fpnas.1517131113_DatasetS1.tsv</v>
      </c>
      <c r="M348" s="4" t="s">
        <v>1337</v>
      </c>
      <c r="N348" s="4"/>
      <c r="O348" s="4"/>
      <c r="P348" s="4" t="s">
        <v>36</v>
      </c>
      <c r="Q348" s="4" t="s">
        <v>1317</v>
      </c>
      <c r="R348" s="4"/>
      <c r="S348" s="4"/>
      <c r="T348" s="4"/>
      <c r="U348" s="4"/>
      <c r="V348" s="4"/>
      <c r="W348" s="4"/>
      <c r="X348" s="4"/>
      <c r="Y348" s="4"/>
      <c r="Z348" s="4"/>
      <c r="AA348" s="4"/>
      <c r="AB348" s="4"/>
      <c r="AC348" s="4"/>
      <c r="AD348" s="4"/>
      <c r="AE348" s="4" t="s">
        <v>66</v>
      </c>
      <c r="AF348" s="4"/>
      <c r="AG348" s="4"/>
    </row>
    <row r="349" spans="1:33" ht="17.100000000000001" customHeight="1">
      <c r="A349" s="4" t="s">
        <v>1338</v>
      </c>
      <c r="B349" s="4"/>
      <c r="C349" s="4"/>
      <c r="D349" s="4" t="s">
        <v>560</v>
      </c>
      <c r="E349" s="12" t="str">
        <f t="shared" si="67"/>
        <v>PalomeroGallagher</v>
      </c>
      <c r="F349" s="13" t="str">
        <f t="array" ref="F349">_xlfn.LET(
 _xlpm.authors,_xlfn.TEXTBEFORE(A349," ("&amp;G349&amp;")"),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Zilles</v>
      </c>
      <c r="G349" s="13" t="str">
        <f t="shared" si="68"/>
        <v>2018</v>
      </c>
      <c r="H349" s="12" t="str">
        <f t="shared" si="69"/>
        <v>PalomeroGallagher_Zilles_2018</v>
      </c>
      <c r="I349" s="12" t="str">
        <f>_xlfn.LET(_xlpm.doi,IF(C349&lt;&gt;"",C349,_xlfn.TEXTAFTER(A349,"https://doi.org/")),SUBSTITUTE(SUBSTITUTE(SUBSTITUTE(SUBSTITUTE(_xlpm.doi,"/","%2F"),":","%3A"),"&lt;","%3C"),"&gt;","%3E"))</f>
        <v>10.1016%2Fj.cortex.2018.09.008</v>
      </c>
      <c r="J349" s="12" t="str">
        <f t="shared" si="71"/>
        <v>PalomeroGallagher_Zilles_2018_TableS3</v>
      </c>
      <c r="K349" s="13" t="str">
        <f t="shared" si="73"/>
        <v>10.1016%2Fj.cortex.2018.09.008_TableS3</v>
      </c>
      <c r="L349" s="13" t="str">
        <f t="array" ref="L349">IFERROR(INDEX(AUTO_Public_TSV_FileList!$A$1:$A$1000,MATCH(TRUE(),EXACT(K349,IFERROR(_xlfn.TEXTBEFORE(AUTO_Public_TSV_FileList!$A$1:$A$1000,".tsv"),"")),0)),"notfound")</f>
        <v>10.1016%2Fj.cortex.2018.09.008_TableS3.tsv</v>
      </c>
      <c r="M349" s="4" t="s">
        <v>1339</v>
      </c>
      <c r="N349" s="4" t="s">
        <v>1340</v>
      </c>
      <c r="O349" s="4" t="s">
        <v>1341</v>
      </c>
      <c r="P349" s="4" t="s">
        <v>36</v>
      </c>
      <c r="Q349" s="4" t="s">
        <v>1342</v>
      </c>
      <c r="R349" s="4"/>
      <c r="S349" s="4"/>
      <c r="T349" s="4"/>
      <c r="U349" s="4"/>
      <c r="V349" s="4" t="s">
        <v>1343</v>
      </c>
      <c r="W349" s="4" t="s">
        <v>1344</v>
      </c>
      <c r="X349" s="4" t="s">
        <v>1345</v>
      </c>
      <c r="Y349" s="4"/>
      <c r="Z349" s="4" t="s">
        <v>1346</v>
      </c>
      <c r="AA349" s="4" t="s">
        <v>1347</v>
      </c>
      <c r="AB349" s="4" t="s">
        <v>1348</v>
      </c>
      <c r="AC349" s="4"/>
      <c r="AD349" s="4"/>
      <c r="AE349" s="4" t="s">
        <v>66</v>
      </c>
      <c r="AF349" s="4"/>
      <c r="AG349" s="4" t="s">
        <v>1349</v>
      </c>
    </row>
    <row r="350" spans="1:33" ht="17.100000000000001" customHeight="1">
      <c r="A350" s="4" t="s">
        <v>1350</v>
      </c>
      <c r="B350" s="4"/>
      <c r="C350" s="4"/>
      <c r="D350" s="4" t="s">
        <v>70</v>
      </c>
      <c r="E350" s="13" t="str">
        <f t="shared" si="67"/>
        <v>Peruffo</v>
      </c>
      <c r="F350" s="13" t="str">
        <f t="array" ref="F350">_xlfn.LET(
 _xlpm.authors,_xlfn.TEXTBEFORE(A350," ("&amp;G350&amp;")"),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0" s="13" t="str">
        <f t="shared" si="68"/>
        <v>2019</v>
      </c>
      <c r="H350" s="13" t="str">
        <f t="shared" si="69"/>
        <v>Peruffo_etal_2019</v>
      </c>
      <c r="I350" s="13" t="str">
        <f>_xlfn.LET(
_xlpm.doi,IF(C350&lt;&gt;"",C350,_xlfn.TEXTAFTER(A350,"https://doi.org/")),
SUBSTITUTE(
SUBSTITUTE(
SUBSTITUTE(
SUBSTITUTE(
_xlpm.doi,
"/","%2F"),
":","%3A"),
"&lt;","%3C"),
"&gt;","%3E")
)</f>
        <v>10.1007%2Fs00429-019-01885-x</v>
      </c>
      <c r="J350" s="13" t="str">
        <f t="shared" si="71"/>
        <v>Peruffo_etal_2019_Table2</v>
      </c>
      <c r="K350" s="13" t="str">
        <f t="shared" si="73"/>
        <v>10.1007%2Fs00429-019-01885-x_Table2</v>
      </c>
      <c r="L350" s="13" t="str">
        <f t="array" ref="L350">IFERROR(INDEX(AUTO_Public_TSV_FileList!$A$1:$A$1000,MATCH(TRUE(),EXACT(K350,IFERROR(_xlfn.TEXTBEFORE(AUTO_Public_TSV_FileList!$A$1:$A$1000,".tsv"),"")),0)),"notfound")</f>
        <v>10.1007%2Fs00429-019-01885-x_Table2.tsv</v>
      </c>
      <c r="M350" s="4"/>
      <c r="N350" s="5" t="s">
        <v>35</v>
      </c>
      <c r="O350" s="4"/>
      <c r="P350" s="4" t="s">
        <v>36</v>
      </c>
      <c r="Q350" s="4"/>
      <c r="R350" s="4" t="s">
        <v>1351</v>
      </c>
      <c r="S350" s="4"/>
      <c r="T350" s="4"/>
      <c r="U350" s="4"/>
      <c r="V350" s="4" t="s">
        <v>929</v>
      </c>
      <c r="W350" s="4" t="s">
        <v>1352</v>
      </c>
      <c r="X350" s="4" t="s">
        <v>1353</v>
      </c>
      <c r="Y350" s="4"/>
      <c r="Z350" s="4" t="s">
        <v>1354</v>
      </c>
      <c r="AA350" s="4"/>
      <c r="AB350" s="4" t="s">
        <v>1355</v>
      </c>
      <c r="AC350" s="4"/>
      <c r="AD350" s="4"/>
      <c r="AE350" s="4" t="s">
        <v>66</v>
      </c>
      <c r="AF350" s="4"/>
      <c r="AG350" s="4"/>
    </row>
    <row r="351" spans="1:33" ht="17.100000000000001" customHeight="1">
      <c r="A351" s="5" t="s">
        <v>1350</v>
      </c>
      <c r="B351" s="4"/>
      <c r="C351" s="4"/>
      <c r="D351" s="5" t="s">
        <v>70</v>
      </c>
      <c r="E351" s="13" t="str">
        <f t="shared" si="67"/>
        <v>Peruffo</v>
      </c>
      <c r="F351" s="13" t="str">
        <f t="array" ref="F351">_xlfn.LET(
 _xlpm.authors,_xlfn.TEXTBEFORE(A351," ("&amp;G351&amp;")"),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1" s="13" t="str">
        <f t="shared" si="68"/>
        <v>2019</v>
      </c>
      <c r="H351" s="13" t="str">
        <f t="shared" si="69"/>
        <v>Peruffo_etal_2019</v>
      </c>
      <c r="I351" s="13" t="str">
        <f>_xlfn.LET(
_xlpm.doi,IF(C351&lt;&gt;"",C351,_xlfn.TEXTAFTER(A351,"https://doi.org/")),
SUBSTITUTE(
SUBSTITUTE(
SUBSTITUTE(
SUBSTITUTE(
_xlpm.doi,
"/","%2F"),
":","%3A"),
"&lt;","%3C"),
"&gt;","%3E")
)</f>
        <v>10.1007%2Fs00429-019-01885-x</v>
      </c>
      <c r="J351" s="13" t="str">
        <f t="shared" si="71"/>
        <v>Peruffo_etal_2019_Table2</v>
      </c>
      <c r="K351" s="13" t="str">
        <f t="shared" si="73"/>
        <v>10.1007%2Fs00429-019-01885-x_Table2</v>
      </c>
      <c r="L351" s="13" t="str">
        <f t="array" ref="L351">IFERROR(INDEX(AUTO_Public_TSV_FileList!$A$1:$A$1000,MATCH(TRUE(),EXACT(K351,IFERROR(_xlfn.TEXTBEFORE(AUTO_Public_TSV_FileList!$A$1:$A$1000,".tsv"),"")),0)),"notfound")</f>
        <v>10.1007%2Fs00429-019-01885-x_Table2.tsv</v>
      </c>
      <c r="M351" s="4"/>
      <c r="N351" s="5" t="s">
        <v>35</v>
      </c>
      <c r="O351" s="4"/>
      <c r="P351" s="4" t="s">
        <v>36</v>
      </c>
      <c r="Q351" s="4"/>
      <c r="R351" s="4" t="s">
        <v>1351</v>
      </c>
      <c r="S351" s="4"/>
      <c r="T351" s="4"/>
      <c r="U351" s="4"/>
      <c r="V351" s="4" t="s">
        <v>929</v>
      </c>
      <c r="W351" s="5" t="s">
        <v>1352</v>
      </c>
      <c r="X351" s="5" t="s">
        <v>1353</v>
      </c>
      <c r="Y351" s="4"/>
      <c r="Z351" s="4" t="s">
        <v>1354</v>
      </c>
      <c r="AA351" s="5" t="s">
        <v>63</v>
      </c>
      <c r="AB351" s="5" t="s">
        <v>1355</v>
      </c>
      <c r="AC351" s="5" t="s">
        <v>382</v>
      </c>
      <c r="AD351" s="4"/>
      <c r="AE351" s="5" t="s">
        <v>66</v>
      </c>
      <c r="AF351" s="5"/>
      <c r="AG351" s="4"/>
    </row>
    <row r="352" spans="1:33" ht="17.100000000000001" customHeight="1">
      <c r="A352" s="5" t="s">
        <v>1350</v>
      </c>
      <c r="B352" s="4"/>
      <c r="C352" s="4"/>
      <c r="D352" s="5" t="s">
        <v>70</v>
      </c>
      <c r="E352" s="13" t="str">
        <f t="shared" si="67"/>
        <v>Peruffo</v>
      </c>
      <c r="F352" s="13" t="str">
        <f t="array" ref="F352">_xlfn.LET(
 _xlpm.authors,_xlfn.TEXTBEFORE(A352," ("&amp;G352&amp;")"),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2" s="13" t="str">
        <f t="shared" si="68"/>
        <v>2019</v>
      </c>
      <c r="H352" s="13" t="str">
        <f t="shared" si="69"/>
        <v>Peruffo_etal_2019</v>
      </c>
      <c r="I352" s="13" t="str">
        <f>_xlfn.LET(
_xlpm.doi,IF(C352&lt;&gt;"",C352,_xlfn.TEXTAFTER(A352,"https://doi.org/")),
SUBSTITUTE(
SUBSTITUTE(
SUBSTITUTE(
SUBSTITUTE(
_xlpm.doi,
"/","%2F"),
":","%3A"),
"&lt;","%3C"),
"&gt;","%3E")
)</f>
        <v>10.1007%2Fs00429-019-01885-x</v>
      </c>
      <c r="J352" s="13" t="str">
        <f t="shared" si="71"/>
        <v>Peruffo_etal_2019_Table2</v>
      </c>
      <c r="K352" s="13" t="str">
        <f t="shared" si="73"/>
        <v>10.1007%2Fs00429-019-01885-x_Table2</v>
      </c>
      <c r="L352" s="13" t="str">
        <f t="array" ref="L352">IFERROR(INDEX(AUTO_Public_TSV_FileList!$A$1:$A$1000,MATCH(TRUE(),EXACT(K352,IFERROR(_xlfn.TEXTBEFORE(AUTO_Public_TSV_FileList!$A$1:$A$1000,".tsv"),"")),0)),"notfound")</f>
        <v>10.1007%2Fs00429-019-01885-x_Table2.tsv</v>
      </c>
      <c r="M352" s="4"/>
      <c r="N352" s="5" t="s">
        <v>35</v>
      </c>
      <c r="O352" s="4"/>
      <c r="P352" s="4" t="s">
        <v>36</v>
      </c>
      <c r="Q352" s="4"/>
      <c r="R352" s="4" t="s">
        <v>1351</v>
      </c>
      <c r="S352" s="4"/>
      <c r="T352" s="4"/>
      <c r="U352" s="4"/>
      <c r="V352" s="4" t="s">
        <v>929</v>
      </c>
      <c r="W352" s="5" t="s">
        <v>1352</v>
      </c>
      <c r="X352" s="5" t="s">
        <v>1353</v>
      </c>
      <c r="Y352" s="4"/>
      <c r="Z352" s="4" t="s">
        <v>1354</v>
      </c>
      <c r="AA352" s="5"/>
      <c r="AB352" s="5" t="s">
        <v>1355</v>
      </c>
      <c r="AC352" s="5" t="s">
        <v>84</v>
      </c>
      <c r="AD352" s="4"/>
      <c r="AE352" s="5" t="s">
        <v>66</v>
      </c>
      <c r="AF352" s="5"/>
      <c r="AG352" s="4"/>
    </row>
    <row r="353" spans="1:33" ht="17.100000000000001" customHeight="1">
      <c r="A353" s="4" t="s">
        <v>1356</v>
      </c>
      <c r="B353" s="4"/>
      <c r="C353" s="4"/>
      <c r="D353" s="4" t="s">
        <v>81</v>
      </c>
      <c r="E353" s="12" t="str">
        <f t="shared" si="67"/>
        <v>Pettigrew</v>
      </c>
      <c r="F353" s="13" t="str">
        <f t="array" ref="F353">_xlfn.LET(
 _xlpm.authors,_xlfn.TEXTBEFORE(A353," ("&amp;G353&amp;")"),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3" s="13" t="str">
        <f t="shared" si="68"/>
        <v>1998</v>
      </c>
      <c r="H353" s="12" t="str">
        <f t="shared" si="69"/>
        <v>Pettigrew_etal_1998</v>
      </c>
      <c r="I353" s="12" t="str">
        <f>_xlfn.LET(_xlpm.doi,IF(C353&lt;&gt;"",C353,_xlfn.TEXTAFTER(A353,"https://doi.org/")),SUBSTITUTE(SUBSTITUTE(SUBSTITUTE(SUBSTITUTE(_xlpm.doi,"/","%2F"),":","%3A"),"&lt;","%3C"),"&gt;","%3E"))</f>
        <v>10.1098%2Frstb.1998.0276</v>
      </c>
      <c r="J353" s="12" t="str">
        <f t="shared" si="71"/>
        <v>Pettigrew_etal_1998_Table1</v>
      </c>
      <c r="K353" s="13" t="str">
        <f t="shared" si="73"/>
        <v>10.1098%2Frstb.1998.0276_Table1</v>
      </c>
      <c r="L353" s="13" t="str">
        <f t="array" ref="L353">IFERROR(INDEX(AUTO_Public_TSV_FileList!$A$1:$A$1000,MATCH(TRUE(),EXACT(K353,IFERROR(_xlfn.TEXTBEFORE(AUTO_Public_TSV_FileList!$A$1:$A$1000,".tsv"),"")),0)),"notfound")</f>
        <v>notfound</v>
      </c>
      <c r="M353" s="4" t="s">
        <v>1357</v>
      </c>
      <c r="N353" s="4" t="s">
        <v>660</v>
      </c>
      <c r="O353" s="4" t="s">
        <v>1358</v>
      </c>
      <c r="P353" s="4"/>
      <c r="Q353" s="4"/>
      <c r="R353" s="4" t="s">
        <v>891</v>
      </c>
      <c r="S353" s="4"/>
      <c r="T353" s="4" t="s">
        <v>1359</v>
      </c>
      <c r="U353" s="4"/>
      <c r="V353" s="4" t="s">
        <v>489</v>
      </c>
      <c r="W353" s="4" t="s">
        <v>1360</v>
      </c>
      <c r="X353" s="4" t="s">
        <v>1361</v>
      </c>
      <c r="Y353" s="4"/>
      <c r="Z353" s="4"/>
      <c r="AA353" s="4" t="s">
        <v>1362</v>
      </c>
      <c r="AB353" s="4" t="s">
        <v>1363</v>
      </c>
      <c r="AC353" s="4" t="s">
        <v>897</v>
      </c>
      <c r="AD353" s="4"/>
      <c r="AE353" s="4" t="s">
        <v>66</v>
      </c>
      <c r="AF353" s="4"/>
      <c r="AG353" s="4" t="s">
        <v>1364</v>
      </c>
    </row>
    <row r="354" spans="1:33" ht="17.100000000000001" customHeight="1">
      <c r="A354" s="4" t="s">
        <v>1356</v>
      </c>
      <c r="B354" s="4"/>
      <c r="C354" s="4"/>
      <c r="D354" s="4" t="s">
        <v>70</v>
      </c>
      <c r="E354" s="12" t="str">
        <f t="shared" si="67"/>
        <v>Pettigrew</v>
      </c>
      <c r="F354" s="13" t="str">
        <f t="array" ref="F354">_xlfn.LET(
 _xlpm.authors,_xlfn.TEXTBEFORE(A354," ("&amp;G354&amp;")"),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4" s="13" t="str">
        <f t="shared" si="68"/>
        <v>1998</v>
      </c>
      <c r="H354" s="12" t="str">
        <f t="shared" si="69"/>
        <v>Pettigrew_etal_1998</v>
      </c>
      <c r="I354" s="12" t="str">
        <f>_xlfn.LET(_xlpm.doi,IF(C354&lt;&gt;"",C354,_xlfn.TEXTAFTER(A354,"https://doi.org/")),SUBSTITUTE(SUBSTITUTE(SUBSTITUTE(SUBSTITUTE(_xlpm.doi,"/","%2F"),":","%3A"),"&lt;","%3C"),"&gt;","%3E"))</f>
        <v>10.1098%2Frstb.1998.0276</v>
      </c>
      <c r="J354" s="12" t="str">
        <f t="shared" si="71"/>
        <v>Pettigrew_etal_1998_Table2</v>
      </c>
      <c r="K354" s="13" t="str">
        <f t="shared" si="73"/>
        <v>10.1098%2Frstb.1998.0276_Table2</v>
      </c>
      <c r="L354" s="13" t="str">
        <f t="array" ref="L354">IFERROR(INDEX(AUTO_Public_TSV_FileList!$A$1:$A$1000,MATCH(TRUE(),EXACT(K354,IFERROR(_xlfn.TEXTBEFORE(AUTO_Public_TSV_FileList!$A$1:$A$1000,".tsv"),"")),0)),"notfound")</f>
        <v>10.1098%2Frstb.1998.0276_Table2.tsv</v>
      </c>
      <c r="M354" s="4" t="s">
        <v>889</v>
      </c>
      <c r="N354" s="4" t="s">
        <v>660</v>
      </c>
      <c r="O354" s="4" t="s">
        <v>1365</v>
      </c>
      <c r="P354" s="4"/>
      <c r="Q354" s="4"/>
      <c r="R354" s="4" t="s">
        <v>891</v>
      </c>
      <c r="S354" s="4"/>
      <c r="T354" s="4" t="s">
        <v>1366</v>
      </c>
      <c r="U354" s="4"/>
      <c r="V354" s="4" t="s">
        <v>489</v>
      </c>
      <c r="W354" s="4" t="s">
        <v>1367</v>
      </c>
      <c r="X354" s="4" t="s">
        <v>1368</v>
      </c>
      <c r="Y354" s="4" t="s">
        <v>1369</v>
      </c>
      <c r="Z354" s="4"/>
      <c r="AA354" s="4" t="s">
        <v>1370</v>
      </c>
      <c r="AB354" s="4" t="s">
        <v>1371</v>
      </c>
      <c r="AC354" s="4" t="s">
        <v>897</v>
      </c>
      <c r="AD354" s="4"/>
      <c r="AE354" s="4" t="s">
        <v>51</v>
      </c>
      <c r="AF354" s="4"/>
      <c r="AG354" s="4" t="s">
        <v>1372</v>
      </c>
    </row>
    <row r="355" spans="1:33" ht="17.100000000000001" customHeight="1">
      <c r="A355" s="4" t="s">
        <v>1356</v>
      </c>
      <c r="B355" s="4"/>
      <c r="C355" s="4"/>
      <c r="D355" s="4" t="s">
        <v>1280</v>
      </c>
      <c r="E355" s="12" t="str">
        <f t="shared" si="67"/>
        <v>Pettigrew</v>
      </c>
      <c r="F355" s="13" t="str">
        <f t="array" ref="F355">_xlfn.LET(
 _xlpm.authors,_xlfn.TEXTBEFORE(A355," ("&amp;G355&amp;")"),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55" s="13" t="str">
        <f t="shared" si="68"/>
        <v>1998</v>
      </c>
      <c r="H355" s="12" t="str">
        <f t="shared" si="69"/>
        <v>Pettigrew_etal_1998</v>
      </c>
      <c r="I355" s="12" t="str">
        <f>_xlfn.LET(_xlpm.doi,IF(C355&lt;&gt;"",C355,_xlfn.TEXTAFTER(A355,"https://doi.org/")),SUBSTITUTE(SUBSTITUTE(SUBSTITUTE(SUBSTITUTE(_xlpm.doi,"/","%2F"),":","%3A"),"&lt;","%3C"),"&gt;","%3E"))</f>
        <v>10.1098%2Frstb.1998.0276</v>
      </c>
      <c r="J355" s="12" t="str">
        <f t="shared" si="71"/>
        <v>Pettigrew_etal_1998_Text</v>
      </c>
      <c r="K355" s="13" t="str">
        <f t="shared" si="73"/>
        <v>10.1098%2Frstb.1998.0276_Text</v>
      </c>
      <c r="L355" s="13" t="str">
        <f t="array" ref="L355">IFERROR(INDEX(AUTO_Public_TSV_FileList!$A$1:$A$1000,MATCH(TRUE(),EXACT(K355,IFERROR(_xlfn.TEXTBEFORE(AUTO_Public_TSV_FileList!$A$1:$A$1000,".tsv"),"")),0)),"notfound")</f>
        <v>notfound</v>
      </c>
      <c r="M355" s="4" t="s">
        <v>1373</v>
      </c>
      <c r="N355" s="4" t="s">
        <v>364</v>
      </c>
      <c r="O355" s="4" t="s">
        <v>1374</v>
      </c>
      <c r="P355" s="4"/>
      <c r="Q355" s="4"/>
      <c r="R355" s="4" t="s">
        <v>891</v>
      </c>
      <c r="S355" s="4"/>
      <c r="T355" s="4" t="s">
        <v>1375</v>
      </c>
      <c r="U355" s="4"/>
      <c r="V355" s="4" t="s">
        <v>1376</v>
      </c>
      <c r="W355" s="4" t="s">
        <v>1360</v>
      </c>
      <c r="X355" s="4" t="s">
        <v>1377</v>
      </c>
      <c r="Y355" s="4"/>
      <c r="Z355" s="4"/>
      <c r="AA355" s="4" t="s">
        <v>1378</v>
      </c>
      <c r="AB355" s="4" t="s">
        <v>1379</v>
      </c>
      <c r="AC355" s="4" t="s">
        <v>897</v>
      </c>
      <c r="AD355" s="4"/>
      <c r="AE355" s="4" t="s">
        <v>51</v>
      </c>
      <c r="AF355" s="4" t="s">
        <v>1380</v>
      </c>
      <c r="AG355" s="4" t="s">
        <v>759</v>
      </c>
    </row>
    <row r="356" spans="1:33" ht="17.100000000000001" customHeight="1">
      <c r="A356" s="4" t="s">
        <v>1381</v>
      </c>
      <c r="B356" s="4"/>
      <c r="C356" s="3" t="s">
        <v>1382</v>
      </c>
      <c r="D356" s="4" t="s">
        <v>728</v>
      </c>
      <c r="E356" s="13" t="str">
        <f t="shared" si="67"/>
        <v>Pirlot</v>
      </c>
      <c r="F356" s="13" t="str">
        <f t="array" ref="F356">_xlfn.LET(
 _xlpm.authors,_xlfn.TEXTBEFORE(A356," ("&amp;G356&amp;")"),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56" s="13" t="str">
        <f t="shared" si="68"/>
        <v>1981</v>
      </c>
      <c r="H356" s="13" t="str">
        <f t="shared" si="69"/>
        <v>Pirlot__1981</v>
      </c>
      <c r="I356" s="13" t="str">
        <f t="shared" ref="I356:I364" si="74">_xlfn.LET(
_xlpm.doi,IF(C356&lt;&gt;"",C356,_xlfn.TEXTAFTER(A356,"https://doi.org/")),
SUBSTITUTE(
SUBSTITUTE(
SUBSTITUTE(
SUBSTITUTE(
_xlpm.doi,
"/","%2F"),
":","%3A"),
"&lt;","%3C"),
"&gt;","%3E")
)</f>
        <v>PMID%3A7280305</v>
      </c>
      <c r="J356" s="13" t="str">
        <f t="shared" si="71"/>
        <v>Pirlot__1981_TABLEI</v>
      </c>
      <c r="K356" s="13" t="str">
        <f t="shared" si="73"/>
        <v>PMID%3A7280305_TABLEI</v>
      </c>
      <c r="L356" s="13" t="str">
        <f t="array" ref="L356">IFERROR(INDEX(AUTO_Public_TSV_FileList!$A$1:$A$1000,MATCH(TRUE(),EXACT(K356,IFERROR(_xlfn.TEXTBEFORE(AUTO_Public_TSV_FileList!$A$1:$A$1000,".tsv"),"")),0)),"notfound")</f>
        <v>PMID%3A7280305_TABLEI.tsv</v>
      </c>
      <c r="M356" s="4"/>
      <c r="N356" s="4"/>
      <c r="O356" s="4"/>
      <c r="P356" s="4"/>
      <c r="Q356" s="4"/>
      <c r="R356" s="4"/>
      <c r="S356" s="4"/>
      <c r="T356" s="4"/>
      <c r="U356" s="4"/>
      <c r="V356" s="4"/>
      <c r="W356" s="4"/>
      <c r="X356" s="4"/>
      <c r="Y356" s="4"/>
      <c r="Z356" s="4"/>
      <c r="AA356" s="4"/>
      <c r="AB356" s="4"/>
      <c r="AC356" s="4"/>
      <c r="AD356" s="4"/>
      <c r="AE356" s="4"/>
      <c r="AF356" s="4"/>
      <c r="AG356" s="4"/>
    </row>
    <row r="357" spans="1:33" ht="17.100000000000001" customHeight="1">
      <c r="A357" s="4" t="s">
        <v>1381</v>
      </c>
      <c r="B357" s="4"/>
      <c r="C357" s="3" t="s">
        <v>1382</v>
      </c>
      <c r="D357" s="4" t="s">
        <v>1383</v>
      </c>
      <c r="E357" s="13" t="str">
        <f t="shared" si="67"/>
        <v>Pirlot</v>
      </c>
      <c r="F357" s="13" t="str">
        <f t="array" ref="F357">_xlfn.LET(
 _xlpm.authors,_xlfn.TEXTBEFORE(A357," ("&amp;G357&amp;")"),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57" s="13" t="str">
        <f t="shared" si="68"/>
        <v>1981</v>
      </c>
      <c r="H357" s="13" t="str">
        <f t="shared" si="69"/>
        <v>Pirlot__1981</v>
      </c>
      <c r="I357" s="13" t="str">
        <f t="shared" si="74"/>
        <v>PMID%3A7280305</v>
      </c>
      <c r="J357" s="13" t="str">
        <f t="shared" si="71"/>
        <v>Pirlot__1981_TABLEII</v>
      </c>
      <c r="K357" s="13" t="str">
        <f t="shared" si="73"/>
        <v>PMID%3A7280305_TABLEII</v>
      </c>
      <c r="L357" s="13" t="str">
        <f t="array" ref="L357">IFERROR(INDEX(AUTO_Public_TSV_FileList!$A$1:$A$1000,MATCH(TRUE(),EXACT(K357,IFERROR(_xlfn.TEXTBEFORE(AUTO_Public_TSV_FileList!$A$1:$A$1000,".tsv"),"")),0)),"notfound")</f>
        <v>PMID%3A7280305_TABLEII.tsv</v>
      </c>
      <c r="M357" s="4"/>
      <c r="N357" s="4"/>
      <c r="O357" s="4"/>
      <c r="P357" s="4"/>
      <c r="Q357" s="4"/>
      <c r="R357" s="4"/>
      <c r="S357" s="4"/>
      <c r="T357" s="4"/>
      <c r="U357" s="4"/>
      <c r="V357" s="4"/>
      <c r="W357" s="4"/>
      <c r="X357" s="4"/>
      <c r="Y357" s="4"/>
      <c r="Z357" s="4"/>
      <c r="AA357" s="4"/>
      <c r="AB357" s="4"/>
      <c r="AC357" s="4"/>
      <c r="AD357" s="4"/>
      <c r="AE357" s="4"/>
      <c r="AF357" s="4"/>
      <c r="AG357" s="4"/>
    </row>
    <row r="358" spans="1:33" ht="17.100000000000001" customHeight="1">
      <c r="A358" s="4" t="s">
        <v>1384</v>
      </c>
      <c r="B358" s="4"/>
      <c r="C358" s="4" t="s">
        <v>1385</v>
      </c>
      <c r="D358" s="4" t="s">
        <v>81</v>
      </c>
      <c r="E358" s="13" t="str">
        <f t="shared" si="67"/>
        <v>Pirlot</v>
      </c>
      <c r="F358" s="13" t="str">
        <f t="array" ref="F358">_xlfn.LET(
 _xlpm.authors,_xlfn.TEXTBEFORE(A358," ("&amp;G358&amp;")"),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Jiao</v>
      </c>
      <c r="G358" s="13" t="str">
        <f t="shared" si="68"/>
        <v>1985</v>
      </c>
      <c r="H358" s="13" t="str">
        <f t="shared" si="69"/>
        <v>Pirlot_Jiao_1985</v>
      </c>
      <c r="I358" s="13" t="str">
        <f t="shared" si="74"/>
        <v>PMID%3A3989277</v>
      </c>
      <c r="J358" s="13" t="str">
        <f t="shared" si="71"/>
        <v>Pirlot_Jiao_1985_Table1</v>
      </c>
      <c r="K358" s="13" t="str">
        <f t="shared" si="73"/>
        <v>PMID%3A3989277_Table1</v>
      </c>
      <c r="L358" s="13" t="str">
        <f t="array" ref="L358">IFERROR(INDEX(AUTO_Public_TSV_FileList!$A$1:$A$1000,MATCH(TRUE(),EXACT(K358,IFERROR(_xlfn.TEXTBEFORE(AUTO_Public_TSV_FileList!$A$1:$A$1000,".tsv"),"")),0)),"notfound")</f>
        <v>PMID%3A3989277_Table1.tsv</v>
      </c>
      <c r="M358" s="4"/>
      <c r="N358" s="4"/>
      <c r="O358" s="4"/>
      <c r="P358" s="4"/>
      <c r="Q358" s="4"/>
      <c r="R358" s="4"/>
      <c r="S358" s="4"/>
      <c r="T358" s="4"/>
      <c r="U358" s="4"/>
      <c r="V358" s="4"/>
      <c r="W358" s="4"/>
      <c r="X358" s="4"/>
      <c r="Y358" s="4"/>
      <c r="Z358" s="4"/>
      <c r="AA358" s="4"/>
      <c r="AB358" s="4"/>
      <c r="AC358" s="4"/>
      <c r="AD358" s="4"/>
      <c r="AE358" s="4"/>
      <c r="AF358" s="4"/>
      <c r="AG358" s="4"/>
    </row>
    <row r="359" spans="1:33" ht="17.100000000000001" customHeight="1">
      <c r="A359" s="3" t="s">
        <v>1386</v>
      </c>
      <c r="B359" s="3"/>
      <c r="C359" s="4"/>
      <c r="D359" s="3" t="s">
        <v>81</v>
      </c>
      <c r="E359" s="13" t="str">
        <f t="shared" si="67"/>
        <v>Pirlot</v>
      </c>
      <c r="F359" s="13" t="str">
        <f t="array" ref="F359">_xlfn.LET(
 _xlpm.authors,_xlfn.TEXTBEFORE(A359," ("&amp;G359&amp;")"),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Kamiya</v>
      </c>
      <c r="G359" s="13" t="str">
        <f t="shared" si="68"/>
        <v>1982</v>
      </c>
      <c r="H359" s="13" t="str">
        <f t="shared" si="69"/>
        <v>Pirlot_Kamiya_1982</v>
      </c>
      <c r="I359" s="13" t="str">
        <f t="shared" si="74"/>
        <v>10.1139%2FZ82-084</v>
      </c>
      <c r="J359" s="13" t="str">
        <f t="shared" si="71"/>
        <v>Pirlot_Kamiya_1982_Table1</v>
      </c>
      <c r="K359" s="13" t="str">
        <f t="shared" si="73"/>
        <v>10.1139%2FZ82-084_Table1</v>
      </c>
      <c r="L359" s="13" t="str">
        <f t="array" ref="L359">IFERROR(INDEX(AUTO_Public_TSV_FileList!$A$1:$A$1000,MATCH(TRUE(),EXACT(K359,IFERROR(_xlfn.TEXTBEFORE(AUTO_Public_TSV_FileList!$A$1:$A$1000,".tsv"),"")),0)),"notfound")</f>
        <v>notfound</v>
      </c>
      <c r="M359" s="4"/>
      <c r="N359" s="5" t="s">
        <v>35</v>
      </c>
      <c r="O359" s="4"/>
      <c r="P359" s="3" t="s">
        <v>36</v>
      </c>
      <c r="Q359" s="3"/>
      <c r="R359" s="3"/>
      <c r="S359" s="3" t="s">
        <v>569</v>
      </c>
      <c r="T359" s="3" t="s">
        <v>570</v>
      </c>
      <c r="U359" s="3"/>
      <c r="V359" s="3" t="s">
        <v>571</v>
      </c>
      <c r="W359" s="3" t="s">
        <v>1387</v>
      </c>
      <c r="X359" s="3" t="s">
        <v>1388</v>
      </c>
      <c r="Y359" s="3"/>
      <c r="Z359" s="3"/>
      <c r="AA359" s="3" t="s">
        <v>1389</v>
      </c>
      <c r="AB359" s="3" t="s">
        <v>1390</v>
      </c>
      <c r="AC359" s="4"/>
      <c r="AD359" s="3"/>
      <c r="AE359" s="5" t="s">
        <v>51</v>
      </c>
      <c r="AF359" s="5"/>
      <c r="AG359" s="3" t="s">
        <v>1391</v>
      </c>
    </row>
    <row r="360" spans="1:33" ht="17.100000000000001" customHeight="1">
      <c r="A360" s="3" t="s">
        <v>1392</v>
      </c>
      <c r="B360" s="3"/>
      <c r="C360" s="3"/>
      <c r="D360" s="3" t="s">
        <v>81</v>
      </c>
      <c r="E360" s="13" t="str">
        <f t="shared" si="67"/>
        <v>Pirlot</v>
      </c>
      <c r="F360" s="13" t="str">
        <f t="array" ref="F360">_xlfn.LET(
 _xlpm.authors,_xlfn.TEXTBEFORE(A360," ("&amp;G360&amp;")"),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Kamiya</v>
      </c>
      <c r="G360" s="13" t="str">
        <f t="shared" si="68"/>
        <v>1985</v>
      </c>
      <c r="H360" s="13" t="str">
        <f t="shared" si="69"/>
        <v>Pirlot_Kamiya_1985</v>
      </c>
      <c r="I360" s="13" t="str">
        <f t="shared" si="74"/>
        <v>10.1111%2Fj.1439-0469.1985.tb00577.x</v>
      </c>
      <c r="J360" s="13" t="str">
        <f t="shared" si="71"/>
        <v>Pirlot_Kamiya_1985_Table1</v>
      </c>
      <c r="K360" s="13" t="str">
        <f t="shared" si="73"/>
        <v>10.1111%2Fj.1439-0469.1985.tb00577.x_Table1</v>
      </c>
      <c r="L360" s="13" t="str">
        <f t="array" ref="L360">IFERROR(INDEX(AUTO_Public_TSV_FileList!$A$1:$A$1000,MATCH(TRUE(),EXACT(K360,IFERROR(_xlfn.TEXTBEFORE(AUTO_Public_TSV_FileList!$A$1:$A$1000,".tsv"),"")),0)),"notfound")</f>
        <v>notfound</v>
      </c>
      <c r="M360" s="4"/>
      <c r="N360" s="5" t="s">
        <v>35</v>
      </c>
      <c r="O360" s="4"/>
      <c r="P360" s="3" t="s">
        <v>36</v>
      </c>
      <c r="Q360" s="3"/>
      <c r="R360" s="3" t="s">
        <v>1393</v>
      </c>
      <c r="S360" s="3" t="s">
        <v>569</v>
      </c>
      <c r="T360" s="3" t="s">
        <v>570</v>
      </c>
      <c r="U360" s="3"/>
      <c r="V360" s="3" t="s">
        <v>571</v>
      </c>
      <c r="W360" s="3" t="s">
        <v>1394</v>
      </c>
      <c r="X360" s="3" t="s">
        <v>1395</v>
      </c>
      <c r="Y360" s="3"/>
      <c r="Z360" s="3"/>
      <c r="AA360" s="3" t="s">
        <v>1396</v>
      </c>
      <c r="AB360" s="3" t="s">
        <v>1390</v>
      </c>
      <c r="AC360" s="4"/>
      <c r="AD360" s="3"/>
      <c r="AE360" s="3" t="s">
        <v>66</v>
      </c>
      <c r="AF360" s="3"/>
      <c r="AG360" s="3" t="s">
        <v>1397</v>
      </c>
    </row>
    <row r="361" spans="1:33" ht="17.100000000000001" customHeight="1">
      <c r="A361" s="4" t="s">
        <v>1398</v>
      </c>
      <c r="B361" s="4"/>
      <c r="C361" s="4" t="s">
        <v>1399</v>
      </c>
      <c r="D361" s="4" t="s">
        <v>287</v>
      </c>
      <c r="E361" s="13" t="str">
        <f t="shared" si="67"/>
        <v>Pirlot</v>
      </c>
      <c r="F361" s="13" t="str">
        <f t="array" ref="F361">_xlfn.LET(
 _xlpm.authors,_xlfn.TEXTBEFORE(A361," ("&amp;G361&amp;")"),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Nelson</v>
      </c>
      <c r="G361" s="13" t="str">
        <f t="shared" si="68"/>
        <v>1978</v>
      </c>
      <c r="H361" s="13" t="str">
        <f t="shared" si="69"/>
        <v>Pirlot_Nelson_1978</v>
      </c>
      <c r="I361" s="13" t="str">
        <f t="shared" si="74"/>
        <v>OCLC%3A1340515946</v>
      </c>
      <c r="J361" s="13" t="str">
        <f t="shared" si="71"/>
        <v>Pirlot_Nelson_1978_TABLE3</v>
      </c>
      <c r="K361" s="13" t="str">
        <f t="shared" si="73"/>
        <v>OCLC%3A1340515946_TABLE3</v>
      </c>
      <c r="L361" s="13" t="str">
        <f t="array" ref="L361">IFERROR(INDEX(AUTO_Public_TSV_FileList!$A$1:$A$1000,MATCH(TRUE(),EXACT(K361,IFERROR(_xlfn.TEXTBEFORE(AUTO_Public_TSV_FileList!$A$1:$A$1000,".tsv"),"")),0)),"notfound")</f>
        <v>OCLC%3A1340515946_TABLE3.tsv</v>
      </c>
      <c r="M361" s="4"/>
      <c r="N361" s="4"/>
      <c r="O361" s="4"/>
      <c r="P361" s="4"/>
      <c r="Q361" s="4"/>
      <c r="R361" s="4"/>
      <c r="S361" s="4"/>
      <c r="T361" s="4"/>
      <c r="U361" s="4"/>
      <c r="V361" s="4"/>
      <c r="W361" s="4"/>
      <c r="X361" s="4"/>
      <c r="Y361" s="4"/>
      <c r="Z361" s="4"/>
      <c r="AA361" s="4"/>
      <c r="AB361" s="4"/>
      <c r="AC361" s="4"/>
      <c r="AD361" s="4"/>
      <c r="AE361" s="4"/>
      <c r="AF361" s="4"/>
      <c r="AG361" s="4"/>
    </row>
    <row r="362" spans="1:33" ht="17.100000000000001" customHeight="1">
      <c r="A362" s="5" t="s">
        <v>1400</v>
      </c>
      <c r="B362" s="4"/>
      <c r="C362" s="5"/>
      <c r="D362" s="5" t="s">
        <v>1401</v>
      </c>
      <c r="E362" s="13" t="str">
        <f t="shared" si="67"/>
        <v>Powell</v>
      </c>
      <c r="F362" s="13" t="str">
        <f t="array" ref="F362">_xlfn.LET(
 _xlpm.authors,_xlfn.TEXTBEFORE(A362," ("&amp;G362&amp;")"),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2" s="13" t="str">
        <f t="shared" si="68"/>
        <v>2017</v>
      </c>
      <c r="H362" s="13" t="str">
        <f t="shared" si="69"/>
        <v>Powell_etal_2017</v>
      </c>
      <c r="I362" s="13" t="str">
        <f t="shared" si="74"/>
        <v>10.1098%2Frspb.2017.1765</v>
      </c>
      <c r="J362" s="13" t="str">
        <f t="shared" si="71"/>
        <v>Powell_etal_2017_Dataset1</v>
      </c>
      <c r="K362" s="13" t="str">
        <f t="shared" si="73"/>
        <v>10.1098%2Frspb.2017.1765_Dataset1</v>
      </c>
      <c r="L362" s="13" t="str">
        <f t="array" ref="L362">IFERROR(INDEX(AUTO_Public_TSV_FileList!$A$1:$A$1000,MATCH(TRUE(),EXACT(K362,IFERROR(_xlfn.TEXTBEFORE(AUTO_Public_TSV_FileList!$A$1:$A$1000,".tsv"),"")),0)),"notfound")</f>
        <v>10.1098%2Frspb.2017.1765_Dataset1.tsv</v>
      </c>
      <c r="M362" s="4"/>
      <c r="N362" s="5" t="s">
        <v>35</v>
      </c>
      <c r="O362" s="4"/>
      <c r="P362" s="4" t="s">
        <v>36</v>
      </c>
      <c r="Q362" s="5"/>
      <c r="R362" s="5" t="s">
        <v>1402</v>
      </c>
      <c r="S362" s="4"/>
      <c r="T362" s="4"/>
      <c r="U362" s="4"/>
      <c r="V362" s="5"/>
      <c r="W362" s="5" t="s">
        <v>100</v>
      </c>
      <c r="X362" s="5" t="s">
        <v>1403</v>
      </c>
      <c r="Y362" s="5" t="s">
        <v>1404</v>
      </c>
      <c r="Z362" s="4"/>
      <c r="AA362" s="4"/>
      <c r="AB362" s="5" t="s">
        <v>1403</v>
      </c>
      <c r="AC362" s="4"/>
      <c r="AD362" s="4"/>
      <c r="AE362" s="5" t="s">
        <v>179</v>
      </c>
      <c r="AF362" s="5"/>
      <c r="AG362" s="4"/>
    </row>
    <row r="363" spans="1:33" ht="17.100000000000001" customHeight="1">
      <c r="A363" s="5" t="s">
        <v>1405</v>
      </c>
      <c r="B363" s="4"/>
      <c r="C363" s="5"/>
      <c r="D363" s="5" t="s">
        <v>81</v>
      </c>
      <c r="E363" s="13" t="str">
        <f t="shared" si="67"/>
        <v>Raghanti</v>
      </c>
      <c r="F363" s="13" t="str">
        <f t="array" ref="F363">_xlfn.LET(
 _xlpm.authors,_xlfn.TEXTBEFORE(A363," ("&amp;G363&amp;")"),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3" s="13" t="str">
        <f t="shared" si="68"/>
        <v>2015</v>
      </c>
      <c r="H363" s="13" t="str">
        <f t="shared" si="69"/>
        <v>Raghanti_etal_2015</v>
      </c>
      <c r="I363" s="13" t="str">
        <f t="shared" si="74"/>
        <v>10.1007%2Fs00429-014-0792-y</v>
      </c>
      <c r="J363" s="13" t="str">
        <f t="shared" si="71"/>
        <v>Raghanti_etal_2015_Table1</v>
      </c>
      <c r="K363" s="13" t="str">
        <f t="shared" si="73"/>
        <v>10.1007%2Fs00429-014-0792-y_Table1</v>
      </c>
      <c r="L363" s="13" t="str">
        <f t="array" ref="L363">IFERROR(INDEX(AUTO_Public_TSV_FileList!$A$1:$A$1000,MATCH(TRUE(),EXACT(K363,IFERROR(_xlfn.TEXTBEFORE(AUTO_Public_TSV_FileList!$A$1:$A$1000,".tsv"),"")),0)),"notfound")</f>
        <v>notfound</v>
      </c>
      <c r="M363" s="4"/>
      <c r="N363" s="5"/>
      <c r="O363" s="4"/>
      <c r="P363" s="4"/>
      <c r="Q363" s="5"/>
      <c r="R363" s="5"/>
      <c r="S363" s="4"/>
      <c r="T363" s="4"/>
      <c r="U363" s="4"/>
      <c r="V363" s="5"/>
      <c r="W363" s="5"/>
      <c r="X363" s="5"/>
      <c r="Y363" s="5"/>
      <c r="Z363" s="4"/>
      <c r="AA363" s="4"/>
      <c r="AB363" s="5"/>
      <c r="AC363" s="4"/>
      <c r="AD363" s="4"/>
      <c r="AE363" s="5"/>
      <c r="AF363" s="5"/>
      <c r="AG363" s="4"/>
    </row>
    <row r="364" spans="1:33" ht="17.100000000000001" customHeight="1">
      <c r="A364" s="5" t="s">
        <v>1406</v>
      </c>
      <c r="B364" s="4"/>
      <c r="C364" s="5"/>
      <c r="D364" s="5" t="s">
        <v>840</v>
      </c>
      <c r="E364" s="13" t="str">
        <f t="shared" si="67"/>
        <v>Reader</v>
      </c>
      <c r="F364" s="13" t="str">
        <f t="array" ref="F364">_xlfn.LET(
 _xlpm.authors,_xlfn.TEXTBEFORE(A364," ("&amp;G364&amp;")"),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4" s="13" t="str">
        <f t="shared" si="68"/>
        <v>2011</v>
      </c>
      <c r="H364" s="13" t="str">
        <f t="shared" si="69"/>
        <v>Reader_etal_2011</v>
      </c>
      <c r="I364" s="13" t="str">
        <f t="shared" si="74"/>
        <v>10.1098%2Frstb.2010.0342</v>
      </c>
      <c r="J364" s="13" t="str">
        <f t="shared" si="71"/>
        <v>Reader_etal_2011_Data</v>
      </c>
      <c r="K364" s="13" t="str">
        <f t="shared" si="73"/>
        <v>10.1098%2Frstb.2010.0342_Data</v>
      </c>
      <c r="L364" s="13" t="str">
        <f t="array" ref="L364">IFERROR(INDEX(AUTO_Public_TSV_FileList!$A$1:$A$1000,MATCH(TRUE(),EXACT(K364,IFERROR(_xlfn.TEXTBEFORE(AUTO_Public_TSV_FileList!$A$1:$A$1000,".tsv"),"")),0)),"notfound")</f>
        <v>10.1098%2Frstb.2010.0342_Data.tsv</v>
      </c>
      <c r="M364" s="4"/>
      <c r="N364" s="5" t="s">
        <v>35</v>
      </c>
      <c r="O364" s="4"/>
      <c r="P364" s="5" t="s">
        <v>36</v>
      </c>
      <c r="Q364" s="5"/>
      <c r="R364" s="5"/>
      <c r="S364" s="4"/>
      <c r="T364" s="4"/>
      <c r="U364" s="4"/>
      <c r="V364" s="5"/>
      <c r="W364" s="5" t="s">
        <v>100</v>
      </c>
      <c r="X364" s="5" t="s">
        <v>1407</v>
      </c>
      <c r="Y364" s="5"/>
      <c r="Z364" s="4"/>
      <c r="AA364" s="4"/>
      <c r="AB364" s="5" t="s">
        <v>1408</v>
      </c>
      <c r="AC364" s="5" t="s">
        <v>1409</v>
      </c>
      <c r="AD364" s="4"/>
      <c r="AE364" s="5" t="s">
        <v>66</v>
      </c>
      <c r="AF364" s="5"/>
      <c r="AG364" s="5" t="s">
        <v>1410</v>
      </c>
    </row>
    <row r="365" spans="1:33" ht="17.100000000000001" customHeight="1">
      <c r="A365" s="4" t="s">
        <v>1411</v>
      </c>
      <c r="B365" s="4"/>
      <c r="C365" s="4"/>
      <c r="D365" s="4" t="s">
        <v>81</v>
      </c>
      <c r="E365" s="12" t="str">
        <f t="shared" si="67"/>
        <v>Reep</v>
      </c>
      <c r="F365" s="13" t="str">
        <f t="array" ref="F365">_xlfn.LET(
 _xlpm.authors,_xlfn.TEXTBEFORE(A365," ("&amp;G365&amp;")"),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5" s="13" t="str">
        <f t="shared" si="68"/>
        <v>2007</v>
      </c>
      <c r="H365" s="12" t="str">
        <f t="shared" si="69"/>
        <v>Reep_etal_2007</v>
      </c>
      <c r="I365" s="12" t="str">
        <f>_xlfn.LET(_xlpm.doi,IF(C365&lt;&gt;"",C365,_xlfn.TEXTAFTER(A365,"https://doi.org/")),SUBSTITUTE(SUBSTITUTE(SUBSTITUTE(SUBSTITUTE(_xlpm.doi,"/","%2F"),":","%3A"),"&lt;","%3C"),"&gt;","%3E"))</f>
        <v>10.1159%2F000101491</v>
      </c>
      <c r="J365" s="12" t="str">
        <f t="shared" si="71"/>
        <v>Reep_etal_2007_Table1</v>
      </c>
      <c r="K365" s="13" t="str">
        <f t="shared" si="73"/>
        <v>10.1159%2F000101491_Table1</v>
      </c>
      <c r="L365" s="13" t="str">
        <f t="array" ref="L365">IFERROR(INDEX(AUTO_Public_TSV_FileList!$A$1:$A$1000,MATCH(TRUE(),EXACT(K365,IFERROR(_xlfn.TEXTBEFORE(AUTO_Public_TSV_FileList!$A$1:$A$1000,".tsv"),"")),0)),"notfound")</f>
        <v>10.1159%2F000101491_Table1.tsv</v>
      </c>
      <c r="M365" s="4" t="s">
        <v>1412</v>
      </c>
      <c r="N365" s="4" t="s">
        <v>35</v>
      </c>
      <c r="O365" s="4"/>
      <c r="P365" s="4" t="s">
        <v>36</v>
      </c>
      <c r="Q365" s="4"/>
      <c r="R365" s="4" t="s">
        <v>1413</v>
      </c>
      <c r="S365" s="4" t="s">
        <v>1414</v>
      </c>
      <c r="T365" s="4" t="s">
        <v>1415</v>
      </c>
      <c r="U365" s="4"/>
      <c r="V365" s="4" t="s">
        <v>1416</v>
      </c>
      <c r="W365" s="4" t="s">
        <v>1417</v>
      </c>
      <c r="X365" s="4" t="s">
        <v>1418</v>
      </c>
      <c r="Y365" s="4" t="s">
        <v>1419</v>
      </c>
      <c r="Z365" s="5" t="s">
        <v>83</v>
      </c>
      <c r="AA365" s="4" t="s">
        <v>1420</v>
      </c>
      <c r="AB365" s="4" t="s">
        <v>1421</v>
      </c>
      <c r="AC365" s="4" t="s">
        <v>1422</v>
      </c>
      <c r="AD365" s="4" t="s">
        <v>301</v>
      </c>
      <c r="AE365" s="4" t="s">
        <v>66</v>
      </c>
      <c r="AF365" s="4"/>
      <c r="AG365" s="4" t="s">
        <v>1423</v>
      </c>
    </row>
    <row r="366" spans="1:33" ht="17.100000000000001" customHeight="1">
      <c r="A366" s="5" t="s">
        <v>1424</v>
      </c>
      <c r="B366" s="4"/>
      <c r="C366" s="4"/>
      <c r="D366" s="5" t="s">
        <v>81</v>
      </c>
      <c r="E366" s="13" t="str">
        <f t="shared" si="67"/>
        <v>Ribeiro</v>
      </c>
      <c r="F366" s="13" t="str">
        <f t="array" ref="F366">_xlfn.LET(
 _xlpm.authors,_xlfn.TEXTBEFORE(A366," ("&amp;G366&amp;")"),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66" s="13" t="str">
        <f t="shared" si="68"/>
        <v>2013</v>
      </c>
      <c r="H366" s="13" t="str">
        <f t="shared" si="69"/>
        <v>Ribeiro_etal_2013</v>
      </c>
      <c r="I366" s="13" t="str">
        <f>_xlfn.LET(
_xlpm.doi,IF(C366&lt;&gt;"",C366,_xlfn.TEXTAFTER(A366,"https://doi.org/")),
SUBSTITUTE(
SUBSTITUTE(
SUBSTITUTE(
SUBSTITUTE(
_xlpm.doi,
"/","%2F"),
":","%3A"),
"&lt;","%3C"),
"&gt;","%3E")
)</f>
        <v>10.3389%2Ffnana.2013.00028</v>
      </c>
      <c r="J366" s="13" t="str">
        <f t="shared" si="71"/>
        <v>Ribeiro_etal_2013_Table1</v>
      </c>
      <c r="K366" s="13" t="str">
        <f t="shared" si="73"/>
        <v>10.3389%2Ffnana.2013.00028_Table1</v>
      </c>
      <c r="L366" s="13" t="str">
        <f t="array" ref="L366">IFERROR(INDEX(AUTO_Public_TSV_FileList!$A$1:$A$1000,MATCH(TRUE(),EXACT(K366,IFERROR(_xlfn.TEXTBEFORE(AUTO_Public_TSV_FileList!$A$1:$A$1000,".tsv"),"")),0)),"notfound")</f>
        <v>10.3389%2Ffnana.2013.00028_Table1.tsv</v>
      </c>
      <c r="M366" s="4"/>
      <c r="N366" s="5" t="s">
        <v>35</v>
      </c>
      <c r="O366" s="4"/>
      <c r="P366" s="5" t="s">
        <v>36</v>
      </c>
      <c r="Q366" s="5"/>
      <c r="R366" s="4"/>
      <c r="S366" s="4"/>
      <c r="T366" s="4"/>
      <c r="U366" s="4"/>
      <c r="V366" s="4"/>
      <c r="W366" s="5" t="s">
        <v>644</v>
      </c>
      <c r="X366" s="5" t="s">
        <v>1425</v>
      </c>
      <c r="Y366" s="4"/>
      <c r="Z366" s="4"/>
      <c r="AA366" s="4"/>
      <c r="AB366" s="5" t="s">
        <v>1426</v>
      </c>
      <c r="AC366" s="5" t="s">
        <v>65</v>
      </c>
      <c r="AD366" s="4"/>
      <c r="AE366" s="5" t="s">
        <v>66</v>
      </c>
      <c r="AF366" s="5"/>
      <c r="AG366" s="5" t="s">
        <v>1427</v>
      </c>
    </row>
    <row r="367" spans="1:33" ht="17.100000000000001" customHeight="1">
      <c r="A367" s="3" t="s">
        <v>1428</v>
      </c>
      <c r="B367" s="3"/>
      <c r="C367" s="3"/>
      <c r="D367" s="3" t="s">
        <v>81</v>
      </c>
      <c r="E367" s="12" t="str">
        <f t="shared" si="67"/>
        <v>Ridgway</v>
      </c>
      <c r="F367" s="13" t="str">
        <f t="array" ref="F367">_xlfn.LET(
 _xlpm.authors,_xlfn.TEXTBEFORE(A367," ("&amp;G367&amp;")"),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67" s="13" t="str">
        <f t="shared" si="68"/>
        <v>1990</v>
      </c>
      <c r="H367" s="12" t="str">
        <f t="shared" si="69"/>
        <v>Ridgway__1990</v>
      </c>
      <c r="I367" s="12" t="str">
        <f>_xlfn.LET(_xlpm.doi,IF(C367&lt;&gt;"",C367,_xlfn.TEXTAFTER(A367,"https://doi.org/")),SUBSTITUTE(SUBSTITUTE(SUBSTITUTE(SUBSTITUTE(_xlpm.doi,"/","%2F"),":","%3A"),"&lt;","%3C"),"&gt;","%3E"))</f>
        <v>10.1016%2FB978-0-12-440280-5.50008-1</v>
      </c>
      <c r="J367" s="12" t="str">
        <f t="shared" si="71"/>
        <v>Ridgway__1990_Table1</v>
      </c>
      <c r="K367" s="12" t="str">
        <f t="shared" si="73"/>
        <v>10.1016%2FB978-0-12-440280-5.50008-1_Table1</v>
      </c>
      <c r="L367" s="13" t="s">
        <v>1429</v>
      </c>
      <c r="M367" s="3" t="s">
        <v>1430</v>
      </c>
      <c r="N367" s="5" t="s">
        <v>35</v>
      </c>
      <c r="O367" s="4" t="s">
        <v>1431</v>
      </c>
      <c r="P367" s="3" t="s">
        <v>36</v>
      </c>
      <c r="Q367" s="3"/>
      <c r="R367" s="3"/>
      <c r="S367" s="3" t="s">
        <v>569</v>
      </c>
      <c r="T367" s="3" t="s">
        <v>570</v>
      </c>
      <c r="U367" s="3"/>
      <c r="V367" s="3" t="s">
        <v>571</v>
      </c>
      <c r="W367" s="3" t="s">
        <v>1284</v>
      </c>
      <c r="X367" s="3" t="s">
        <v>1432</v>
      </c>
      <c r="Y367" s="3"/>
      <c r="Z367" s="3"/>
      <c r="AA367" s="3" t="s">
        <v>1433</v>
      </c>
      <c r="AB367" s="3" t="s">
        <v>1434</v>
      </c>
      <c r="AC367" s="4"/>
      <c r="AD367" s="3"/>
      <c r="AE367" s="5" t="s">
        <v>51</v>
      </c>
      <c r="AF367" s="5"/>
      <c r="AG367" s="3" t="s">
        <v>1435</v>
      </c>
    </row>
    <row r="368" spans="1:33" ht="17.100000000000001" customHeight="1">
      <c r="A368" s="5" t="s">
        <v>1436</v>
      </c>
      <c r="B368" s="4"/>
      <c r="C368" s="4"/>
      <c r="D368" s="5" t="s">
        <v>81</v>
      </c>
      <c r="E368" s="13" t="str">
        <f t="shared" si="67"/>
        <v>Rilling</v>
      </c>
      <c r="F368" s="13" t="str">
        <f t="array" ref="F368">_xlfn.LET(
 _xlpm.authors,_xlfn.TEXTBEFORE(A368," ("&amp;G368&amp;")"),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Insel</v>
      </c>
      <c r="G368" s="13" t="str">
        <f t="shared" si="68"/>
        <v>1998</v>
      </c>
      <c r="H368" s="13" t="str">
        <f t="shared" si="69"/>
        <v>Rilling_Insel_1998</v>
      </c>
      <c r="I368" s="13" t="str">
        <f t="shared" ref="I368:I399" si="75">_xlfn.LET(
_xlpm.doi,IF(C368&lt;&gt;"",C368,_xlfn.TEXTAFTER(A368,"https://doi.org/")),
SUBSTITUTE(
SUBSTITUTE(
SUBSTITUTE(
SUBSTITUTE(
_xlpm.doi,
"/","%2F"),
":","%3A"),
"&lt;","%3C"),
"&gt;","%3E")
)</f>
        <v>10.1159%2F000006575</v>
      </c>
      <c r="J368" s="13" t="str">
        <f t="shared" si="71"/>
        <v>Rilling_Insel_1998_Table1</v>
      </c>
      <c r="K368" s="13" t="str">
        <f t="shared" si="73"/>
        <v>10.1159%2F000006575_Table1</v>
      </c>
      <c r="L368" s="13" t="str">
        <f t="array" ref="L368">IFERROR(INDEX(AUTO_Public_TSV_FileList!$A$1:$A$1000,MATCH(TRUE(),EXACT(K368,IFERROR(_xlfn.TEXTBEFORE(AUTO_Public_TSV_FileList!$A$1:$A$1000,".tsv"),"")),0)),"notfound")</f>
        <v>10.1159%2F000006575_Table1.tsv</v>
      </c>
      <c r="M368" s="5" t="s">
        <v>1437</v>
      </c>
      <c r="N368" s="4"/>
      <c r="O368" s="4"/>
      <c r="P368" s="5" t="s">
        <v>36</v>
      </c>
      <c r="Q368" s="4"/>
      <c r="R368" s="4"/>
      <c r="S368" s="4"/>
      <c r="T368" s="4"/>
      <c r="U368" s="4"/>
      <c r="V368" s="4"/>
      <c r="W368" s="4" t="s">
        <v>1438</v>
      </c>
      <c r="X368" s="4"/>
      <c r="Y368" s="4"/>
      <c r="Z368" s="5" t="s">
        <v>1236</v>
      </c>
      <c r="AA368" s="5" t="s">
        <v>130</v>
      </c>
      <c r="AB368" s="5" t="s">
        <v>90</v>
      </c>
      <c r="AC368" s="5" t="s">
        <v>1237</v>
      </c>
      <c r="AD368" s="5" t="s">
        <v>1238</v>
      </c>
      <c r="AE368" s="5" t="s">
        <v>66</v>
      </c>
      <c r="AF368" s="5"/>
      <c r="AG368" s="4"/>
    </row>
    <row r="369" spans="1:33" ht="17.100000000000001" customHeight="1">
      <c r="A369" s="5" t="s">
        <v>1439</v>
      </c>
      <c r="B369" s="4"/>
      <c r="C369" s="4"/>
      <c r="D369" s="5" t="s">
        <v>81</v>
      </c>
      <c r="E369" s="13" t="str">
        <f t="shared" si="67"/>
        <v>Rilling</v>
      </c>
      <c r="F369" s="13" t="str">
        <f t="array" ref="F369">_xlfn.LET(
 _xlpm.authors,_xlfn.TEXTBEFORE(A369," ("&amp;G369&amp;")"),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Insel</v>
      </c>
      <c r="G369" s="13" t="str">
        <f t="shared" si="68"/>
        <v>1999</v>
      </c>
      <c r="H369" s="13" t="str">
        <f t="shared" si="69"/>
        <v>Rilling_Insel_1999</v>
      </c>
      <c r="I369" s="13" t="str">
        <f t="shared" si="75"/>
        <v>10.1006%2Fjhev.1999.0313</v>
      </c>
      <c r="J369" s="13" t="str">
        <f t="shared" si="71"/>
        <v>Rilling_Insel_1999_Table1</v>
      </c>
      <c r="K369" s="13" t="str">
        <f t="shared" si="73"/>
        <v>10.1006%2Fjhev.1999.0313_Table1</v>
      </c>
      <c r="L369" s="13" t="str">
        <f t="array" ref="L369">IFERROR(INDEX(AUTO_Public_TSV_FileList!$A$1:$A$1000,MATCH(TRUE(),EXACT(K369,IFERROR(_xlfn.TEXTBEFORE(AUTO_Public_TSV_FileList!$A$1:$A$1000,".tsv"),"")),0)),"notfound")</f>
        <v>10.1006%2Fjhev.1999.0313_Table1.tsv</v>
      </c>
      <c r="M369" s="5" t="s">
        <v>1440</v>
      </c>
      <c r="N369" s="4"/>
      <c r="O369" s="4"/>
      <c r="P369" s="5" t="s">
        <v>36</v>
      </c>
      <c r="Q369" s="4"/>
      <c r="R369" s="4"/>
      <c r="S369" s="4"/>
      <c r="T369" s="4"/>
      <c r="U369" s="4"/>
      <c r="V369" s="4"/>
      <c r="W369" s="4" t="s">
        <v>1441</v>
      </c>
      <c r="X369" s="4"/>
      <c r="Y369" s="4"/>
      <c r="Z369" s="5" t="s">
        <v>1236</v>
      </c>
      <c r="AA369" s="5" t="s">
        <v>130</v>
      </c>
      <c r="AB369" s="5" t="s">
        <v>90</v>
      </c>
      <c r="AC369" s="5" t="s">
        <v>1237</v>
      </c>
      <c r="AD369" s="5" t="s">
        <v>1238</v>
      </c>
      <c r="AE369" s="5" t="s">
        <v>66</v>
      </c>
      <c r="AF369" s="5"/>
      <c r="AG369" s="4"/>
    </row>
    <row r="370" spans="1:33" ht="17.100000000000001" customHeight="1">
      <c r="A370" s="5" t="s">
        <v>1442</v>
      </c>
      <c r="B370" s="4"/>
      <c r="C370" s="4"/>
      <c r="D370" s="5" t="s">
        <v>81</v>
      </c>
      <c r="E370" s="13" t="str">
        <f t="shared" si="67"/>
        <v>Ruf</v>
      </c>
      <c r="F370" s="13" t="str">
        <f t="array" ref="F370">_xlfn.LET(
 _xlpm.authors,_xlfn.TEXTBEFORE(A370," ("&amp;G370&amp;")"),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Geiser</v>
      </c>
      <c r="G370" s="13" t="str">
        <f t="shared" si="68"/>
        <v>2015</v>
      </c>
      <c r="H370" s="13" t="str">
        <f t="shared" si="69"/>
        <v>Ruf_Geiser_2015</v>
      </c>
      <c r="I370" s="13" t="str">
        <f t="shared" si="75"/>
        <v>10.1111%2Fbrv.12137</v>
      </c>
      <c r="J370" s="13" t="str">
        <f t="shared" si="71"/>
        <v>Ruf_Geiser_2015_Table1</v>
      </c>
      <c r="K370" s="13" t="str">
        <f t="shared" si="73"/>
        <v>10.1111%2Fbrv.12137_Table1</v>
      </c>
      <c r="L370" s="13" t="str">
        <f t="array" ref="L370">IFERROR(INDEX(AUTO_Public_TSV_FileList!$A$1:$A$1000,MATCH(TRUE(),EXACT(K370,IFERROR(_xlfn.TEXTBEFORE(AUTO_Public_TSV_FileList!$A$1:$A$1000,".tsv"),"")),0)),"notfound")</f>
        <v>10.1111%2Fbrv.12137_Table1.tsv</v>
      </c>
      <c r="M370" s="4"/>
      <c r="N370" s="4"/>
      <c r="O370" s="4"/>
      <c r="P370" s="5" t="s">
        <v>36</v>
      </c>
      <c r="Q370" s="4"/>
      <c r="R370" s="4"/>
      <c r="S370" s="4"/>
      <c r="T370" s="4"/>
      <c r="U370" s="4"/>
      <c r="V370" s="4"/>
      <c r="W370" s="4"/>
      <c r="X370" s="4"/>
      <c r="Y370" s="4"/>
      <c r="Z370" s="4"/>
      <c r="AA370" s="4"/>
      <c r="AB370" s="4"/>
      <c r="AC370" s="4"/>
      <c r="AD370" s="4"/>
      <c r="AE370" s="4"/>
      <c r="AF370" s="4"/>
      <c r="AG370" s="4"/>
    </row>
    <row r="371" spans="1:33" ht="17.100000000000001" customHeight="1">
      <c r="A371" s="5" t="s">
        <v>1443</v>
      </c>
      <c r="B371" s="4"/>
      <c r="C371" s="4"/>
      <c r="D371" s="5" t="s">
        <v>1444</v>
      </c>
      <c r="E371" s="13" t="str">
        <f t="shared" si="67"/>
        <v>Schenker</v>
      </c>
      <c r="F371" s="13" t="str">
        <f t="array" ref="F371">_xlfn.LET(
 _xlpm.authors,_xlfn.TEXTBEFORE(A371," ("&amp;G371&amp;")"),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1" s="13" t="str">
        <f t="shared" si="68"/>
        <v>2005</v>
      </c>
      <c r="H371" s="13" t="str">
        <f t="shared" si="69"/>
        <v>Schenker_etal_2005</v>
      </c>
      <c r="I371" s="13" t="str">
        <f t="shared" si="75"/>
        <v>10.1016%2Fj.jhevol.2005.06.004</v>
      </c>
      <c r="J371" s="13" t="str">
        <f t="shared" si="71"/>
        <v>Schenker_etal_2005_Appendix1</v>
      </c>
      <c r="K371" s="13" t="str">
        <f t="shared" si="73"/>
        <v>10.1016%2Fj.jhevol.2005.06.004_Appendix1</v>
      </c>
      <c r="L371" s="13" t="str">
        <f t="array" ref="L371">IFERROR(INDEX(AUTO_Public_TSV_FileList!$A$1:$A$1000,MATCH(TRUE(),EXACT(K371,IFERROR(_xlfn.TEXTBEFORE(AUTO_Public_TSV_FileList!$A$1:$A$1000,".tsv"),"")),0)),"notfound")</f>
        <v>10.1016%2Fj.jhevol.2005.06.004_Appendix1.tsv</v>
      </c>
      <c r="M371" s="4" t="s">
        <v>1445</v>
      </c>
      <c r="N371" s="4"/>
      <c r="O371" s="4"/>
      <c r="P371" s="5"/>
      <c r="Q371" s="4"/>
      <c r="R371" s="4"/>
      <c r="S371" s="4"/>
      <c r="T371" s="4"/>
      <c r="U371" s="4"/>
      <c r="V371" s="4"/>
      <c r="W371" s="4"/>
      <c r="X371" s="4"/>
      <c r="Y371" s="4"/>
      <c r="Z371" s="4"/>
      <c r="AA371" s="4"/>
      <c r="AB371" s="4"/>
      <c r="AC371" s="4"/>
      <c r="AD371" s="4"/>
      <c r="AE371" s="4"/>
      <c r="AF371" s="4"/>
      <c r="AG371" s="4"/>
    </row>
    <row r="372" spans="1:33" ht="17.100000000000001" customHeight="1">
      <c r="A372" s="5" t="s">
        <v>1443</v>
      </c>
      <c r="B372" s="4"/>
      <c r="C372" s="4"/>
      <c r="D372" s="5" t="s">
        <v>81</v>
      </c>
      <c r="E372" s="13" t="str">
        <f t="shared" si="67"/>
        <v>Schenker</v>
      </c>
      <c r="F372" s="13" t="str">
        <f t="array" ref="F372">_xlfn.LET(
 _xlpm.authors,_xlfn.TEXTBEFORE(A372," ("&amp;G372&amp;")"),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2" s="13" t="str">
        <f t="shared" si="68"/>
        <v>2005</v>
      </c>
      <c r="H372" s="13" t="str">
        <f t="shared" si="69"/>
        <v>Schenker_etal_2005</v>
      </c>
      <c r="I372" s="13" t="str">
        <f t="shared" si="75"/>
        <v>10.1016%2Fj.jhevol.2005.06.004</v>
      </c>
      <c r="J372" s="13" t="str">
        <f t="shared" si="71"/>
        <v>Schenker_etal_2005_Table1</v>
      </c>
      <c r="K372" s="13" t="str">
        <f t="shared" si="73"/>
        <v>10.1016%2Fj.jhevol.2005.06.004_Table1</v>
      </c>
      <c r="L372" s="13" t="str">
        <f t="array" ref="L372">IFERROR(INDEX(AUTO_Public_TSV_FileList!$A$1:$A$1000,MATCH(TRUE(),EXACT(K372,IFERROR(_xlfn.TEXTBEFORE(AUTO_Public_TSV_FileList!$A$1:$A$1000,".tsv"),"")),0)),"notfound")</f>
        <v>10.1016%2Fj.jhevol.2005.06.004_Table1.tsv</v>
      </c>
      <c r="M372" s="4" t="s">
        <v>1446</v>
      </c>
      <c r="N372" s="4"/>
      <c r="O372" s="4"/>
      <c r="P372" s="5"/>
      <c r="Q372" s="4"/>
      <c r="R372" s="4"/>
      <c r="S372" s="4"/>
      <c r="T372" s="4"/>
      <c r="U372" s="4"/>
      <c r="V372" s="4"/>
      <c r="W372" s="4"/>
      <c r="X372" s="4"/>
      <c r="Y372" s="4"/>
      <c r="Z372" s="4"/>
      <c r="AA372" s="4"/>
      <c r="AB372" s="4"/>
      <c r="AC372" s="4"/>
      <c r="AD372" s="4"/>
      <c r="AE372" s="4"/>
      <c r="AF372" s="4"/>
      <c r="AG372" s="4"/>
    </row>
    <row r="373" spans="1:33" ht="17.100000000000001" customHeight="1">
      <c r="A373" s="5" t="s">
        <v>1447</v>
      </c>
      <c r="B373" s="4"/>
      <c r="C373" s="4"/>
      <c r="D373" s="5" t="s">
        <v>1448</v>
      </c>
      <c r="E373" s="13" t="str">
        <f t="shared" ref="E373:E383" si="76">SUBSTITUTE(SUBSTITUTE(_xlfn.TEXTBEFORE(A373,","), "-", ""), " ", "")</f>
        <v>Schleifenbaum</v>
      </c>
      <c r="F373" s="13" t="str">
        <f t="array" ref="F373">_xlfn.LET(
 _xlpm.authors,_xlfn.TEXTBEFORE(A373," ("&amp;G373&amp;")"),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73" s="13" t="str">
        <f t="shared" ref="G373:G383" si="77">_xlfn.TEXTBEFORE(_xlfn.TEXTAFTER(A373, "("), ")")</f>
        <v>1973</v>
      </c>
      <c r="H373" s="13" t="str">
        <f t="shared" ref="H373:H383" si="78">E373 &amp; IF(F373&lt;&gt;"", "_" &amp; F373, "_") &amp; IF(G373&lt;&gt;"", "_" &amp; G373, "_") &amp; IF(B373&lt;&gt;"", "_" &amp; B373, "")</f>
        <v>Schleifenbaum__1973</v>
      </c>
      <c r="I373" s="13" t="str">
        <f t="shared" ref="I373:I383" si="79">_xlfn.LET(
_xlpm.doi,IF(C373&lt;&gt;"",C373,_xlfn.TEXTAFTER(A373,"https://doi.org/")),
SUBSTITUTE(
SUBSTITUTE(
SUBSTITUTE(
SUBSTITUTE(
_xlpm.doi,
"/","%2F"),
":","%3A"),
"&lt;","%3C"),
"&gt;","%3E")
)</f>
        <v>10.1007%2FBF00519885</v>
      </c>
      <c r="J373" s="13" t="str">
        <f t="shared" ref="J373:J383" si="80">TRIM(_xlfn.TEXTJOIN("_",FALSE(),H373,(SUBSTITUTE(SUBSTITUTE(D373," ",""), "_", ""))))</f>
        <v>Schleifenbaum__1973_Tables1-2</v>
      </c>
      <c r="K373" s="13" t="str">
        <f t="shared" ref="K373:K383" si="81">I373 &amp; "_" &amp; SUBSTITUTE(SUBSTITUTE(SUBSTITUTE(D373,CHAR(160),"")," ",""),"_","")</f>
        <v>10.1007%2FBF00519885_Tables1-2</v>
      </c>
      <c r="L373" s="13" t="str">
        <f t="array" ref="L373">IFERROR(INDEX(AUTO_Public_TSV_FileList!$A$1:$A$1000,MATCH(TRUE(),EXACT(K373,IFERROR(_xlfn.TEXTBEFORE(AUTO_Public_TSV_FileList!$A$1:$A$1000,".tsv"),"")),0)),"notfound")</f>
        <v>10.1007%2FBF00519885_Tables1-2.tsv</v>
      </c>
      <c r="M373" s="4" t="s">
        <v>1449</v>
      </c>
      <c r="N373" s="4"/>
      <c r="O373" s="4"/>
      <c r="P373" s="5" t="s">
        <v>36</v>
      </c>
      <c r="Q373" s="4"/>
      <c r="R373" s="4"/>
      <c r="S373" s="4"/>
      <c r="T373" s="4"/>
      <c r="U373" s="4"/>
      <c r="V373" s="4"/>
      <c r="W373" s="4"/>
      <c r="X373" s="4"/>
      <c r="Y373" s="4"/>
      <c r="Z373" s="4"/>
      <c r="AA373" s="4"/>
      <c r="AB373" s="4"/>
      <c r="AC373" s="4"/>
      <c r="AD373" s="4"/>
      <c r="AE373" s="4" t="s">
        <v>66</v>
      </c>
      <c r="AF373" s="4"/>
      <c r="AG373" s="4"/>
    </row>
    <row r="374" spans="1:33" ht="17.100000000000001" customHeight="1">
      <c r="A374" s="5" t="s">
        <v>1450</v>
      </c>
      <c r="B374" s="4"/>
      <c r="C374" s="4"/>
      <c r="D374" s="5" t="s">
        <v>1451</v>
      </c>
      <c r="E374" s="13" t="str">
        <f t="shared" si="76"/>
        <v>Schniter</v>
      </c>
      <c r="F374" s="13" t="str">
        <f t="array" ref="F374">_xlfn.LET(
 _xlpm.authors,_xlfn.TEXTBEFORE(A374," ("&amp;G374&amp;")"),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PenaherreraAguirre</v>
      </c>
      <c r="G374" s="13" t="str">
        <f t="shared" si="77"/>
        <v>2026</v>
      </c>
      <c r="H374" s="13" t="str">
        <f t="shared" si="78"/>
        <v>Schniter_PenaherreraAguirre_2026</v>
      </c>
      <c r="I374" s="13" t="str">
        <f t="shared" si="79"/>
        <v>10.1007%2Fs10329-026-01271-2</v>
      </c>
      <c r="J374" s="13" t="str">
        <f t="shared" si="80"/>
        <v>Schniter_PenaherreraAguirre_2026_data</v>
      </c>
      <c r="K374" s="13" t="str">
        <f t="shared" si="81"/>
        <v>10.1007%2Fs10329-026-01271-2_data</v>
      </c>
      <c r="L374" s="13" t="str">
        <f t="array" ref="L374">IFERROR(INDEX(AUTO_Public_TSV_FileList!$A$1:$A$1000,MATCH(TRUE(),EXACT(K374,IFERROR(_xlfn.TEXTBEFORE(AUTO_Public_TSV_FileList!$A$1:$A$1000,".tsv"),"")),0)),"notfound")</f>
        <v>10.1007%2Fs10329-026-01271-2_data.tsv</v>
      </c>
      <c r="M374" s="5" t="s">
        <v>1451</v>
      </c>
      <c r="N374" s="4"/>
      <c r="O374" s="4"/>
      <c r="P374" s="5" t="s">
        <v>36</v>
      </c>
      <c r="Q374" s="4"/>
      <c r="R374" s="4"/>
      <c r="S374" s="4"/>
      <c r="T374" s="4"/>
      <c r="U374" s="4"/>
      <c r="V374" s="4"/>
      <c r="W374" s="4"/>
      <c r="X374" s="5" t="s">
        <v>1452</v>
      </c>
      <c r="Y374" s="4"/>
      <c r="Z374" s="4"/>
      <c r="AA374" s="4"/>
      <c r="AB374" s="5" t="s">
        <v>1453</v>
      </c>
      <c r="AC374" s="4"/>
      <c r="AD374" s="4"/>
      <c r="AE374" s="5" t="s">
        <v>66</v>
      </c>
      <c r="AF374" s="5"/>
      <c r="AG374" s="4"/>
    </row>
    <row r="375" spans="1:33" ht="17.100000000000001" customHeight="1">
      <c r="A375" s="5" t="s">
        <v>1454</v>
      </c>
      <c r="B375" s="4"/>
      <c r="C375" s="4"/>
      <c r="D375" s="5" t="s">
        <v>70</v>
      </c>
      <c r="E375" s="13" t="str">
        <f t="shared" si="76"/>
        <v>Semendeferi</v>
      </c>
      <c r="F375" s="13" t="str">
        <f t="array" ref="F375">_xlfn.LET(
 _xlpm.authors,_xlfn.TEXTBEFORE(A375," ("&amp;G375&amp;")"),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Damasio</v>
      </c>
      <c r="G375" s="13" t="str">
        <f t="shared" si="77"/>
        <v>2000</v>
      </c>
      <c r="H375" s="13" t="str">
        <f t="shared" si="78"/>
        <v>Semendeferi_Damasio_2000</v>
      </c>
      <c r="I375" s="13" t="str">
        <f t="shared" si="79"/>
        <v>10.1006%2Fjhev.1999.0381</v>
      </c>
      <c r="J375" s="13" t="str">
        <f t="shared" si="80"/>
        <v>Semendeferi_Damasio_2000_Table2</v>
      </c>
      <c r="K375" s="13" t="str">
        <f t="shared" si="81"/>
        <v>10.1006%2Fjhev.1999.0381_Table2</v>
      </c>
      <c r="L375" s="13" t="str">
        <f t="array" ref="L375">IFERROR(INDEX(AUTO_Public_TSV_FileList!$A$1:$A$1000,MATCH(TRUE(),EXACT(K375,IFERROR(_xlfn.TEXTBEFORE(AUTO_Public_TSV_FileList!$A$1:$A$1000,".tsv"),"")),0)),"notfound")</f>
        <v>10.1006%2Fjhev.1999.0381_Table2.tsv</v>
      </c>
      <c r="M375" s="4"/>
      <c r="N375" s="4"/>
      <c r="O375" s="4"/>
      <c r="P375" s="5" t="s">
        <v>36</v>
      </c>
      <c r="Q375" s="4"/>
      <c r="R375" s="4"/>
      <c r="S375" s="4"/>
      <c r="T375" s="4"/>
      <c r="U375" s="4"/>
      <c r="V375" s="4"/>
      <c r="W375" s="4"/>
      <c r="X375" s="4"/>
      <c r="Y375" s="4"/>
      <c r="Z375" s="4"/>
      <c r="AA375" s="4"/>
      <c r="AB375" s="4"/>
      <c r="AC375" s="4"/>
      <c r="AD375" s="4"/>
      <c r="AE375" s="4"/>
      <c r="AF375" s="4"/>
      <c r="AG375" s="4"/>
    </row>
    <row r="376" spans="1:33" ht="17.100000000000001" customHeight="1">
      <c r="A376" s="5" t="s">
        <v>1455</v>
      </c>
      <c r="B376" s="4"/>
      <c r="C376" s="4"/>
      <c r="D376" s="5" t="s">
        <v>110</v>
      </c>
      <c r="E376" s="13" t="str">
        <f t="shared" si="76"/>
        <v>Semendeferi</v>
      </c>
      <c r="F376" s="13" t="str">
        <f t="array" ref="F376">_xlfn.LET(
 _xlpm.authors,_xlfn.TEXTBEFORE(A376," ("&amp;G376&amp;")"),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6" s="13" t="str">
        <f t="shared" si="77"/>
        <v>1998</v>
      </c>
      <c r="H376" s="13" t="str">
        <f t="shared" si="78"/>
        <v>Semendeferi_etal_1998</v>
      </c>
      <c r="I376" s="13" t="str">
        <f t="shared" si="79"/>
        <v>10.1002%2F(SICI)1096-8644(199806)106%3A2%3C129%3A%3AAID-AJPA3%3E3.0.CO;2-L</v>
      </c>
      <c r="J376" s="13" t="str">
        <f t="shared" si="80"/>
        <v>Semendeferi_etal_1998_TABLE2</v>
      </c>
      <c r="K376" s="13" t="str">
        <f t="shared" si="81"/>
        <v>10.1002%2F(SICI)1096-8644(199806)106%3A2%3C129%3A%3AAID-AJPA3%3E3.0.CO;2-L_TABLE2</v>
      </c>
      <c r="L376" s="13" t="str">
        <f t="array" ref="L376">IFERROR(INDEX(AUTO_Public_TSV_FileList!$A$1:$A$1000,MATCH(TRUE(),EXACT(K376,IFERROR(_xlfn.TEXTBEFORE(AUTO_Public_TSV_FileList!$A$1:$A$1000,".tsv"),"")),0)),"notfound")</f>
        <v>10.1002%2F(SICI)1096-8644(199806)106%3A2%3C129%3A%3AAID-AJPA3%3E3.0.CO;2-L_TABLE2.tsv</v>
      </c>
      <c r="M376" s="5" t="s">
        <v>1456</v>
      </c>
      <c r="N376" s="4"/>
      <c r="O376" s="4"/>
      <c r="P376" s="5" t="s">
        <v>36</v>
      </c>
      <c r="Q376" s="4"/>
      <c r="R376" s="4"/>
      <c r="S376" s="4"/>
      <c r="T376" s="4"/>
      <c r="U376" s="4"/>
      <c r="V376" s="4"/>
      <c r="W376" s="5" t="s">
        <v>87</v>
      </c>
      <c r="X376" s="5" t="s">
        <v>1457</v>
      </c>
      <c r="Y376" s="4"/>
      <c r="Z376" s="5" t="s">
        <v>83</v>
      </c>
      <c r="AA376" s="5" t="s">
        <v>130</v>
      </c>
      <c r="AB376" s="5" t="s">
        <v>90</v>
      </c>
      <c r="AC376" s="5" t="s">
        <v>84</v>
      </c>
      <c r="AD376" s="4"/>
      <c r="AE376" s="5" t="s">
        <v>66</v>
      </c>
      <c r="AF376" s="5"/>
      <c r="AG376" s="4"/>
    </row>
    <row r="377" spans="1:33" ht="17.100000000000001" customHeight="1">
      <c r="A377" s="5" t="s">
        <v>1455</v>
      </c>
      <c r="B377" s="4"/>
      <c r="C377" s="4"/>
      <c r="D377" s="5" t="s">
        <v>1328</v>
      </c>
      <c r="E377" s="13" t="str">
        <f t="shared" si="76"/>
        <v>Semendeferi</v>
      </c>
      <c r="F377" s="13" t="str">
        <f t="array" ref="F377">_xlfn.LET(
 _xlpm.authors,_xlfn.TEXTBEFORE(A377," ("&amp;G377&amp;")"),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7" s="13" t="str">
        <f t="shared" si="77"/>
        <v>1998</v>
      </c>
      <c r="H377" s="13" t="str">
        <f t="shared" si="78"/>
        <v>Semendeferi_etal_1998</v>
      </c>
      <c r="I377" s="13" t="str">
        <f t="shared" si="79"/>
        <v>10.1002%2F(SICI)1096-8644(199806)106%3A2%3C129%3A%3AAID-AJPA3%3E3.0.CO;2-L</v>
      </c>
      <c r="J377" s="13" t="str">
        <f t="shared" si="80"/>
        <v>Semendeferi_etal_1998_TABLE4</v>
      </c>
      <c r="K377" s="13" t="str">
        <f t="shared" si="81"/>
        <v>10.1002%2F(SICI)1096-8644(199806)106%3A2%3C129%3A%3AAID-AJPA3%3E3.0.CO;2-L_TABLE4</v>
      </c>
      <c r="L377" s="13" t="str">
        <f t="array" ref="L377">IFERROR(INDEX(AUTO_Public_TSV_FileList!$A$1:$A$1000,MATCH(TRUE(),EXACT(K377,IFERROR(_xlfn.TEXTBEFORE(AUTO_Public_TSV_FileList!$A$1:$A$1000,".tsv"),"")),0)),"notfound")</f>
        <v>10.1002%2F(SICI)1096-8644(199806)106%3A2%3C129%3A%3AAID-AJPA3%3E3.0.CO;2-L_TABLE4.tsv</v>
      </c>
      <c r="M377" s="5" t="s">
        <v>1458</v>
      </c>
      <c r="N377" s="4"/>
      <c r="O377" s="4"/>
      <c r="P377" s="5"/>
      <c r="Q377" s="4"/>
      <c r="R377" s="4"/>
      <c r="S377" s="4"/>
      <c r="T377" s="4"/>
      <c r="U377" s="4"/>
      <c r="V377" s="4"/>
      <c r="W377" s="5" t="s">
        <v>87</v>
      </c>
      <c r="X377" s="5" t="s">
        <v>1457</v>
      </c>
      <c r="Y377" s="4"/>
      <c r="Z377" s="5" t="s">
        <v>83</v>
      </c>
      <c r="AA377" s="5" t="s">
        <v>130</v>
      </c>
      <c r="AB377" s="5" t="s">
        <v>90</v>
      </c>
      <c r="AC377" s="5" t="s">
        <v>84</v>
      </c>
      <c r="AD377" s="4"/>
      <c r="AE377" s="5" t="s">
        <v>66</v>
      </c>
      <c r="AF377" s="5"/>
      <c r="AG377" s="4"/>
    </row>
    <row r="378" spans="1:33" ht="17.100000000000001" customHeight="1">
      <c r="A378" s="5" t="s">
        <v>1455</v>
      </c>
      <c r="B378" s="4"/>
      <c r="C378" s="4"/>
      <c r="D378" s="5" t="s">
        <v>1332</v>
      </c>
      <c r="E378" s="13" t="str">
        <f t="shared" si="76"/>
        <v>Semendeferi</v>
      </c>
      <c r="F378" s="13" t="str">
        <f t="array" ref="F378">_xlfn.LET(
 _xlpm.authors,_xlfn.TEXTBEFORE(A378," ("&amp;G378&amp;")"),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8" s="13" t="str">
        <f t="shared" si="77"/>
        <v>1998</v>
      </c>
      <c r="H378" s="13" t="str">
        <f t="shared" si="78"/>
        <v>Semendeferi_etal_1998</v>
      </c>
      <c r="I378" s="13" t="str">
        <f t="shared" si="79"/>
        <v>10.1002%2F(SICI)1096-8644(199806)106%3A2%3C129%3A%3AAID-AJPA3%3E3.0.CO;2-L</v>
      </c>
      <c r="J378" s="13" t="str">
        <f t="shared" si="80"/>
        <v>Semendeferi_etal_1998_TABLE5</v>
      </c>
      <c r="K378" s="13" t="str">
        <f t="shared" si="81"/>
        <v>10.1002%2F(SICI)1096-8644(199806)106%3A2%3C129%3A%3AAID-AJPA3%3E3.0.CO;2-L_TABLE5</v>
      </c>
      <c r="L378" s="13" t="str">
        <f t="array" ref="L378">IFERROR(INDEX(AUTO_Public_TSV_FileList!$A$1:$A$1000,MATCH(TRUE(),EXACT(K378,IFERROR(_xlfn.TEXTBEFORE(AUTO_Public_TSV_FileList!$A$1:$A$1000,".tsv"),"")),0)),"notfound")</f>
        <v>notfound</v>
      </c>
      <c r="M378" s="5" t="s">
        <v>1459</v>
      </c>
      <c r="N378" s="4"/>
      <c r="O378" s="4"/>
      <c r="P378" s="5"/>
      <c r="Q378" s="4"/>
      <c r="R378" s="4"/>
      <c r="S378" s="4"/>
      <c r="T378" s="4"/>
      <c r="U378" s="4"/>
      <c r="V378" s="4"/>
      <c r="W378" s="5" t="s">
        <v>87</v>
      </c>
      <c r="X378" s="5" t="s">
        <v>1457</v>
      </c>
      <c r="Y378" s="4"/>
      <c r="Z378" s="5" t="s">
        <v>83</v>
      </c>
      <c r="AA378" s="5" t="s">
        <v>130</v>
      </c>
      <c r="AB378" s="5" t="s">
        <v>90</v>
      </c>
      <c r="AC378" s="5" t="s">
        <v>84</v>
      </c>
      <c r="AD378" s="4"/>
      <c r="AE378" s="5" t="s">
        <v>66</v>
      </c>
      <c r="AF378" s="5"/>
      <c r="AG378" s="4"/>
    </row>
    <row r="379" spans="1:33" ht="17.100000000000001" customHeight="1">
      <c r="A379" s="5" t="s">
        <v>1460</v>
      </c>
      <c r="B379" s="4"/>
      <c r="C379" s="4"/>
      <c r="D379" s="5" t="s">
        <v>110</v>
      </c>
      <c r="E379" s="13" t="str">
        <f t="shared" si="76"/>
        <v>Semendeferi</v>
      </c>
      <c r="F379" s="13" t="str">
        <f t="array" ref="F379">_xlfn.LET(
 _xlpm.authors,_xlfn.TEXTBEFORE(A379," ("&amp;G379&amp;")"),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79" s="13" t="str">
        <f t="shared" si="77"/>
        <v>2001</v>
      </c>
      <c r="H379" s="13" t="str">
        <f t="shared" si="78"/>
        <v>Semendeferi_etal_2001</v>
      </c>
      <c r="I379" s="13" t="str">
        <f t="shared" si="79"/>
        <v>10.1002%2F1096-8644(200103)114%3A3%3C224%3A%3AAID-AJPA1022%3E3.0.CO;2-I</v>
      </c>
      <c r="J379" s="13" t="str">
        <f t="shared" si="80"/>
        <v>Semendeferi_etal_2001_TABLE2</v>
      </c>
      <c r="K379" s="13" t="str">
        <f t="shared" si="81"/>
        <v>10.1002%2F1096-8644(200103)114%3A3%3C224%3A%3AAID-AJPA1022%3E3.0.CO;2-I_TABLE2</v>
      </c>
      <c r="L379" s="13" t="str">
        <f t="array" ref="L379">IFERROR(INDEX(AUTO_Public_TSV_FileList!$A$1:$A$1000,MATCH(TRUE(),EXACT(K379,IFERROR(_xlfn.TEXTBEFORE(AUTO_Public_TSV_FileList!$A$1:$A$1000,".tsv"),"")),0)),"notfound")</f>
        <v>10.1002%2F1096-8644(200103)114%3A3%3C224%3A%3AAID-AJPA1022%3E3.0.CO;2-I_TABLE2.tsv</v>
      </c>
      <c r="M379" s="5" t="s">
        <v>1461</v>
      </c>
      <c r="N379" s="4"/>
      <c r="O379" s="4"/>
      <c r="P379" s="5" t="s">
        <v>36</v>
      </c>
      <c r="Q379" s="4"/>
      <c r="R379" s="4"/>
      <c r="S379" s="4"/>
      <c r="T379" s="4"/>
      <c r="U379" s="4"/>
      <c r="V379" s="4"/>
      <c r="W379" s="5" t="s">
        <v>87</v>
      </c>
      <c r="X379" s="5" t="s">
        <v>1462</v>
      </c>
      <c r="Y379" s="4"/>
      <c r="Z379" s="5" t="s">
        <v>83</v>
      </c>
      <c r="AA379" s="5" t="s">
        <v>130</v>
      </c>
      <c r="AB379" s="5" t="s">
        <v>90</v>
      </c>
      <c r="AC379" s="5" t="s">
        <v>84</v>
      </c>
      <c r="AD379" s="4"/>
      <c r="AE379" s="5" t="s">
        <v>66</v>
      </c>
      <c r="AF379" s="5"/>
      <c r="AG379" s="4"/>
    </row>
    <row r="380" spans="1:33" ht="17.100000000000001" customHeight="1">
      <c r="A380" s="5" t="s">
        <v>1460</v>
      </c>
      <c r="B380" s="4"/>
      <c r="C380" s="4"/>
      <c r="D380" s="5" t="s">
        <v>287</v>
      </c>
      <c r="E380" s="13" t="str">
        <f t="shared" si="76"/>
        <v>Semendeferi</v>
      </c>
      <c r="F380" s="13" t="str">
        <f t="array" ref="F380">_xlfn.LET(
 _xlpm.authors,_xlfn.TEXTBEFORE(A380," ("&amp;G380&amp;")"),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0" s="13" t="str">
        <f t="shared" si="77"/>
        <v>2001</v>
      </c>
      <c r="H380" s="13" t="str">
        <f t="shared" si="78"/>
        <v>Semendeferi_etal_2001</v>
      </c>
      <c r="I380" s="13" t="str">
        <f t="shared" si="79"/>
        <v>10.1002%2F1096-8644(200103)114%3A3%3C224%3A%3AAID-AJPA1022%3E3.0.CO;2-I</v>
      </c>
      <c r="J380" s="13" t="str">
        <f t="shared" si="80"/>
        <v>Semendeferi_etal_2001_TABLE3</v>
      </c>
      <c r="K380" s="13" t="str">
        <f t="shared" si="81"/>
        <v>10.1002%2F1096-8644(200103)114%3A3%3C224%3A%3AAID-AJPA1022%3E3.0.CO;2-I_TABLE3</v>
      </c>
      <c r="L380" s="13" t="str">
        <f t="array" ref="L380">IFERROR(INDEX(AUTO_Public_TSV_FileList!$A$1:$A$1000,MATCH(TRUE(),EXACT(K380,IFERROR(_xlfn.TEXTBEFORE(AUTO_Public_TSV_FileList!$A$1:$A$1000,".tsv"),"")),0)),"notfound")</f>
        <v>10.1002%2F1096-8644(200103)114%3A3%3C224%3A%3AAID-AJPA1022%3E3.0.CO;2-I_TABLE3.tsv</v>
      </c>
      <c r="M380" s="5" t="s">
        <v>1463</v>
      </c>
      <c r="N380" s="4"/>
      <c r="O380" s="4"/>
      <c r="P380" s="5"/>
      <c r="Q380" s="4"/>
      <c r="R380" s="4"/>
      <c r="S380" s="4"/>
      <c r="T380" s="4"/>
      <c r="U380" s="4"/>
      <c r="V380" s="4"/>
      <c r="W380" s="5" t="s">
        <v>87</v>
      </c>
      <c r="X380" s="5" t="s">
        <v>1462</v>
      </c>
      <c r="Y380" s="4"/>
      <c r="Z380" s="5" t="s">
        <v>83</v>
      </c>
      <c r="AA380" s="5"/>
      <c r="AB380" s="5"/>
      <c r="AC380" s="5" t="s">
        <v>84</v>
      </c>
      <c r="AD380" s="4"/>
      <c r="AE380" s="5" t="s">
        <v>66</v>
      </c>
      <c r="AF380" s="5"/>
      <c r="AG380" s="4"/>
    </row>
    <row r="381" spans="1:33" ht="17.100000000000001" customHeight="1">
      <c r="A381" s="5" t="s">
        <v>1460</v>
      </c>
      <c r="B381" s="4"/>
      <c r="C381" s="4"/>
      <c r="D381" s="5" t="s">
        <v>1328</v>
      </c>
      <c r="E381" s="13" t="str">
        <f t="shared" si="76"/>
        <v>Semendeferi</v>
      </c>
      <c r="F381" s="13" t="str">
        <f t="array" ref="F381">_xlfn.LET(
 _xlpm.authors,_xlfn.TEXTBEFORE(A381," ("&amp;G381&amp;")"),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1" s="13" t="str">
        <f t="shared" si="77"/>
        <v>2001</v>
      </c>
      <c r="H381" s="13" t="str">
        <f t="shared" si="78"/>
        <v>Semendeferi_etal_2001</v>
      </c>
      <c r="I381" s="13" t="str">
        <f t="shared" si="79"/>
        <v>10.1002%2F1096-8644(200103)114%3A3%3C224%3A%3AAID-AJPA1022%3E3.0.CO;2-I</v>
      </c>
      <c r="J381" s="13" t="str">
        <f t="shared" si="80"/>
        <v>Semendeferi_etal_2001_TABLE4</v>
      </c>
      <c r="K381" s="13" t="str">
        <f t="shared" si="81"/>
        <v>10.1002%2F1096-8644(200103)114%3A3%3C224%3A%3AAID-AJPA1022%3E3.0.CO;2-I_TABLE4</v>
      </c>
      <c r="L381" s="13" t="str">
        <f t="array" ref="L381">IFERROR(INDEX(AUTO_Public_TSV_FileList!$A$1:$A$1000,MATCH(TRUE(),EXACT(K381,IFERROR(_xlfn.TEXTBEFORE(AUTO_Public_TSV_FileList!$A$1:$A$1000,".tsv"),"")),0)),"notfound")</f>
        <v>notfound</v>
      </c>
      <c r="M381" s="5" t="s">
        <v>1464</v>
      </c>
      <c r="N381" s="4"/>
      <c r="O381" s="4"/>
      <c r="P381" s="5"/>
      <c r="Q381" s="4"/>
      <c r="R381" s="4"/>
      <c r="S381" s="4"/>
      <c r="T381" s="4"/>
      <c r="U381" s="4"/>
      <c r="V381" s="4"/>
      <c r="W381" s="5" t="s">
        <v>87</v>
      </c>
      <c r="X381" s="5" t="s">
        <v>1462</v>
      </c>
      <c r="Y381" s="4"/>
      <c r="Z381" s="5" t="s">
        <v>83</v>
      </c>
      <c r="AA381" s="4"/>
      <c r="AB381" s="4"/>
      <c r="AC381" s="5" t="s">
        <v>84</v>
      </c>
      <c r="AD381" s="4"/>
      <c r="AE381" s="5" t="s">
        <v>66</v>
      </c>
      <c r="AF381" s="5"/>
      <c r="AG381" s="4"/>
    </row>
    <row r="382" spans="1:33" ht="17.100000000000001" customHeight="1">
      <c r="A382" s="5" t="s">
        <v>1465</v>
      </c>
      <c r="B382" s="4"/>
      <c r="C382" s="4"/>
      <c r="D382" s="5" t="s">
        <v>81</v>
      </c>
      <c r="E382" s="13" t="str">
        <f t="shared" si="76"/>
        <v>Semendeferi</v>
      </c>
      <c r="F382" s="13" t="str">
        <f t="array" ref="F382">_xlfn.LET(
 _xlpm.authors,_xlfn.TEXTBEFORE(A382," ("&amp;G382&amp;")"),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2" s="13" t="str">
        <f t="shared" si="77"/>
        <v>2002</v>
      </c>
      <c r="H382" s="13" t="str">
        <f t="shared" si="78"/>
        <v>Semendeferi_etal_2002</v>
      </c>
      <c r="I382" s="13" t="str">
        <f t="shared" si="79"/>
        <v>10.1038%2Fnn814</v>
      </c>
      <c r="J382" s="13" t="str">
        <f t="shared" si="80"/>
        <v>Semendeferi_etal_2002_Table1</v>
      </c>
      <c r="K382" s="13" t="str">
        <f t="shared" si="81"/>
        <v>10.1038%2Fnn814_Table1</v>
      </c>
      <c r="L382" s="13" t="str">
        <f t="array" ref="L382">IFERROR(INDEX(AUTO_Public_TSV_FileList!$A$1:$A$1000,MATCH(TRUE(),EXACT(K382,IFERROR(_xlfn.TEXTBEFORE(AUTO_Public_TSV_FileList!$A$1:$A$1000,".tsv"),"")),0)),"notfound")</f>
        <v>10.1038%2Fnn814_Table1.tsv</v>
      </c>
      <c r="M382" s="5" t="s">
        <v>1466</v>
      </c>
      <c r="N382" s="4"/>
      <c r="O382" s="4"/>
      <c r="P382" s="5" t="s">
        <v>36</v>
      </c>
      <c r="Q382" s="4"/>
      <c r="R382" s="4"/>
      <c r="S382" s="4"/>
      <c r="T382" s="4"/>
      <c r="U382" s="4"/>
      <c r="V382" s="4"/>
      <c r="W382" s="5" t="s">
        <v>87</v>
      </c>
      <c r="X382" s="5" t="s">
        <v>1467</v>
      </c>
      <c r="Y382" s="4"/>
      <c r="Z382" s="5" t="s">
        <v>83</v>
      </c>
      <c r="AA382" s="5" t="s">
        <v>130</v>
      </c>
      <c r="AB382" s="5" t="s">
        <v>90</v>
      </c>
      <c r="AC382" s="5" t="s">
        <v>84</v>
      </c>
      <c r="AD382" s="4"/>
      <c r="AE382" s="5" t="s">
        <v>66</v>
      </c>
      <c r="AF382" s="5"/>
      <c r="AG382" s="4"/>
    </row>
    <row r="383" spans="1:33" ht="15" customHeight="1">
      <c r="A383" s="5" t="s">
        <v>1468</v>
      </c>
      <c r="B383" s="4"/>
      <c r="C383" s="4"/>
      <c r="D383" s="5" t="s">
        <v>231</v>
      </c>
      <c r="E383" s="13" t="str">
        <f t="shared" si="76"/>
        <v>Seymour</v>
      </c>
      <c r="F383" s="13" t="str">
        <f t="array" ref="F383">_xlfn.LET(
 _xlpm.authors,_xlfn.TEXTBEFORE(A383," ("&amp;G383&amp;")"),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3" s="13" t="str">
        <f t="shared" si="77"/>
        <v>2015</v>
      </c>
      <c r="H383" s="13" t="str">
        <f t="shared" si="78"/>
        <v>Seymour_etal_2015</v>
      </c>
      <c r="I383" s="13" t="str">
        <f t="shared" si="79"/>
        <v>10.1242%2Fjeb.124826</v>
      </c>
      <c r="J383" s="13" t="str">
        <f t="shared" si="80"/>
        <v>Seymour_etal_2015_TableS1</v>
      </c>
      <c r="K383" s="13" t="str">
        <f t="shared" si="81"/>
        <v>10.1242%2Fjeb.124826_TableS1</v>
      </c>
      <c r="L383" s="13" t="str">
        <f t="array" ref="L383">IFERROR(INDEX(AUTO_Public_TSV_FileList!$A$1:$A$1000,MATCH(TRUE(),EXACT(K383,IFERROR(_xlfn.TEXTBEFORE(AUTO_Public_TSV_FileList!$A$1:$A$1000,".tsv"),"")),0)),"notfound")</f>
        <v>10.1242%2Fjeb.124826_TableS1.tsv</v>
      </c>
      <c r="M383" s="4"/>
      <c r="N383" s="4"/>
      <c r="O383" s="4"/>
      <c r="P383" s="5" t="s">
        <v>36</v>
      </c>
      <c r="Q383" s="4"/>
      <c r="R383" s="4"/>
      <c r="S383" s="4"/>
      <c r="T383" s="4"/>
      <c r="U383" s="4"/>
      <c r="V383" s="4"/>
      <c r="W383" s="4"/>
      <c r="X383" s="4"/>
      <c r="Y383" s="4"/>
      <c r="Z383" s="4"/>
      <c r="AA383" s="4"/>
      <c r="AB383" s="4"/>
      <c r="AC383" s="4"/>
      <c r="AD383" s="4"/>
      <c r="AE383" s="4"/>
      <c r="AF383" s="4"/>
      <c r="AG383" s="4"/>
    </row>
    <row r="384" spans="1:33" ht="15.75" customHeight="1">
      <c r="A384" s="5" t="s">
        <v>1469</v>
      </c>
      <c r="B384" s="4"/>
      <c r="C384" s="4"/>
      <c r="D384" s="5" t="s">
        <v>231</v>
      </c>
      <c r="E384" s="13" t="str">
        <f t="shared" si="67"/>
        <v>Seymour</v>
      </c>
      <c r="F384" s="13" t="str">
        <f t="array" ref="F384">_xlfn.LET(
 _xlpm.authors,_xlfn.TEXTBEFORE(A384," ("&amp;G384&amp;")"),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4" s="13" t="str">
        <f t="shared" si="68"/>
        <v>2017</v>
      </c>
      <c r="H384" s="13" t="str">
        <f t="shared" si="69"/>
        <v>Seymour_etal_2017</v>
      </c>
      <c r="I384" s="13" t="str">
        <f t="shared" si="75"/>
        <v>10.1098%2Frsos.170846</v>
      </c>
      <c r="J384" s="13" t="str">
        <f t="shared" si="71"/>
        <v>Seymour_etal_2017_TableS1</v>
      </c>
      <c r="K384" s="13" t="str">
        <f t="shared" ref="K384:K406" si="82">I384 &amp; "_" &amp; SUBSTITUTE(SUBSTITUTE(SUBSTITUTE(D384,CHAR(160),"")," ",""),"_","")</f>
        <v>10.1098%2Frsos.170846_TableS1</v>
      </c>
      <c r="L384" s="13" t="str">
        <f t="array" ref="L384">IFERROR(INDEX(AUTO_Public_TSV_FileList!$A$1:$A$1000,MATCH(TRUE(),EXACT(K384,IFERROR(_xlfn.TEXTBEFORE(AUTO_Public_TSV_FileList!$A$1:$A$1000,".tsv"),"")),0)),"notfound")</f>
        <v>10.1098%2Frsos.170846_TableS1.tsv</v>
      </c>
      <c r="M384" s="4"/>
      <c r="N384" s="4"/>
      <c r="O384" s="4"/>
      <c r="P384" s="5" t="s">
        <v>36</v>
      </c>
      <c r="Q384" s="4"/>
      <c r="R384" s="4"/>
      <c r="S384" s="4"/>
      <c r="T384" s="4"/>
      <c r="U384" s="4"/>
      <c r="V384" s="4"/>
      <c r="W384" s="4"/>
      <c r="X384" s="4"/>
      <c r="Y384" s="4"/>
      <c r="Z384" s="4"/>
      <c r="AA384" s="4"/>
      <c r="AB384" s="4"/>
      <c r="AC384" s="4"/>
      <c r="AD384" s="4"/>
      <c r="AE384" s="4"/>
      <c r="AF384" s="4"/>
      <c r="AG384" s="4"/>
    </row>
    <row r="385" spans="1:33" ht="15.75" customHeight="1">
      <c r="A385" s="5" t="s">
        <v>1470</v>
      </c>
      <c r="B385" s="4"/>
      <c r="C385" s="4"/>
      <c r="D385" s="5" t="s">
        <v>1471</v>
      </c>
      <c r="E385" s="13" t="str">
        <f t="shared" si="67"/>
        <v>Seymour</v>
      </c>
      <c r="F385" s="13" t="str">
        <f t="array" ref="F385">_xlfn.LET(
 _xlpm.authors,_xlfn.TEXTBEFORE(A385," ("&amp;G385&amp;")"),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5" s="13" t="str">
        <f t="shared" si="68"/>
        <v>2019</v>
      </c>
      <c r="H385" s="13" t="str">
        <f t="shared" si="69"/>
        <v>Seymour_etal_2019</v>
      </c>
      <c r="I385" s="13" t="str">
        <f t="shared" si="75"/>
        <v>10.1098%2Frspb.2019.2208</v>
      </c>
      <c r="J385" s="13" t="str">
        <f t="shared" si="71"/>
        <v>Seymour_etal_2019_rspb20192208si002</v>
      </c>
      <c r="K385" s="13" t="str">
        <f t="shared" si="82"/>
        <v>10.1098%2Frspb.2019.2208_rspb20192208si002</v>
      </c>
      <c r="L385" s="13" t="str">
        <f t="array" ref="L385">IFERROR(INDEX(AUTO_Public_TSV_FileList!$A$1:$A$1000,MATCH(TRUE(),EXACT(K385,IFERROR(_xlfn.TEXTBEFORE(AUTO_Public_TSV_FileList!$A$1:$A$1000,".tsv"),"")),0)),"notfound")</f>
        <v>10.1098%2Frspb.2019.2208_rspb20192208si002.tsv</v>
      </c>
      <c r="M385" s="4"/>
      <c r="N385" s="4"/>
      <c r="O385" s="4"/>
      <c r="P385" s="5" t="s">
        <v>36</v>
      </c>
      <c r="Q385" s="4"/>
      <c r="R385" s="4"/>
      <c r="S385" s="4"/>
      <c r="T385" s="4"/>
      <c r="U385" s="4"/>
      <c r="V385" s="4"/>
      <c r="W385" s="4"/>
      <c r="X385" s="4"/>
      <c r="Y385" s="4"/>
      <c r="Z385" s="4"/>
      <c r="AA385" s="4"/>
      <c r="AB385" s="4"/>
      <c r="AC385" s="4"/>
      <c r="AD385" s="4"/>
      <c r="AE385" s="4"/>
      <c r="AF385" s="4"/>
      <c r="AG385" s="4"/>
    </row>
    <row r="386" spans="1:33" ht="15.75" customHeight="1">
      <c r="A386" s="5" t="s">
        <v>1472</v>
      </c>
      <c r="B386" s="4"/>
      <c r="C386" s="4"/>
      <c r="D386" s="5" t="s">
        <v>728</v>
      </c>
      <c r="E386" s="13" t="str">
        <f t="shared" si="67"/>
        <v>Sherwood</v>
      </c>
      <c r="F386" s="13" t="str">
        <f t="array" ref="F386">_xlfn.LET(
 _xlpm.authors,_xlfn.TEXTBEFORE(A386," ("&amp;G386&amp;")"),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6" s="13" t="str">
        <f t="shared" si="68"/>
        <v>2004</v>
      </c>
      <c r="H386" s="13" t="str">
        <f t="shared" si="69"/>
        <v>Sherwood_etal_2004</v>
      </c>
      <c r="I386" s="13" t="str">
        <f t="shared" si="75"/>
        <v>10.1002%2Fajp.20048</v>
      </c>
      <c r="J386" s="13" t="str">
        <f t="shared" si="71"/>
        <v>Sherwood_etal_2004_TABLEI</v>
      </c>
      <c r="K386" s="13" t="str">
        <f t="shared" si="82"/>
        <v>10.1002%2Fajp.20048_TABLEI</v>
      </c>
      <c r="L386" s="13" t="str">
        <f t="array" ref="L386">IFERROR(INDEX(AUTO_Public_TSV_FileList!$A$1:$A$1000,MATCH(TRUE(),EXACT(K386,IFERROR(_xlfn.TEXTBEFORE(AUTO_Public_TSV_FileList!$A$1:$A$1000,".tsv"),"")),0)),"notfound")</f>
        <v>10.1002%2Fajp.20048_TABLEI.tsv</v>
      </c>
      <c r="M386" s="5" t="s">
        <v>1473</v>
      </c>
      <c r="N386" s="4"/>
      <c r="O386" s="4"/>
      <c r="P386" s="5" t="s">
        <v>36</v>
      </c>
      <c r="Q386" s="4"/>
      <c r="R386" s="4"/>
      <c r="S386" s="4"/>
      <c r="T386" s="4"/>
      <c r="U386" s="4"/>
      <c r="V386" s="4"/>
      <c r="W386" s="4"/>
      <c r="X386" s="4"/>
      <c r="Y386" s="4"/>
      <c r="Z386" s="5" t="s">
        <v>1236</v>
      </c>
      <c r="AA386" s="5" t="s">
        <v>130</v>
      </c>
      <c r="AB386" s="5" t="s">
        <v>90</v>
      </c>
      <c r="AC386" s="5" t="s">
        <v>1474</v>
      </c>
      <c r="AD386" s="5" t="s">
        <v>1475</v>
      </c>
      <c r="AE386" s="5" t="s">
        <v>66</v>
      </c>
      <c r="AF386" s="5"/>
      <c r="AG386" s="4"/>
    </row>
    <row r="387" spans="1:33" ht="15.75" customHeight="1">
      <c r="A387" s="5" t="s">
        <v>1472</v>
      </c>
      <c r="B387" s="5"/>
      <c r="C387" s="4"/>
      <c r="D387" s="5" t="s">
        <v>112</v>
      </c>
      <c r="E387" s="13" t="str">
        <f t="shared" si="67"/>
        <v>Sherwood</v>
      </c>
      <c r="F387" s="13" t="str">
        <f t="array" ref="F387">_xlfn.LET(
 _xlpm.authors,_xlfn.TEXTBEFORE(A387," ("&amp;G387&amp;")"),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7" s="13" t="str">
        <f t="shared" si="68"/>
        <v>2004</v>
      </c>
      <c r="H387" s="13" t="str">
        <f t="shared" si="69"/>
        <v>Sherwood_etal_2004</v>
      </c>
      <c r="I387" s="13" t="str">
        <f t="shared" si="75"/>
        <v>10.1002%2Fajp.20048</v>
      </c>
      <c r="J387" s="13" t="str">
        <f t="shared" si="71"/>
        <v>Sherwood_etal_2004_unpublishedviaDeCasien</v>
      </c>
      <c r="K387" s="13" t="str">
        <f t="shared" si="82"/>
        <v>10.1002%2Fajp.20048_unpublishedviaDeCasien</v>
      </c>
      <c r="L387" s="13" t="str">
        <f t="array" ref="L387">IFERROR(INDEX(AUTO_Public_TSV_FileList!$A$1:$A$1000,MATCH(TRUE(),EXACT(K387,IFERROR(_xlfn.TEXTBEFORE(AUTO_Public_TSV_FileList!$A$1:$A$1000,".tsv"),"")),0)),"notfound")</f>
        <v>10.1002%2Fajp.20048_unpublishedviaDeCasien.tsv</v>
      </c>
      <c r="M387" s="4"/>
      <c r="N387" s="4"/>
      <c r="O387" s="5" t="s">
        <v>113</v>
      </c>
      <c r="P387" s="5" t="s">
        <v>36</v>
      </c>
      <c r="Q387" s="4"/>
      <c r="R387" s="4"/>
      <c r="S387" s="4"/>
      <c r="T387" s="4"/>
      <c r="U387" s="4"/>
      <c r="V387" s="4"/>
      <c r="W387" s="4"/>
      <c r="X387" s="4"/>
      <c r="Y387" s="4"/>
      <c r="Z387" s="5" t="s">
        <v>1236</v>
      </c>
      <c r="AA387" s="5" t="s">
        <v>130</v>
      </c>
      <c r="AB387" s="5" t="s">
        <v>90</v>
      </c>
      <c r="AC387" s="5" t="s">
        <v>1474</v>
      </c>
      <c r="AD387" s="5" t="s">
        <v>1475</v>
      </c>
      <c r="AE387" s="5" t="s">
        <v>66</v>
      </c>
      <c r="AF387" s="5"/>
      <c r="AG387" s="4"/>
    </row>
    <row r="388" spans="1:33" ht="15.75" customHeight="1">
      <c r="A388" s="5" t="s">
        <v>1476</v>
      </c>
      <c r="B388" s="5"/>
      <c r="C388" s="4"/>
      <c r="D388" s="5" t="s">
        <v>81</v>
      </c>
      <c r="E388" s="13" t="str">
        <f t="shared" si="67"/>
        <v>Sherwood</v>
      </c>
      <c r="F388" s="13" t="str">
        <f t="array" ref="F388">_xlfn.LET(
 _xlpm.authors,_xlfn.TEXTBEFORE(A388," ("&amp;G388&amp;")"),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8" s="13" t="str">
        <f t="shared" si="68"/>
        <v>2005</v>
      </c>
      <c r="H388" s="13" t="str">
        <f t="shared" si="69"/>
        <v>Sherwood_etal_2005</v>
      </c>
      <c r="I388" s="13" t="str">
        <f t="shared" si="75"/>
        <v>10.1016%2Fj.jhevol.2004.10.003</v>
      </c>
      <c r="J388" s="13" t="str">
        <f t="shared" si="71"/>
        <v>Sherwood_etal_2005_Table1</v>
      </c>
      <c r="K388" s="13" t="str">
        <f t="shared" si="82"/>
        <v>10.1016%2Fj.jhevol.2004.10.003_Table1</v>
      </c>
      <c r="L388" s="13" t="str">
        <f t="array" ref="L388">IFERROR(INDEX(AUTO_Public_TSV_FileList!$A$1:$A$1000,MATCH(TRUE(),EXACT(K388,IFERROR(_xlfn.TEXTBEFORE(AUTO_Public_TSV_FileList!$A$1:$A$1000,".tsv"),"")),0)),"notfound")</f>
        <v>10.1016%2Fj.jhevol.2004.10.003_Table1.tsv</v>
      </c>
      <c r="M388" s="5" t="s">
        <v>1477</v>
      </c>
      <c r="N388" s="5" t="s">
        <v>35</v>
      </c>
      <c r="O388" s="4"/>
      <c r="P388" s="5" t="s">
        <v>36</v>
      </c>
      <c r="Q388" s="4"/>
      <c r="R388" s="4"/>
      <c r="S388" s="4"/>
      <c r="T388" s="4"/>
      <c r="U388" s="4"/>
      <c r="V388" s="4"/>
      <c r="W388" s="5" t="s">
        <v>1478</v>
      </c>
      <c r="X388" s="5" t="s">
        <v>1479</v>
      </c>
      <c r="Y388" s="4"/>
      <c r="Z388" s="5" t="s">
        <v>83</v>
      </c>
      <c r="AA388" s="5" t="s">
        <v>130</v>
      </c>
      <c r="AB388" s="5" t="s">
        <v>90</v>
      </c>
      <c r="AC388" s="5" t="s">
        <v>119</v>
      </c>
      <c r="AD388" s="5" t="s">
        <v>417</v>
      </c>
      <c r="AE388" s="5" t="s">
        <v>66</v>
      </c>
      <c r="AF388" s="5"/>
      <c r="AG388" s="4"/>
    </row>
    <row r="389" spans="1:33" ht="15.75" customHeight="1">
      <c r="A389" s="5" t="s">
        <v>1480</v>
      </c>
      <c r="B389" s="5" t="s">
        <v>1481</v>
      </c>
      <c r="C389" s="4"/>
      <c r="D389" s="5" t="s">
        <v>34</v>
      </c>
      <c r="E389" s="13" t="str">
        <f t="shared" ref="E389:E452" si="83">SUBSTITUTE(SUBSTITUTE(_xlfn.TEXTBEFORE(A389,","), "-", ""), " ", "")</f>
        <v>Sherwood</v>
      </c>
      <c r="F389" s="13" t="str">
        <f t="array" ref="F389">_xlfn.LET(
 _xlpm.authors,_xlfn.TEXTBEFORE(A389," ("&amp;G389&amp;")"),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89" s="13" t="str">
        <f t="shared" ref="G389:G452" si="84">_xlfn.TEXTBEFORE(_xlfn.TEXTAFTER(A389, "("), ")")</f>
        <v>2004</v>
      </c>
      <c r="H389" s="13" t="str">
        <f t="shared" ref="H389:H452" si="85">E389 &amp; IF(F389&lt;&gt;"", "_" &amp; F389, "_") &amp; IF(G389&lt;&gt;"", "_" &amp; G389, "_") &amp; IF(B389&lt;&gt;"", "_" &amp; B389, "")</f>
        <v>Sherwood_etal_2004_I</v>
      </c>
      <c r="I389" s="13" t="str">
        <f t="shared" si="75"/>
        <v>10.1159%2F000075672</v>
      </c>
      <c r="J389" s="13" t="str">
        <f t="shared" ref="J389:J452" si="86">TRIM(_xlfn.TEXTJOIN("_",FALSE(),H389,(SUBSTITUTE(SUBSTITUTE(D389," ",""), "_", ""))))</f>
        <v>Sherwood_etal_2004_I_Table4</v>
      </c>
      <c r="K389" s="13" t="str">
        <f t="shared" si="82"/>
        <v>10.1159%2F000075672_Table4</v>
      </c>
      <c r="L389" s="13" t="str">
        <f t="array" ref="L389">IFERROR(INDEX(AUTO_Public_TSV_FileList!$A$1:$A$1000,MATCH(TRUE(),EXACT(K389,IFERROR(_xlfn.TEXTBEFORE(AUTO_Public_TSV_FileList!$A$1:$A$1000,".tsv"),"")),0)),"notfound")</f>
        <v>10.1159%2F000075672_Table4.tsv</v>
      </c>
      <c r="M389" s="5" t="s">
        <v>1482</v>
      </c>
      <c r="N389" s="5" t="s">
        <v>40</v>
      </c>
      <c r="O389" s="4"/>
      <c r="P389" s="5" t="s">
        <v>36</v>
      </c>
      <c r="Q389" s="4"/>
      <c r="R389" s="4"/>
      <c r="S389" s="4"/>
      <c r="T389" s="4"/>
      <c r="U389" s="4"/>
      <c r="V389" s="4"/>
      <c r="W389" s="5" t="s">
        <v>100</v>
      </c>
      <c r="X389" s="5" t="s">
        <v>1483</v>
      </c>
      <c r="Y389" s="4"/>
      <c r="Z389" s="5" t="s">
        <v>83</v>
      </c>
      <c r="AA389" s="4"/>
      <c r="AB389" s="5" t="s">
        <v>1484</v>
      </c>
      <c r="AC389" s="5" t="s">
        <v>84</v>
      </c>
      <c r="AD389" s="5" t="s">
        <v>84</v>
      </c>
      <c r="AE389" s="5" t="s">
        <v>66</v>
      </c>
      <c r="AF389" s="5"/>
      <c r="AG389" s="4"/>
    </row>
    <row r="390" spans="1:33" ht="15.75" customHeight="1">
      <c r="A390" s="5" t="s">
        <v>1480</v>
      </c>
      <c r="B390" s="5" t="s">
        <v>1481</v>
      </c>
      <c r="C390" s="4"/>
      <c r="D390" s="5" t="s">
        <v>74</v>
      </c>
      <c r="E390" s="13" t="str">
        <f t="shared" si="83"/>
        <v>Sherwood</v>
      </c>
      <c r="F390" s="13" t="str">
        <f t="array" ref="F390">_xlfn.LET(
 _xlpm.authors,_xlfn.TEXTBEFORE(A390," ("&amp;G390&amp;")"),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0" s="13" t="str">
        <f t="shared" si="84"/>
        <v>2004</v>
      </c>
      <c r="H390" s="13" t="str">
        <f t="shared" si="85"/>
        <v>Sherwood_etal_2004_I</v>
      </c>
      <c r="I390" s="13" t="str">
        <f t="shared" si="75"/>
        <v>10.1159%2F000075672</v>
      </c>
      <c r="J390" s="13" t="str">
        <f t="shared" si="86"/>
        <v>Sherwood_etal_2004_I_Table5</v>
      </c>
      <c r="K390" s="13" t="str">
        <f t="shared" si="82"/>
        <v>10.1159%2F000075672_Table5</v>
      </c>
      <c r="L390" s="13" t="str">
        <f t="array" ref="L390">IFERROR(INDEX(AUTO_Public_TSV_FileList!$A$1:$A$1000,MATCH(TRUE(),EXACT(K390,IFERROR(_xlfn.TEXTBEFORE(AUTO_Public_TSV_FileList!$A$1:$A$1000,".tsv"),"")),0)),"notfound")</f>
        <v>10.1159%2F000075672_Table5.tsv</v>
      </c>
      <c r="M390" s="5" t="s">
        <v>1485</v>
      </c>
      <c r="N390" s="5" t="s">
        <v>40</v>
      </c>
      <c r="O390" s="4"/>
      <c r="P390" s="5" t="s">
        <v>36</v>
      </c>
      <c r="Q390" s="4"/>
      <c r="R390" s="4"/>
      <c r="S390" s="4"/>
      <c r="T390" s="4"/>
      <c r="U390" s="4"/>
      <c r="V390" s="4"/>
      <c r="W390" s="5" t="s">
        <v>100</v>
      </c>
      <c r="X390" s="5" t="s">
        <v>1483</v>
      </c>
      <c r="Y390" s="4"/>
      <c r="Z390" s="5" t="s">
        <v>83</v>
      </c>
      <c r="AA390" s="5" t="s">
        <v>130</v>
      </c>
      <c r="AB390" s="5" t="s">
        <v>1484</v>
      </c>
      <c r="AC390" s="4"/>
      <c r="AD390" s="5" t="s">
        <v>417</v>
      </c>
      <c r="AE390" s="5" t="s">
        <v>66</v>
      </c>
      <c r="AF390" s="5"/>
      <c r="AG390" s="4"/>
    </row>
    <row r="391" spans="1:33" ht="15.75" customHeight="1">
      <c r="A391" s="5" t="s">
        <v>1486</v>
      </c>
      <c r="B391" s="4"/>
      <c r="C391" s="4"/>
      <c r="D391" s="5" t="s">
        <v>81</v>
      </c>
      <c r="E391" s="13" t="str">
        <f t="shared" si="83"/>
        <v>Sherwood</v>
      </c>
      <c r="F391" s="13" t="str">
        <f t="array" ref="F391">_xlfn.LET(
 _xlpm.authors,_xlfn.TEXTBEFORE(A391," ("&amp;G391&amp;")"),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1" s="13" t="str">
        <f t="shared" si="84"/>
        <v>2003</v>
      </c>
      <c r="H391" s="13" t="str">
        <f t="shared" si="85"/>
        <v>Sherwood_etal_2003</v>
      </c>
      <c r="I391" s="13" t="str">
        <f t="shared" si="75"/>
        <v>10.1159%2F000068879</v>
      </c>
      <c r="J391" s="13" t="str">
        <f t="shared" si="86"/>
        <v>Sherwood_etal_2003_Table1</v>
      </c>
      <c r="K391" s="13" t="str">
        <f t="shared" si="82"/>
        <v>10.1159%2F000068879_Table1</v>
      </c>
      <c r="L391" s="13" t="str">
        <f t="array" ref="L391">IFERROR(INDEX(AUTO_Public_TSV_FileList!$A$1:$A$1000,MATCH(TRUE(),EXACT(K391,IFERROR(_xlfn.TEXTBEFORE(AUTO_Public_TSV_FileList!$A$1:$A$1000,".tsv"),"")),0)),"notfound")</f>
        <v>10.1159%2F000068879_Table1.tsv</v>
      </c>
      <c r="M391" s="5" t="s">
        <v>1487</v>
      </c>
      <c r="N391" s="4"/>
      <c r="O391" s="4"/>
      <c r="P391" s="4"/>
      <c r="Q391" s="4"/>
      <c r="R391" s="4"/>
      <c r="S391" s="4"/>
      <c r="T391" s="4"/>
      <c r="U391" s="4"/>
      <c r="V391" s="4"/>
      <c r="W391" s="4"/>
      <c r="X391" s="4"/>
      <c r="Y391" s="4"/>
      <c r="Z391" s="4"/>
      <c r="AA391" s="4"/>
      <c r="AB391" s="4"/>
      <c r="AC391" s="4"/>
      <c r="AD391" s="4"/>
      <c r="AE391" s="4"/>
      <c r="AF391" s="4"/>
      <c r="AG391" s="4"/>
    </row>
    <row r="392" spans="1:33" ht="15.75" customHeight="1">
      <c r="A392" s="5" t="s">
        <v>1488</v>
      </c>
      <c r="B392" s="4"/>
      <c r="C392" s="4"/>
      <c r="D392" s="5" t="s">
        <v>231</v>
      </c>
      <c r="E392" s="13" t="str">
        <f t="shared" si="83"/>
        <v>Shultz</v>
      </c>
      <c r="F392" s="13" t="str">
        <f t="array" ref="F392">_xlfn.LET(
 _xlpm.authors,_xlfn.TEXTBEFORE(A392," ("&amp;G392&amp;")"),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Dunbar</v>
      </c>
      <c r="G392" s="13" t="str">
        <f t="shared" si="84"/>
        <v>2010</v>
      </c>
      <c r="H392" s="13" t="str">
        <f t="shared" si="85"/>
        <v>Shultz_Dunbar_2010</v>
      </c>
      <c r="I392" s="13" t="str">
        <f t="shared" si="75"/>
        <v>10.1037%2Fa0018894</v>
      </c>
      <c r="J392" s="13" t="str">
        <f t="shared" si="86"/>
        <v>Shultz_Dunbar_2010_TableS1</v>
      </c>
      <c r="K392" s="13" t="str">
        <f t="shared" si="82"/>
        <v>10.1037%2Fa0018894_TableS1</v>
      </c>
      <c r="L392" s="13" t="str">
        <f t="array" ref="L392">IFERROR(INDEX(AUTO_Public_TSV_FileList!$A$1:$A$1000,MATCH(TRUE(),EXACT(K392,IFERROR(_xlfn.TEXTBEFORE(AUTO_Public_TSV_FileList!$A$1:$A$1000,".tsv"),"")),0)),"notfound")</f>
        <v>notfound</v>
      </c>
      <c r="M392" s="3" t="s">
        <v>1489</v>
      </c>
      <c r="N392" s="5" t="s">
        <v>35</v>
      </c>
      <c r="O392" s="3" t="s">
        <v>1490</v>
      </c>
      <c r="P392" s="3"/>
      <c r="Q392" s="3"/>
      <c r="R392" s="3" t="s">
        <v>1491</v>
      </c>
      <c r="S392" s="3" t="s">
        <v>1492</v>
      </c>
      <c r="T392" s="3" t="s">
        <v>1493</v>
      </c>
      <c r="U392" s="3"/>
      <c r="V392" s="3" t="s">
        <v>340</v>
      </c>
      <c r="W392" s="3" t="s">
        <v>100</v>
      </c>
      <c r="X392" s="3" t="s">
        <v>1494</v>
      </c>
      <c r="Y392" s="3" t="s">
        <v>1495</v>
      </c>
      <c r="Z392" s="3"/>
      <c r="AA392" s="3"/>
      <c r="AB392" s="3" t="s">
        <v>1496</v>
      </c>
      <c r="AC392" s="4"/>
      <c r="AD392" s="3"/>
      <c r="AE392" s="3" t="s">
        <v>179</v>
      </c>
      <c r="AF392" s="3"/>
      <c r="AG392" s="3" t="s">
        <v>1497</v>
      </c>
    </row>
    <row r="393" spans="1:33" ht="15.75" customHeight="1">
      <c r="A393" s="5" t="s">
        <v>1498</v>
      </c>
      <c r="B393" s="4"/>
      <c r="C393" s="4"/>
      <c r="D393" s="5" t="s">
        <v>1499</v>
      </c>
      <c r="E393" s="13" t="str">
        <f t="shared" si="83"/>
        <v>Siegel</v>
      </c>
      <c r="F393" s="13" t="str">
        <f t="array" ref="F393">_xlfn.LET(
 _xlpm.authors,_xlfn.TEXTBEFORE(A393," ("&amp;G393&amp;")"),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393" s="13" t="str">
        <f t="shared" si="84"/>
        <v>2022</v>
      </c>
      <c r="H393" s="13" t="str">
        <f t="shared" si="85"/>
        <v>Siegel__2022</v>
      </c>
      <c r="I393" s="13" t="str">
        <f t="shared" si="75"/>
        <v>10.1016%2FS1474-4422(22)00210-1</v>
      </c>
      <c r="J393" s="13" t="str">
        <f t="shared" si="86"/>
        <v>Siegel__2022_Appendix</v>
      </c>
      <c r="K393" s="13" t="str">
        <f t="shared" si="82"/>
        <v>10.1016%2FS1474-4422(22)00210-1_Appendix</v>
      </c>
      <c r="L393" s="13" t="str">
        <f t="array" ref="L393">IFERROR(INDEX(AUTO_Public_TSV_FileList!$A$1:$A$1000,MATCH(TRUE(),EXACT(K393,IFERROR(_xlfn.TEXTBEFORE(AUTO_Public_TSV_FileList!$A$1:$A$1000,".tsv"),"")),0)),"notfound")</f>
        <v>notfound</v>
      </c>
      <c r="M393" s="3" t="s">
        <v>1500</v>
      </c>
      <c r="N393" s="5"/>
      <c r="O393" s="3"/>
      <c r="P393" s="3"/>
      <c r="Q393" s="3"/>
      <c r="R393" s="3"/>
      <c r="S393" s="3"/>
      <c r="T393" s="3"/>
      <c r="U393" s="3"/>
      <c r="V393" s="3"/>
      <c r="W393" s="3"/>
      <c r="X393" s="3"/>
      <c r="Y393" s="3"/>
      <c r="Z393" s="3"/>
      <c r="AA393" s="3"/>
      <c r="AB393" s="3"/>
      <c r="AC393" s="4"/>
      <c r="AD393" s="3"/>
      <c r="AE393" s="3"/>
      <c r="AF393" s="3"/>
      <c r="AG393" s="3"/>
    </row>
    <row r="394" spans="1:33" ht="15.75" customHeight="1">
      <c r="A394" s="5" t="s">
        <v>1501</v>
      </c>
      <c r="B394" s="4"/>
      <c r="C394" s="5"/>
      <c r="D394" s="5" t="s">
        <v>1502</v>
      </c>
      <c r="E394" s="13" t="str">
        <f t="shared" si="83"/>
        <v>Smaers</v>
      </c>
      <c r="F394" s="13" t="str">
        <f t="array" ref="F394">_xlfn.LET(
 _xlpm.authors,_xlfn.TEXTBEFORE(A394," ("&amp;G394&amp;")"),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Soligo</v>
      </c>
      <c r="G394" s="13" t="str">
        <f t="shared" si="84"/>
        <v>2013</v>
      </c>
      <c r="H394" s="13" t="str">
        <f t="shared" si="85"/>
        <v>Smaers_Soligo_2013</v>
      </c>
      <c r="I394" s="13" t="str">
        <f t="shared" si="75"/>
        <v>10.1098%2Frspb.2013.0269</v>
      </c>
      <c r="J394" s="13" t="str">
        <f t="shared" si="86"/>
        <v>Smaers_Soligo_2013_Supplement</v>
      </c>
      <c r="K394" s="13" t="str">
        <f t="shared" si="82"/>
        <v>10.1098%2Frspb.2013.0269_Supplement</v>
      </c>
      <c r="L394" s="13" t="str">
        <f t="array" ref="L394">IFERROR(INDEX(AUTO_Public_TSV_FileList!$A$1:$A$1000,MATCH(TRUE(),EXACT(K394,IFERROR(_xlfn.TEXTBEFORE(AUTO_Public_TSV_FileList!$A$1:$A$1000,".tsv"),"")),0)),"notfound")</f>
        <v>notfound</v>
      </c>
      <c r="M394" s="5" t="s">
        <v>1503</v>
      </c>
      <c r="N394" s="4"/>
      <c r="O394" s="4"/>
      <c r="P394" s="4"/>
      <c r="Q394" s="4"/>
      <c r="R394" s="4"/>
      <c r="S394" s="4"/>
      <c r="T394" s="4"/>
      <c r="U394" s="4"/>
      <c r="V394" s="4"/>
      <c r="W394" s="5" t="s">
        <v>1441</v>
      </c>
      <c r="X394" s="5" t="s">
        <v>1504</v>
      </c>
      <c r="Y394" s="4"/>
      <c r="Z394" s="5" t="s">
        <v>83</v>
      </c>
      <c r="AA394" s="5" t="s">
        <v>130</v>
      </c>
      <c r="AB394" s="5" t="s">
        <v>90</v>
      </c>
      <c r="AC394" s="4"/>
      <c r="AD394" s="4"/>
      <c r="AE394" s="5" t="s">
        <v>51</v>
      </c>
      <c r="AF394" s="5"/>
      <c r="AG394" s="4"/>
    </row>
    <row r="395" spans="1:33" ht="15.75" customHeight="1">
      <c r="A395" s="4" t="s">
        <v>1505</v>
      </c>
      <c r="B395" s="4"/>
      <c r="C395" s="4"/>
      <c r="D395" s="5" t="s">
        <v>1506</v>
      </c>
      <c r="E395" s="13" t="str">
        <f t="shared" si="83"/>
        <v>Smaers</v>
      </c>
      <c r="F395" s="13" t="str">
        <f t="array" ref="F395">_xlfn.LET(
 _xlpm.authors,_xlfn.TEXTBEFORE(A395," ("&amp;G395&amp;")"),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5" s="13" t="str">
        <f t="shared" si="84"/>
        <v>2017</v>
      </c>
      <c r="H395" s="13" t="str">
        <f t="shared" si="85"/>
        <v>Smaers_etal_2017</v>
      </c>
      <c r="I395" s="13" t="str">
        <f t="shared" si="75"/>
        <v>10.1016%2Fj.cub.2017.01.020</v>
      </c>
      <c r="J395" s="13" t="str">
        <f t="shared" si="86"/>
        <v>Smaers_etal_2017_TableS1part1</v>
      </c>
      <c r="K395" s="13" t="str">
        <f t="shared" si="82"/>
        <v>10.1016%2Fj.cub.2017.01.020_TableS1part1</v>
      </c>
      <c r="L395" s="13" t="str">
        <f t="array" ref="L395">IFERROR(INDEX(AUTO_Public_TSV_FileList!$A$1:$A$1000,MATCH(TRUE(),EXACT(K395,IFERROR(_xlfn.TEXTBEFORE(AUTO_Public_TSV_FileList!$A$1:$A$1000,".tsv"),"")),0)),"notfound")</f>
        <v>10.1016%2Fj.cub.2017.01.020_TableS1part1.tsv</v>
      </c>
      <c r="M395" s="5" t="s">
        <v>1507</v>
      </c>
      <c r="N395" s="5" t="s">
        <v>35</v>
      </c>
      <c r="O395" s="5" t="s">
        <v>1508</v>
      </c>
      <c r="P395" s="5" t="s">
        <v>36</v>
      </c>
      <c r="Q395" s="4"/>
      <c r="R395" s="4"/>
      <c r="S395" s="5" t="s">
        <v>1509</v>
      </c>
      <c r="T395" s="4"/>
      <c r="U395" s="4"/>
      <c r="V395" s="4"/>
      <c r="W395" s="5" t="s">
        <v>100</v>
      </c>
      <c r="X395" s="5" t="s">
        <v>1510</v>
      </c>
      <c r="Y395" s="4"/>
      <c r="Z395" s="5" t="s">
        <v>83</v>
      </c>
      <c r="AA395" s="5" t="s">
        <v>130</v>
      </c>
      <c r="AB395" s="5" t="s">
        <v>90</v>
      </c>
      <c r="AC395" s="5" t="s">
        <v>1511</v>
      </c>
      <c r="AD395" s="5" t="s">
        <v>417</v>
      </c>
      <c r="AE395" s="5" t="s">
        <v>51</v>
      </c>
      <c r="AF395" s="5"/>
      <c r="AG395" s="4"/>
    </row>
    <row r="396" spans="1:33" ht="15.75" customHeight="1">
      <c r="A396" s="4" t="s">
        <v>1505</v>
      </c>
      <c r="B396" s="4"/>
      <c r="C396" s="4"/>
      <c r="D396" s="5" t="s">
        <v>1512</v>
      </c>
      <c r="E396" s="13" t="str">
        <f t="shared" si="83"/>
        <v>Smaers</v>
      </c>
      <c r="F396" s="13" t="str">
        <f t="array" ref="F396">_xlfn.LET(
 _xlpm.authors,_xlfn.TEXTBEFORE(A396," ("&amp;G396&amp;")"),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6" s="13" t="str">
        <f t="shared" si="84"/>
        <v>2017</v>
      </c>
      <c r="H396" s="13" t="str">
        <f t="shared" si="85"/>
        <v>Smaers_etal_2017</v>
      </c>
      <c r="I396" s="13" t="str">
        <f t="shared" si="75"/>
        <v>10.1016%2Fj.cub.2017.01.020</v>
      </c>
      <c r="J396" s="13" t="str">
        <f t="shared" si="86"/>
        <v>Smaers_etal_2017_TableS1part2</v>
      </c>
      <c r="K396" s="13" t="str">
        <f t="shared" si="82"/>
        <v>10.1016%2Fj.cub.2017.01.020_TableS1part2</v>
      </c>
      <c r="L396" s="13" t="str">
        <f t="array" ref="L396">IFERROR(INDEX(AUTO_Public_TSV_FileList!$A$1:$A$1000,MATCH(TRUE(),EXACT(K396,IFERROR(_xlfn.TEXTBEFORE(AUTO_Public_TSV_FileList!$A$1:$A$1000,".tsv"),"")),0)),"notfound")</f>
        <v>10.1016%2Fj.cub.2017.01.020_TableS1part2.tsv</v>
      </c>
      <c r="M396" s="5" t="s">
        <v>1507</v>
      </c>
      <c r="N396" s="5" t="s">
        <v>35</v>
      </c>
      <c r="O396" s="5" t="s">
        <v>1513</v>
      </c>
      <c r="P396" s="5" t="s">
        <v>36</v>
      </c>
      <c r="Q396" s="4"/>
      <c r="R396" s="4"/>
      <c r="S396" s="5" t="s">
        <v>1509</v>
      </c>
      <c r="T396" s="4"/>
      <c r="U396" s="4"/>
      <c r="V396" s="4"/>
      <c r="W396" s="5" t="s">
        <v>100</v>
      </c>
      <c r="X396" s="5" t="s">
        <v>1510</v>
      </c>
      <c r="Y396" s="4"/>
      <c r="Z396" s="5" t="s">
        <v>83</v>
      </c>
      <c r="AA396" s="5" t="s">
        <v>130</v>
      </c>
      <c r="AB396" s="5" t="s">
        <v>90</v>
      </c>
      <c r="AC396" s="5" t="s">
        <v>1511</v>
      </c>
      <c r="AD396" s="5" t="s">
        <v>417</v>
      </c>
      <c r="AE396" s="5" t="s">
        <v>51</v>
      </c>
      <c r="AF396" s="5"/>
      <c r="AG396" s="4"/>
    </row>
    <row r="397" spans="1:33" ht="15.75" customHeight="1">
      <c r="A397" s="5" t="s">
        <v>1514</v>
      </c>
      <c r="B397" s="4"/>
      <c r="C397" s="4"/>
      <c r="D397" s="5" t="s">
        <v>81</v>
      </c>
      <c r="E397" s="13" t="str">
        <f t="shared" si="83"/>
        <v>Smaers</v>
      </c>
      <c r="F397" s="13" t="str">
        <f t="array" ref="F397">_xlfn.LET(
 _xlpm.authors,_xlfn.TEXTBEFORE(A397," ("&amp;G397&amp;")"),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7" s="13" t="str">
        <f t="shared" si="84"/>
        <v>2010</v>
      </c>
      <c r="H397" s="13" t="str">
        <f t="shared" si="85"/>
        <v>Smaers_etal_2010</v>
      </c>
      <c r="I397" s="13" t="str">
        <f t="shared" si="75"/>
        <v>10.1371%2Fjournal.pone.0009123</v>
      </c>
      <c r="J397" s="13" t="str">
        <f t="shared" si="86"/>
        <v>Smaers_etal_2010_Table1</v>
      </c>
      <c r="K397" s="13" t="str">
        <f t="shared" si="82"/>
        <v>10.1371%2Fjournal.pone.0009123_Table1</v>
      </c>
      <c r="L397" s="13" t="str">
        <f t="array" ref="L397">IFERROR(INDEX(AUTO_Public_TSV_FileList!$A$1:$A$1000,MATCH(TRUE(),EXACT(K397,IFERROR(_xlfn.TEXTBEFORE(AUTO_Public_TSV_FileList!$A$1:$A$1000,".tsv"),"")),0)),"notfound")</f>
        <v>10.1371%2Fjournal.pone.0009123_Table1.tsv</v>
      </c>
      <c r="M397" s="5" t="s">
        <v>1515</v>
      </c>
      <c r="N397" s="4"/>
      <c r="O397" s="4"/>
      <c r="P397" s="4" t="s">
        <v>36</v>
      </c>
      <c r="Q397" s="4"/>
      <c r="R397" s="4"/>
      <c r="S397" s="4"/>
      <c r="T397" s="4"/>
      <c r="U397" s="4"/>
      <c r="V397" s="4"/>
      <c r="W397" s="4"/>
      <c r="X397" s="4"/>
      <c r="Y397" s="4"/>
      <c r="Z397" s="4"/>
      <c r="AA397" s="4"/>
      <c r="AB397" s="4"/>
      <c r="AC397" s="4"/>
      <c r="AD397" s="4"/>
      <c r="AE397" s="4"/>
      <c r="AF397" s="4"/>
      <c r="AG397" s="4"/>
    </row>
    <row r="398" spans="1:33" ht="15.75" customHeight="1">
      <c r="A398" s="5" t="s">
        <v>1516</v>
      </c>
      <c r="B398" s="4"/>
      <c r="C398" s="4"/>
      <c r="D398" s="5" t="s">
        <v>267</v>
      </c>
      <c r="E398" s="13" t="str">
        <f t="shared" si="83"/>
        <v>Smaers</v>
      </c>
      <c r="F398" s="13" t="str">
        <f t="array" ref="F398">_xlfn.LET(
 _xlpm.authors,_xlfn.TEXTBEFORE(A398," ("&amp;G398&amp;")"),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8" s="13" t="str">
        <f t="shared" si="84"/>
        <v>2011</v>
      </c>
      <c r="H398" s="13" t="str">
        <f t="shared" si="85"/>
        <v>Smaers_etal_2011</v>
      </c>
      <c r="I398" s="13" t="str">
        <f t="shared" si="75"/>
        <v>10.1159%2F000323671</v>
      </c>
      <c r="J398" s="13" t="str">
        <f t="shared" si="86"/>
        <v>Smaers_etal_2011_SupplementaryTable1</v>
      </c>
      <c r="K398" s="13" t="str">
        <f t="shared" si="82"/>
        <v>10.1159%2F000323671_SupplementaryTable1</v>
      </c>
      <c r="L398" s="13" t="str">
        <f t="array" ref="L398">IFERROR(INDEX(AUTO_Public_TSV_FileList!$A$1:$A$1000,MATCH(TRUE(),EXACT(K398,IFERROR(_xlfn.TEXTBEFORE(AUTO_Public_TSV_FileList!$A$1:$A$1000,".tsv"),"")),0)),"notfound")</f>
        <v>10.1159%2F000323671_SupplementaryTable1.tsv</v>
      </c>
      <c r="M398" s="4"/>
      <c r="N398" s="5" t="s">
        <v>35</v>
      </c>
      <c r="O398" s="4"/>
      <c r="P398" s="4" t="s">
        <v>36</v>
      </c>
      <c r="Q398" s="4"/>
      <c r="R398" s="4"/>
      <c r="S398" s="4"/>
      <c r="T398" s="4"/>
      <c r="U398" s="4"/>
      <c r="V398" s="4"/>
      <c r="W398" s="5" t="s">
        <v>100</v>
      </c>
      <c r="X398" s="5" t="s">
        <v>1517</v>
      </c>
      <c r="Y398" s="4"/>
      <c r="Z398" s="5" t="s">
        <v>83</v>
      </c>
      <c r="AA398" s="5" t="s">
        <v>130</v>
      </c>
      <c r="AB398" s="5" t="s">
        <v>90</v>
      </c>
      <c r="AC398" s="4"/>
      <c r="AD398" s="5" t="s">
        <v>417</v>
      </c>
      <c r="AE398" s="5" t="s">
        <v>51</v>
      </c>
      <c r="AF398" s="5"/>
      <c r="AG398" s="4"/>
    </row>
    <row r="399" spans="1:33" ht="15.75" customHeight="1">
      <c r="A399" s="5" t="s">
        <v>1516</v>
      </c>
      <c r="B399" s="4"/>
      <c r="C399" s="4"/>
      <c r="D399" s="5" t="s">
        <v>1518</v>
      </c>
      <c r="E399" s="13" t="str">
        <f t="shared" si="83"/>
        <v>Smaers</v>
      </c>
      <c r="F399" s="13" t="str">
        <f t="array" ref="F399">_xlfn.LET(
 _xlpm.authors,_xlfn.TEXTBEFORE(A399," ("&amp;G399&amp;")"),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399" s="13" t="str">
        <f t="shared" si="84"/>
        <v>2011</v>
      </c>
      <c r="H399" s="13" t="str">
        <f t="shared" si="85"/>
        <v>Smaers_etal_2011</v>
      </c>
      <c r="I399" s="13" t="str">
        <f t="shared" si="75"/>
        <v>10.1159%2F000323671</v>
      </c>
      <c r="J399" s="13" t="str">
        <f t="shared" si="86"/>
        <v>Smaers_etal_2011_SupplementaryTable2</v>
      </c>
      <c r="K399" s="13" t="str">
        <f t="shared" si="82"/>
        <v>10.1159%2F000323671_SupplementaryTable2</v>
      </c>
      <c r="L399" s="13" t="str">
        <f t="array" ref="L399">IFERROR(INDEX(AUTO_Public_TSV_FileList!$A$1:$A$1000,MATCH(TRUE(),EXACT(K399,IFERROR(_xlfn.TEXTBEFORE(AUTO_Public_TSV_FileList!$A$1:$A$1000,".tsv"),"")),0)),"notfound")</f>
        <v>10.1159%2F000323671_SupplementaryTable2.tsv</v>
      </c>
      <c r="M399" s="4"/>
      <c r="N399" s="5" t="s">
        <v>35</v>
      </c>
      <c r="O399" s="4"/>
      <c r="P399" s="4" t="s">
        <v>36</v>
      </c>
      <c r="Q399" s="4"/>
      <c r="R399" s="4"/>
      <c r="S399" s="4"/>
      <c r="T399" s="4"/>
      <c r="U399" s="4"/>
      <c r="V399" s="4"/>
      <c r="W399" s="5" t="s">
        <v>100</v>
      </c>
      <c r="X399" s="5" t="s">
        <v>1517</v>
      </c>
      <c r="Y399" s="4"/>
      <c r="Z399" s="5" t="s">
        <v>83</v>
      </c>
      <c r="AA399" s="5" t="s">
        <v>130</v>
      </c>
      <c r="AB399" s="5" t="s">
        <v>90</v>
      </c>
      <c r="AC399" s="4"/>
      <c r="AD399" s="5" t="s">
        <v>417</v>
      </c>
      <c r="AE399" s="5" t="s">
        <v>51</v>
      </c>
      <c r="AF399" s="5"/>
      <c r="AG399" s="4"/>
    </row>
    <row r="400" spans="1:33" ht="15.75" customHeight="1">
      <c r="A400" s="5" t="s">
        <v>1519</v>
      </c>
      <c r="B400" s="4"/>
      <c r="C400" s="5"/>
      <c r="D400" s="5" t="s">
        <v>1520</v>
      </c>
      <c r="E400" s="13" t="str">
        <f t="shared" si="83"/>
        <v>Smaers</v>
      </c>
      <c r="F400" s="13" t="str">
        <f t="array" ref="F400">_xlfn.LET(
 _xlpm.authors,_xlfn.TEXTBEFORE(A400," ("&amp;G400&amp;")"),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0" s="13" t="str">
        <f t="shared" si="84"/>
        <v>2018</v>
      </c>
      <c r="H400" s="13" t="str">
        <f t="shared" si="85"/>
        <v>Smaers_etal_2018</v>
      </c>
      <c r="I400" s="13" t="str">
        <f t="shared" ref="I400:I431" si="87">_xlfn.LET(
_xlpm.doi,IF(C400&lt;&gt;"",C400,_xlfn.TEXTAFTER(A400,"https://doi.org/")),
SUBSTITUTE(
SUBSTITUTE(
SUBSTITUTE(
SUBSTITUTE(
_xlpm.doi,
"/","%2F"),
":","%3A"),
"&lt;","%3C"),
"&gt;","%3E")
)</f>
        <v>10.7554%2FeLife.35696</v>
      </c>
      <c r="J400" s="13" t="str">
        <f t="shared" si="86"/>
        <v>Smaers_etal_2018_Figure2-data1</v>
      </c>
      <c r="K400" s="13" t="str">
        <f t="shared" si="82"/>
        <v>10.7554%2FeLife.35696_Figure2-data1</v>
      </c>
      <c r="L400" s="13" t="str">
        <f t="array" ref="L400">IFERROR(INDEX(AUTO_Public_TSV_FileList!$A$1:$A$1000,MATCH(TRUE(),EXACT(K400,IFERROR(_xlfn.TEXTBEFORE(AUTO_Public_TSV_FileList!$A$1:$A$1000,".tsv"),"")),0)),"notfound")</f>
        <v>10.7554%2FeLife.35696_Figure2-data1.tsv</v>
      </c>
      <c r="M400" s="5" t="s">
        <v>1521</v>
      </c>
      <c r="N400" s="4"/>
      <c r="O400" s="4"/>
      <c r="P400" s="4" t="s">
        <v>36</v>
      </c>
      <c r="Q400" s="4"/>
      <c r="R400" s="4"/>
      <c r="S400" s="4"/>
      <c r="T400" s="4"/>
      <c r="U400" s="4"/>
      <c r="V400" s="4"/>
      <c r="W400" s="5" t="s">
        <v>138</v>
      </c>
      <c r="X400" s="5" t="s">
        <v>1522</v>
      </c>
      <c r="Y400" s="4"/>
      <c r="Z400" s="5" t="s">
        <v>83</v>
      </c>
      <c r="AA400" s="5" t="s">
        <v>130</v>
      </c>
      <c r="AB400" s="5" t="s">
        <v>90</v>
      </c>
      <c r="AC400" s="4"/>
      <c r="AD400" s="5" t="s">
        <v>417</v>
      </c>
      <c r="AE400" s="5" t="s">
        <v>51</v>
      </c>
      <c r="AF400" s="5"/>
      <c r="AG400" s="4"/>
    </row>
    <row r="401" spans="1:33" ht="15.75" customHeight="1">
      <c r="A401" s="5" t="s">
        <v>1523</v>
      </c>
      <c r="B401" s="4"/>
      <c r="C401" s="5"/>
      <c r="D401" s="5" t="s">
        <v>81</v>
      </c>
      <c r="E401" s="13" t="str">
        <f t="shared" si="83"/>
        <v>Stephan</v>
      </c>
      <c r="F401" s="13" t="str">
        <f t="array" ref="F401">_xlfn.LET(
 _xlpm.authors,_xlfn.TEXTBEFORE(A401," ("&amp;G401&amp;")"),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Pirlot</v>
      </c>
      <c r="G401" s="13" t="str">
        <f t="shared" si="84"/>
        <v>1970</v>
      </c>
      <c r="H401" s="13" t="str">
        <f t="shared" si="85"/>
        <v>Stephan_Pirlot_1970</v>
      </c>
      <c r="I401" s="13" t="str">
        <f t="shared" si="87"/>
        <v>10.1111%2Fj.1439-0469.1970.tb00876.x</v>
      </c>
      <c r="J401" s="13" t="str">
        <f t="shared" si="86"/>
        <v>Stephan_Pirlot_1970_Table1</v>
      </c>
      <c r="K401" s="13" t="str">
        <f t="shared" si="82"/>
        <v>10.1111%2Fj.1439-0469.1970.tb00876.x_Table1</v>
      </c>
      <c r="L401" s="13" t="str">
        <f t="array" ref="L401">IFERROR(INDEX(AUTO_Public_TSV_FileList!$A$1:$A$1000,MATCH(TRUE(),EXACT(K401,IFERROR(_xlfn.TEXTBEFORE(AUTO_Public_TSV_FileList!$A$1:$A$1000,".tsv"),"")),0)),"notfound")</f>
        <v>10.1111%2Fj.1439-0469.1970.tb00876.x_Table1.tsv</v>
      </c>
      <c r="M401" s="3" t="s">
        <v>1524</v>
      </c>
      <c r="N401" s="5" t="s">
        <v>35</v>
      </c>
      <c r="O401" s="4"/>
      <c r="P401" s="3"/>
      <c r="Q401" s="3"/>
      <c r="R401" s="3" t="s">
        <v>1525</v>
      </c>
      <c r="S401" s="3" t="s">
        <v>1526</v>
      </c>
      <c r="T401" s="3" t="s">
        <v>1527</v>
      </c>
      <c r="U401" s="3"/>
      <c r="V401" s="4"/>
      <c r="W401" s="3" t="s">
        <v>138</v>
      </c>
      <c r="X401" s="3" t="s">
        <v>1528</v>
      </c>
      <c r="Y401" s="3" t="s">
        <v>1529</v>
      </c>
      <c r="Z401" s="3" t="s">
        <v>83</v>
      </c>
      <c r="AA401" s="3" t="s">
        <v>1530</v>
      </c>
      <c r="AB401" s="3" t="s">
        <v>90</v>
      </c>
      <c r="AC401" s="3" t="s">
        <v>119</v>
      </c>
      <c r="AD401" s="3" t="s">
        <v>119</v>
      </c>
      <c r="AE401" s="3" t="s">
        <v>66</v>
      </c>
      <c r="AF401" s="3"/>
      <c r="AG401" s="3" t="s">
        <v>1531</v>
      </c>
    </row>
    <row r="402" spans="1:33" ht="15.75" customHeight="1">
      <c r="A402" s="5" t="s">
        <v>1532</v>
      </c>
      <c r="B402" s="4"/>
      <c r="C402" s="5" t="s">
        <v>1533</v>
      </c>
      <c r="D402" s="5" t="s">
        <v>81</v>
      </c>
      <c r="E402" s="13" t="str">
        <f t="shared" si="83"/>
        <v>Stephan</v>
      </c>
      <c r="F402" s="13" t="str">
        <f t="array" ref="F402">_xlfn.LET(
 _xlpm.authors,_xlfn.TEXTBEFORE(A402," ("&amp;G402&amp;")"),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2" s="13" t="str">
        <f t="shared" si="84"/>
        <v>1982</v>
      </c>
      <c r="H402" s="13" t="str">
        <f t="shared" si="85"/>
        <v>Stephan_etal_1982</v>
      </c>
      <c r="I402" s="13" t="str">
        <f t="shared" si="87"/>
        <v>PMID%3A7161483</v>
      </c>
      <c r="J402" s="13" t="str">
        <f t="shared" si="86"/>
        <v>Stephan_etal_1982_Table1</v>
      </c>
      <c r="K402" s="13" t="str">
        <f t="shared" si="82"/>
        <v>PMID%3A7161483_Table1</v>
      </c>
      <c r="L402" s="13" t="str">
        <f t="array" ref="L402">IFERROR(INDEX(AUTO_Public_TSV_FileList!$A$1:$A$1000,MATCH(TRUE(),EXACT(K402,IFERROR(_xlfn.TEXTBEFORE(AUTO_Public_TSV_FileList!$A$1:$A$1000,".tsv"),"")),0)),"notfound")</f>
        <v>PMID%3A7161483_Table1.tsv</v>
      </c>
      <c r="M402" s="5" t="s">
        <v>1534</v>
      </c>
      <c r="N402" s="5" t="s">
        <v>35</v>
      </c>
      <c r="O402" s="4"/>
      <c r="P402" s="5" t="s">
        <v>36</v>
      </c>
      <c r="Q402" s="4"/>
      <c r="R402" s="4"/>
      <c r="S402" s="4"/>
      <c r="T402" s="4"/>
      <c r="U402" s="4"/>
      <c r="V402" s="4"/>
      <c r="W402" s="5" t="s">
        <v>117</v>
      </c>
      <c r="X402" s="5" t="s">
        <v>172</v>
      </c>
      <c r="Y402" s="4"/>
      <c r="Z402" s="5" t="s">
        <v>83</v>
      </c>
      <c r="AA402" s="5" t="s">
        <v>130</v>
      </c>
      <c r="AB402" s="5" t="s">
        <v>90</v>
      </c>
      <c r="AC402" s="5" t="s">
        <v>119</v>
      </c>
      <c r="AD402" s="5" t="s">
        <v>119</v>
      </c>
      <c r="AE402" s="5" t="s">
        <v>66</v>
      </c>
      <c r="AF402" s="5"/>
      <c r="AG402" s="4"/>
    </row>
    <row r="403" spans="1:33" ht="15" customHeight="1">
      <c r="A403" s="5" t="s">
        <v>1535</v>
      </c>
      <c r="B403" s="4"/>
      <c r="C403" s="5" t="s">
        <v>1536</v>
      </c>
      <c r="D403" s="5" t="s">
        <v>58</v>
      </c>
      <c r="E403" s="13" t="str">
        <f t="shared" si="83"/>
        <v>Stephan</v>
      </c>
      <c r="F403" s="13" t="str">
        <f t="array" ref="F403">_xlfn.LET(
 _xlpm.authors,_xlfn.TEXTBEFORE(A403," ("&amp;G403&amp;")"),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3" s="13" t="str">
        <f t="shared" si="84"/>
        <v>1988</v>
      </c>
      <c r="H403" s="13" t="str">
        <f t="shared" si="85"/>
        <v>Stephan_etal_1988</v>
      </c>
      <c r="I403" s="13" t="str">
        <f t="shared" si="87"/>
        <v>ISBN%3A0845140000</v>
      </c>
      <c r="J403" s="13" t="str">
        <f t="shared" si="86"/>
        <v>Stephan_etal_1988_TABLE1</v>
      </c>
      <c r="K403" s="13" t="str">
        <f t="shared" si="82"/>
        <v>ISBN%3A0845140000_TABLE1</v>
      </c>
      <c r="L403" s="13" t="str">
        <f t="array" ref="L403">IFERROR(INDEX(AUTO_Public_TSV_FileList!$A$1:$A$1000,MATCH(TRUE(),EXACT(K403,IFERROR(_xlfn.TEXTBEFORE(AUTO_Public_TSV_FileList!$A$1:$A$1000,".tsv"),"")),0)),"notfound")</f>
        <v>ISBN%3A0845140000_TABLE1.tsv</v>
      </c>
      <c r="M403" s="5" t="s">
        <v>1537</v>
      </c>
      <c r="N403" s="4"/>
      <c r="O403" s="4"/>
      <c r="P403" s="4" t="s">
        <v>36</v>
      </c>
      <c r="Q403" s="4"/>
      <c r="R403" s="4"/>
      <c r="S403" s="4"/>
      <c r="T403" s="4"/>
      <c r="U403" s="4"/>
      <c r="V403" s="4"/>
      <c r="W403" s="4"/>
      <c r="X403" s="4"/>
      <c r="Y403" s="4"/>
      <c r="Z403" s="4"/>
      <c r="AA403" s="4"/>
      <c r="AB403" s="4"/>
      <c r="AC403" s="4"/>
      <c r="AD403" s="4"/>
      <c r="AE403" s="4"/>
      <c r="AF403" s="4"/>
      <c r="AG403" s="4"/>
    </row>
    <row r="404" spans="1:33" ht="15" customHeight="1">
      <c r="A404" s="5" t="s">
        <v>1538</v>
      </c>
      <c r="B404" s="4"/>
      <c r="C404" s="5"/>
      <c r="D404" s="5" t="s">
        <v>133</v>
      </c>
      <c r="E404" s="13" t="str">
        <f t="shared" si="83"/>
        <v>Stephan</v>
      </c>
      <c r="F404" s="13" t="str">
        <f t="array" ref="F404">_xlfn.LET(
 _xlpm.authors,_xlfn.TEXTBEFORE(A404," ("&amp;G404&amp;")"),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4" s="13" t="str">
        <f t="shared" si="84"/>
        <v>1991</v>
      </c>
      <c r="H404" s="13" t="str">
        <f t="shared" si="85"/>
        <v>Stephan_etal_1991</v>
      </c>
      <c r="I404" s="13" t="str">
        <f t="shared" si="87"/>
        <v>10.1007%2F978-1-4613-9124-1</v>
      </c>
      <c r="J404" s="13" t="str">
        <f t="shared" si="86"/>
        <v>Stephan_etal_1991_Table10</v>
      </c>
      <c r="K404" s="13" t="str">
        <f t="shared" si="82"/>
        <v>10.1007%2F978-1-4613-9124-1_Table10</v>
      </c>
      <c r="L404" s="13" t="str">
        <f t="array" ref="L404">IFERROR(INDEX(AUTO_Public_TSV_FileList!$A$1:$A$1000,MATCH(TRUE(),EXACT(K404,IFERROR(_xlfn.TEXTBEFORE(AUTO_Public_TSV_FileList!$A$1:$A$1000,".tsv"),"")),0)),"notfound")</f>
        <v>notfound</v>
      </c>
      <c r="M404" s="5" t="s">
        <v>1539</v>
      </c>
      <c r="N404" s="4"/>
      <c r="O404" s="4"/>
      <c r="P404" s="4"/>
      <c r="Q404" s="4"/>
      <c r="R404" s="4"/>
      <c r="S404" s="4"/>
      <c r="T404" s="4"/>
      <c r="U404" s="4"/>
      <c r="V404" s="4"/>
      <c r="W404" s="5"/>
      <c r="X404" s="5"/>
      <c r="Y404" s="4"/>
      <c r="Z404" s="5"/>
      <c r="AA404" s="5"/>
      <c r="AB404" s="5"/>
      <c r="AC404" s="4"/>
      <c r="AD404" s="5"/>
      <c r="AE404" s="5"/>
      <c r="AF404" s="5"/>
      <c r="AG404" s="4"/>
    </row>
    <row r="405" spans="1:33" ht="15" customHeight="1">
      <c r="A405" s="5" t="s">
        <v>1538</v>
      </c>
      <c r="B405" s="4"/>
      <c r="C405" s="5"/>
      <c r="D405" s="5" t="s">
        <v>134</v>
      </c>
      <c r="E405" s="13" t="str">
        <f t="shared" si="83"/>
        <v>Stephan</v>
      </c>
      <c r="F405" s="13" t="str">
        <f t="array" ref="F405">_xlfn.LET(
 _xlpm.authors,_xlfn.TEXTBEFORE(A405," ("&amp;G405&amp;")"),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5" s="13" t="str">
        <f t="shared" si="84"/>
        <v>1991</v>
      </c>
      <c r="H405" s="13" t="str">
        <f t="shared" si="85"/>
        <v>Stephan_etal_1991</v>
      </c>
      <c r="I405" s="13" t="str">
        <f t="shared" si="87"/>
        <v>10.1007%2F978-1-4613-9124-1</v>
      </c>
      <c r="J405" s="13" t="str">
        <f t="shared" si="86"/>
        <v>Stephan_etal_1991_Table13</v>
      </c>
      <c r="K405" s="13" t="str">
        <f t="shared" si="82"/>
        <v>10.1007%2F978-1-4613-9124-1_Table13</v>
      </c>
      <c r="L405" s="13" t="str">
        <f t="array" ref="L405">IFERROR(INDEX(AUTO_Public_TSV_FileList!$A$1:$A$1000,MATCH(TRUE(),EXACT(K405,IFERROR(_xlfn.TEXTBEFORE(AUTO_Public_TSV_FileList!$A$1:$A$1000,".tsv"),"")),0)),"notfound")</f>
        <v>notfound</v>
      </c>
      <c r="M405" s="5" t="s">
        <v>1540</v>
      </c>
      <c r="N405" s="4"/>
      <c r="O405" s="4"/>
      <c r="P405" s="4"/>
      <c r="Q405" s="4"/>
      <c r="R405" s="4"/>
      <c r="S405" s="4"/>
      <c r="T405" s="4"/>
      <c r="U405" s="4"/>
      <c r="V405" s="4"/>
      <c r="W405" s="5"/>
      <c r="X405" s="5"/>
      <c r="Y405" s="4"/>
      <c r="Z405" s="5"/>
      <c r="AA405" s="5"/>
      <c r="AB405" s="5"/>
      <c r="AC405" s="4"/>
      <c r="AD405" s="5"/>
      <c r="AE405" s="5"/>
      <c r="AF405" s="5"/>
      <c r="AG405" s="4"/>
    </row>
    <row r="406" spans="1:33" ht="15" customHeight="1">
      <c r="A406" s="5" t="s">
        <v>1538</v>
      </c>
      <c r="B406" s="4"/>
      <c r="C406" s="5"/>
      <c r="D406" s="5" t="s">
        <v>141</v>
      </c>
      <c r="E406" s="13" t="str">
        <f t="shared" si="83"/>
        <v>Stephan</v>
      </c>
      <c r="F406" s="13" t="str">
        <f t="array" ref="F406">_xlfn.LET(
 _xlpm.authors,_xlfn.TEXTBEFORE(A406," ("&amp;G406&amp;")"),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6" s="13" t="str">
        <f t="shared" si="84"/>
        <v>1991</v>
      </c>
      <c r="H406" s="13" t="str">
        <f t="shared" si="85"/>
        <v>Stephan_etal_1991</v>
      </c>
      <c r="I406" s="13" t="str">
        <f t="shared" si="87"/>
        <v>10.1007%2F978-1-4613-9124-1</v>
      </c>
      <c r="J406" s="13" t="str">
        <f t="shared" si="86"/>
        <v>Stephan_etal_1991_Table16</v>
      </c>
      <c r="K406" s="13" t="str">
        <f t="shared" si="82"/>
        <v>10.1007%2F978-1-4613-9124-1_Table16</v>
      </c>
      <c r="L406" s="13" t="str">
        <f t="array" ref="L406">IFERROR(INDEX(AUTO_Public_TSV_FileList!$A$1:$A$1000,MATCH(TRUE(),EXACT(K406,IFERROR(_xlfn.TEXTBEFORE(AUTO_Public_TSV_FileList!$A$1:$A$1000,".tsv"),"")),0)),"notfound")</f>
        <v>notfound</v>
      </c>
      <c r="M406" s="5" t="s">
        <v>1541</v>
      </c>
      <c r="N406" s="4"/>
      <c r="O406" s="4"/>
      <c r="P406" s="4"/>
      <c r="Q406" s="4"/>
      <c r="R406" s="4"/>
      <c r="S406" s="4"/>
      <c r="T406" s="4"/>
      <c r="U406" s="4"/>
      <c r="V406" s="4"/>
      <c r="W406" s="5"/>
      <c r="X406" s="5"/>
      <c r="Y406" s="4"/>
      <c r="Z406" s="5"/>
      <c r="AA406" s="5"/>
      <c r="AB406" s="5"/>
      <c r="AC406" s="4"/>
      <c r="AD406" s="5"/>
      <c r="AE406" s="5"/>
      <c r="AF406" s="5"/>
      <c r="AG406" s="4"/>
    </row>
    <row r="407" spans="1:33" ht="15" customHeight="1">
      <c r="A407" s="5" t="s">
        <v>1538</v>
      </c>
      <c r="B407" s="4"/>
      <c r="C407" s="5"/>
      <c r="D407" s="5" t="s">
        <v>145</v>
      </c>
      <c r="E407" s="13" t="str">
        <f t="shared" si="83"/>
        <v>Stephan</v>
      </c>
      <c r="F407" s="13" t="str">
        <f t="array" ref="F407">_xlfn.LET(
 _xlpm.authors,_xlfn.TEXTBEFORE(A407," ("&amp;G407&amp;")"),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7" s="13" t="str">
        <f t="shared" si="84"/>
        <v>1991</v>
      </c>
      <c r="H407" s="13" t="str">
        <f t="shared" si="85"/>
        <v>Stephan_etal_1991</v>
      </c>
      <c r="I407" s="13" t="str">
        <f t="shared" si="87"/>
        <v>10.1007%2F978-1-4613-9124-1</v>
      </c>
      <c r="J407" s="13" t="str">
        <f t="shared" si="86"/>
        <v>Stephan_etal_1991_Table19</v>
      </c>
      <c r="K407" s="13" t="str">
        <f t="shared" ref="K407:K438" si="88">I407 &amp; "_" &amp; SUBSTITUTE(SUBSTITUTE(SUBSTITUTE(D407,CHAR(160),"")," ",""),"_","")</f>
        <v>10.1007%2F978-1-4613-9124-1_Table19</v>
      </c>
      <c r="L407" s="13" t="str">
        <f t="array" ref="L407">IFERROR(INDEX(AUTO_Public_TSV_FileList!$A$1:$A$1000,MATCH(TRUE(),EXACT(K407,IFERROR(_xlfn.TEXTBEFORE(AUTO_Public_TSV_FileList!$A$1:$A$1000,".tsv"),"")),0)),"notfound")</f>
        <v>notfound</v>
      </c>
      <c r="M407" s="5" t="s">
        <v>1542</v>
      </c>
      <c r="N407" s="4"/>
      <c r="O407" s="4"/>
      <c r="P407" s="4"/>
      <c r="Q407" s="4"/>
      <c r="R407" s="4"/>
      <c r="S407" s="4"/>
      <c r="T407" s="4"/>
      <c r="U407" s="4"/>
      <c r="V407" s="4"/>
      <c r="W407" s="5"/>
      <c r="X407" s="5"/>
      <c r="Y407" s="4"/>
      <c r="Z407" s="5"/>
      <c r="AA407" s="5"/>
      <c r="AB407" s="5"/>
      <c r="AC407" s="4"/>
      <c r="AD407" s="5"/>
      <c r="AE407" s="5"/>
      <c r="AF407" s="5"/>
      <c r="AG407" s="4"/>
    </row>
    <row r="408" spans="1:33" ht="15" customHeight="1">
      <c r="A408" s="5" t="s">
        <v>1538</v>
      </c>
      <c r="B408" s="4"/>
      <c r="C408" s="5"/>
      <c r="D408" s="5" t="s">
        <v>70</v>
      </c>
      <c r="E408" s="13" t="str">
        <f t="shared" si="83"/>
        <v>Stephan</v>
      </c>
      <c r="F408" s="13" t="str">
        <f t="array" ref="F408">_xlfn.LET(
 _xlpm.authors,_xlfn.TEXTBEFORE(A408," ("&amp;G408&amp;")"),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8" s="13" t="str">
        <f t="shared" si="84"/>
        <v>1991</v>
      </c>
      <c r="H408" s="13" t="str">
        <f t="shared" si="85"/>
        <v>Stephan_etal_1991</v>
      </c>
      <c r="I408" s="13" t="str">
        <f t="shared" si="87"/>
        <v>10.1007%2F978-1-4613-9124-1</v>
      </c>
      <c r="J408" s="13" t="str">
        <f t="shared" si="86"/>
        <v>Stephan_etal_1991_Table2</v>
      </c>
      <c r="K408" s="13" t="str">
        <f t="shared" si="88"/>
        <v>10.1007%2F978-1-4613-9124-1_Table2</v>
      </c>
      <c r="L408" s="13" t="str">
        <f t="array" ref="L408">IFERROR(INDEX(AUTO_Public_TSV_FileList!$A$1:$A$1000,MATCH(TRUE(),EXACT(K408,IFERROR(_xlfn.TEXTBEFORE(AUTO_Public_TSV_FileList!$A$1:$A$1000,".tsv"),"")),0)),"notfound")</f>
        <v>notfound</v>
      </c>
      <c r="M408" s="5" t="s">
        <v>1543</v>
      </c>
      <c r="N408" s="4"/>
      <c r="O408" s="4"/>
      <c r="P408" s="4"/>
      <c r="Q408" s="4"/>
      <c r="R408" s="4"/>
      <c r="S408" s="4"/>
      <c r="T408" s="4"/>
      <c r="U408" s="4"/>
      <c r="V408" s="4"/>
      <c r="W408" s="5"/>
      <c r="X408" s="5"/>
      <c r="Y408" s="4"/>
      <c r="Z408" s="5"/>
      <c r="AA408" s="5"/>
      <c r="AB408" s="5"/>
      <c r="AC408" s="4"/>
      <c r="AD408" s="5"/>
      <c r="AE408" s="5"/>
      <c r="AF408" s="5"/>
      <c r="AG408" s="4"/>
    </row>
    <row r="409" spans="1:33" ht="15" customHeight="1">
      <c r="A409" s="5" t="s">
        <v>1538</v>
      </c>
      <c r="B409" s="4"/>
      <c r="C409" s="5"/>
      <c r="D409" s="5" t="s">
        <v>153</v>
      </c>
      <c r="E409" s="13" t="str">
        <f t="shared" si="83"/>
        <v>Stephan</v>
      </c>
      <c r="F409" s="13" t="str">
        <f t="array" ref="F409">_xlfn.LET(
 _xlpm.authors,_xlfn.TEXTBEFORE(A409," ("&amp;G409&amp;")"),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09" s="13" t="str">
        <f t="shared" si="84"/>
        <v>1991</v>
      </c>
      <c r="H409" s="13" t="str">
        <f t="shared" si="85"/>
        <v>Stephan_etal_1991</v>
      </c>
      <c r="I409" s="13" t="str">
        <f t="shared" si="87"/>
        <v>10.1007%2F978-1-4613-9124-1</v>
      </c>
      <c r="J409" s="13" t="str">
        <f t="shared" si="86"/>
        <v>Stephan_etal_1991_Table22</v>
      </c>
      <c r="K409" s="13" t="str">
        <f t="shared" si="88"/>
        <v>10.1007%2F978-1-4613-9124-1_Table22</v>
      </c>
      <c r="L409" s="13" t="str">
        <f t="array" ref="L409">IFERROR(INDEX(AUTO_Public_TSV_FileList!$A$1:$A$1000,MATCH(TRUE(),EXACT(K409,IFERROR(_xlfn.TEXTBEFORE(AUTO_Public_TSV_FileList!$A$1:$A$1000,".tsv"),"")),0)),"notfound")</f>
        <v>notfound</v>
      </c>
      <c r="M409" s="5" t="s">
        <v>1544</v>
      </c>
      <c r="N409" s="4"/>
      <c r="O409" s="4"/>
      <c r="P409" s="4"/>
      <c r="Q409" s="4"/>
      <c r="R409" s="4"/>
      <c r="S409" s="4"/>
      <c r="T409" s="4"/>
      <c r="U409" s="4"/>
      <c r="V409" s="4"/>
      <c r="W409" s="5"/>
      <c r="X409" s="5"/>
      <c r="Y409" s="4"/>
      <c r="Z409" s="5"/>
      <c r="AA409" s="5"/>
      <c r="AB409" s="5"/>
      <c r="AC409" s="4"/>
      <c r="AD409" s="5"/>
      <c r="AE409" s="5"/>
      <c r="AF409" s="5"/>
      <c r="AG409" s="4"/>
    </row>
    <row r="410" spans="1:33" ht="15" customHeight="1">
      <c r="A410" s="5" t="s">
        <v>1538</v>
      </c>
      <c r="B410" s="4"/>
      <c r="C410" s="5"/>
      <c r="D410" s="5" t="s">
        <v>157</v>
      </c>
      <c r="E410" s="13" t="str">
        <f t="shared" si="83"/>
        <v>Stephan</v>
      </c>
      <c r="F410" s="13" t="str">
        <f t="array" ref="F410">_xlfn.LET(
 _xlpm.authors,_xlfn.TEXTBEFORE(A410," ("&amp;G410&amp;")"),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0" s="13" t="str">
        <f t="shared" si="84"/>
        <v>1991</v>
      </c>
      <c r="H410" s="13" t="str">
        <f t="shared" si="85"/>
        <v>Stephan_etal_1991</v>
      </c>
      <c r="I410" s="13" t="str">
        <f t="shared" si="87"/>
        <v>10.1007%2F978-1-4613-9124-1</v>
      </c>
      <c r="J410" s="13" t="str">
        <f t="shared" si="86"/>
        <v>Stephan_etal_1991_Table25</v>
      </c>
      <c r="K410" s="13" t="str">
        <f t="shared" si="88"/>
        <v>10.1007%2F978-1-4613-9124-1_Table25</v>
      </c>
      <c r="L410" s="13" t="str">
        <f t="array" ref="L410">IFERROR(INDEX(AUTO_Public_TSV_FileList!$A$1:$A$1000,MATCH(TRUE(),EXACT(K410,IFERROR(_xlfn.TEXTBEFORE(AUTO_Public_TSV_FileList!$A$1:$A$1000,".tsv"),"")),0)),"notfound")</f>
        <v>notfound</v>
      </c>
      <c r="M410" s="5" t="s">
        <v>1545</v>
      </c>
      <c r="N410" s="4"/>
      <c r="O410" s="4"/>
      <c r="P410" s="4"/>
      <c r="Q410" s="4"/>
      <c r="R410" s="4"/>
      <c r="S410" s="4"/>
      <c r="T410" s="4"/>
      <c r="U410" s="4"/>
      <c r="V410" s="4"/>
      <c r="W410" s="5"/>
      <c r="X410" s="5"/>
      <c r="Y410" s="4"/>
      <c r="Z410" s="5"/>
      <c r="AA410" s="5"/>
      <c r="AB410" s="5"/>
      <c r="AC410" s="4"/>
      <c r="AD410" s="5"/>
      <c r="AE410" s="5"/>
      <c r="AF410" s="5"/>
      <c r="AG410" s="4"/>
    </row>
    <row r="411" spans="1:33" ht="15" customHeight="1">
      <c r="A411" s="5" t="s">
        <v>1538</v>
      </c>
      <c r="B411" s="4"/>
      <c r="C411" s="5"/>
      <c r="D411" s="5" t="s">
        <v>161</v>
      </c>
      <c r="E411" s="13" t="str">
        <f t="shared" si="83"/>
        <v>Stephan</v>
      </c>
      <c r="F411" s="13" t="str">
        <f t="array" ref="F411">_xlfn.LET(
 _xlpm.authors,_xlfn.TEXTBEFORE(A411," ("&amp;G411&amp;")"),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1" s="13" t="str">
        <f t="shared" si="84"/>
        <v>1991</v>
      </c>
      <c r="H411" s="13" t="str">
        <f t="shared" si="85"/>
        <v>Stephan_etal_1991</v>
      </c>
      <c r="I411" s="13" t="str">
        <f t="shared" si="87"/>
        <v>10.1007%2F978-1-4613-9124-1</v>
      </c>
      <c r="J411" s="13" t="str">
        <f t="shared" si="86"/>
        <v>Stephan_etal_1991_Table28</v>
      </c>
      <c r="K411" s="13" t="str">
        <f t="shared" si="88"/>
        <v>10.1007%2F978-1-4613-9124-1_Table28</v>
      </c>
      <c r="L411" s="13" t="str">
        <f t="array" ref="L411">IFERROR(INDEX(AUTO_Public_TSV_FileList!$A$1:$A$1000,MATCH(TRUE(),EXACT(K411,IFERROR(_xlfn.TEXTBEFORE(AUTO_Public_TSV_FileList!$A$1:$A$1000,".tsv"),"")),0)),"notfound")</f>
        <v>notfound</v>
      </c>
      <c r="M411" s="5" t="s">
        <v>1546</v>
      </c>
      <c r="N411" s="4"/>
      <c r="O411" s="4"/>
      <c r="P411" s="4"/>
      <c r="Q411" s="4"/>
      <c r="R411" s="4"/>
      <c r="S411" s="4"/>
      <c r="T411" s="4"/>
      <c r="U411" s="4"/>
      <c r="V411" s="4"/>
      <c r="W411" s="5"/>
      <c r="X411" s="5"/>
      <c r="Y411" s="4"/>
      <c r="Z411" s="5"/>
      <c r="AA411" s="5"/>
      <c r="AB411" s="5"/>
      <c r="AC411" s="4"/>
      <c r="AD411" s="5"/>
      <c r="AE411" s="5"/>
      <c r="AF411" s="5"/>
      <c r="AG411" s="4"/>
    </row>
    <row r="412" spans="1:33" ht="15" customHeight="1">
      <c r="A412" s="5" t="s">
        <v>1538</v>
      </c>
      <c r="B412" s="4"/>
      <c r="C412" s="5"/>
      <c r="D412" s="5" t="s">
        <v>1547</v>
      </c>
      <c r="E412" s="13" t="str">
        <f t="shared" si="83"/>
        <v>Stephan</v>
      </c>
      <c r="F412" s="13" t="str">
        <f t="array" ref="F412">_xlfn.LET(
 _xlpm.authors,_xlfn.TEXTBEFORE(A412," ("&amp;G412&amp;")"),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2" s="13" t="str">
        <f t="shared" si="84"/>
        <v>1991</v>
      </c>
      <c r="H412" s="13" t="str">
        <f t="shared" si="85"/>
        <v>Stephan_etal_1991</v>
      </c>
      <c r="I412" s="13" t="str">
        <f t="shared" si="87"/>
        <v>10.1007%2F978-1-4613-9124-1</v>
      </c>
      <c r="J412" s="13" t="str">
        <f t="shared" si="86"/>
        <v>Stephan_etal_1991_Table31</v>
      </c>
      <c r="K412" s="13" t="str">
        <f t="shared" si="88"/>
        <v>10.1007%2F978-1-4613-9124-1_Table31</v>
      </c>
      <c r="L412" s="13" t="str">
        <f t="array" ref="L412">IFERROR(INDEX(AUTO_Public_TSV_FileList!$A$1:$A$1000,MATCH(TRUE(),EXACT(K412,IFERROR(_xlfn.TEXTBEFORE(AUTO_Public_TSV_FileList!$A$1:$A$1000,".tsv"),"")),0)),"notfound")</f>
        <v>notfound</v>
      </c>
      <c r="M412" s="5" t="s">
        <v>1548</v>
      </c>
      <c r="N412" s="4"/>
      <c r="O412" s="4"/>
      <c r="P412" s="4"/>
      <c r="Q412" s="4"/>
      <c r="R412" s="4"/>
      <c r="S412" s="4"/>
      <c r="T412" s="4"/>
      <c r="U412" s="4"/>
      <c r="V412" s="4"/>
      <c r="W412" s="5"/>
      <c r="X412" s="5"/>
      <c r="Y412" s="4"/>
      <c r="Z412" s="5"/>
      <c r="AA412" s="5"/>
      <c r="AB412" s="5"/>
      <c r="AC412" s="4"/>
      <c r="AD412" s="5"/>
      <c r="AE412" s="5"/>
      <c r="AF412" s="5"/>
      <c r="AG412" s="4"/>
    </row>
    <row r="413" spans="1:33" ht="15" customHeight="1">
      <c r="A413" s="5" t="s">
        <v>1538</v>
      </c>
      <c r="B413" s="4"/>
      <c r="C413" s="5"/>
      <c r="D413" s="5" t="s">
        <v>1549</v>
      </c>
      <c r="E413" s="13" t="str">
        <f t="shared" si="83"/>
        <v>Stephan</v>
      </c>
      <c r="F413" s="13" t="str">
        <f t="array" ref="F413">_xlfn.LET(
 _xlpm.authors,_xlfn.TEXTBEFORE(A413," ("&amp;G413&amp;")"),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3" s="13" t="str">
        <f t="shared" si="84"/>
        <v>1991</v>
      </c>
      <c r="H413" s="13" t="str">
        <f t="shared" si="85"/>
        <v>Stephan_etal_1991</v>
      </c>
      <c r="I413" s="13" t="str">
        <f t="shared" si="87"/>
        <v>10.1007%2F978-1-4613-9124-1</v>
      </c>
      <c r="J413" s="13" t="str">
        <f t="shared" si="86"/>
        <v>Stephan_etal_1991_Table34</v>
      </c>
      <c r="K413" s="13" t="str">
        <f t="shared" si="88"/>
        <v>10.1007%2F978-1-4613-9124-1_Table34</v>
      </c>
      <c r="L413" s="13" t="str">
        <f t="array" ref="L413">IFERROR(INDEX(AUTO_Public_TSV_FileList!$A$1:$A$1000,MATCH(TRUE(),EXACT(K413,IFERROR(_xlfn.TEXTBEFORE(AUTO_Public_TSV_FileList!$A$1:$A$1000,".tsv"),"")),0)),"notfound")</f>
        <v>notfound</v>
      </c>
      <c r="M413" s="5" t="s">
        <v>1550</v>
      </c>
      <c r="N413" s="4"/>
      <c r="O413" s="4"/>
      <c r="P413" s="4"/>
      <c r="Q413" s="4"/>
      <c r="R413" s="4"/>
      <c r="S413" s="4"/>
      <c r="T413" s="4"/>
      <c r="U413" s="4"/>
      <c r="V413" s="4"/>
      <c r="W413" s="5"/>
      <c r="X413" s="5"/>
      <c r="Y413" s="4"/>
      <c r="Z413" s="5"/>
      <c r="AA413" s="5"/>
      <c r="AB413" s="5"/>
      <c r="AC413" s="4"/>
      <c r="AD413" s="5"/>
      <c r="AE413" s="5"/>
      <c r="AF413" s="5"/>
      <c r="AG413" s="4"/>
    </row>
    <row r="414" spans="1:33" ht="15" customHeight="1">
      <c r="A414" s="5" t="s">
        <v>1538</v>
      </c>
      <c r="B414" s="4"/>
      <c r="C414" s="5"/>
      <c r="D414" s="5" t="s">
        <v>1551</v>
      </c>
      <c r="E414" s="13" t="str">
        <f t="shared" si="83"/>
        <v>Stephan</v>
      </c>
      <c r="F414" s="13" t="str">
        <f t="array" ref="F414">_xlfn.LET(
 _xlpm.authors,_xlfn.TEXTBEFORE(A414," ("&amp;G414&amp;")"),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4" s="13" t="str">
        <f t="shared" si="84"/>
        <v>1991</v>
      </c>
      <c r="H414" s="13" t="str">
        <f t="shared" si="85"/>
        <v>Stephan_etal_1991</v>
      </c>
      <c r="I414" s="13" t="str">
        <f t="shared" si="87"/>
        <v>10.1007%2F978-1-4613-9124-1</v>
      </c>
      <c r="J414" s="13" t="str">
        <f t="shared" si="86"/>
        <v>Stephan_etal_1991_Table37</v>
      </c>
      <c r="K414" s="13" t="str">
        <f t="shared" si="88"/>
        <v>10.1007%2F978-1-4613-9124-1_Table37</v>
      </c>
      <c r="L414" s="13" t="str">
        <f t="array" ref="L414">IFERROR(INDEX(AUTO_Public_TSV_FileList!$A$1:$A$1000,MATCH(TRUE(),EXACT(K414,IFERROR(_xlfn.TEXTBEFORE(AUTO_Public_TSV_FileList!$A$1:$A$1000,".tsv"),"")),0)),"notfound")</f>
        <v>notfound</v>
      </c>
      <c r="M414" s="5" t="s">
        <v>1552</v>
      </c>
      <c r="N414" s="4"/>
      <c r="O414" s="4"/>
      <c r="P414" s="4"/>
      <c r="Q414" s="4"/>
      <c r="R414" s="4"/>
      <c r="S414" s="4"/>
      <c r="T414" s="4"/>
      <c r="U414" s="4"/>
      <c r="V414" s="4"/>
      <c r="W414" s="5"/>
      <c r="X414" s="5"/>
      <c r="Y414" s="4"/>
      <c r="Z414" s="5"/>
      <c r="AA414" s="5"/>
      <c r="AB414" s="5"/>
      <c r="AC414" s="4"/>
      <c r="AD414" s="5"/>
      <c r="AE414" s="5"/>
      <c r="AF414" s="5"/>
      <c r="AG414" s="4"/>
    </row>
    <row r="415" spans="1:33" ht="15" customHeight="1">
      <c r="A415" s="5" t="s">
        <v>1538</v>
      </c>
      <c r="B415" s="4"/>
      <c r="C415" s="5"/>
      <c r="D415" s="5" t="s">
        <v>1553</v>
      </c>
      <c r="E415" s="13" t="str">
        <f t="shared" si="83"/>
        <v>Stephan</v>
      </c>
      <c r="F415" s="13" t="str">
        <f t="array" ref="F415">_xlfn.LET(
 _xlpm.authors,_xlfn.TEXTBEFORE(A415," ("&amp;G415&amp;")"),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5" s="13" t="str">
        <f t="shared" si="84"/>
        <v>1991</v>
      </c>
      <c r="H415" s="13" t="str">
        <f t="shared" si="85"/>
        <v>Stephan_etal_1991</v>
      </c>
      <c r="I415" s="13" t="str">
        <f t="shared" si="87"/>
        <v>10.1007%2F978-1-4613-9124-1</v>
      </c>
      <c r="J415" s="13" t="str">
        <f t="shared" si="86"/>
        <v>Stephan_etal_1991_Table40</v>
      </c>
      <c r="K415" s="13" t="str">
        <f t="shared" si="88"/>
        <v>10.1007%2F978-1-4613-9124-1_Table40</v>
      </c>
      <c r="L415" s="13" t="str">
        <f t="array" ref="L415">IFERROR(INDEX(AUTO_Public_TSV_FileList!$A$1:$A$1000,MATCH(TRUE(),EXACT(K415,IFERROR(_xlfn.TEXTBEFORE(AUTO_Public_TSV_FileList!$A$1:$A$1000,".tsv"),"")),0)),"notfound")</f>
        <v>notfound</v>
      </c>
      <c r="M415" s="5" t="s">
        <v>1554</v>
      </c>
      <c r="N415" s="4"/>
      <c r="O415" s="4"/>
      <c r="P415" s="4"/>
      <c r="Q415" s="4"/>
      <c r="R415" s="4"/>
      <c r="S415" s="4"/>
      <c r="T415" s="4"/>
      <c r="U415" s="4"/>
      <c r="V415" s="4"/>
      <c r="W415" s="5"/>
      <c r="X415" s="5"/>
      <c r="Y415" s="4"/>
      <c r="Z415" s="5"/>
      <c r="AA415" s="5"/>
      <c r="AB415" s="5"/>
      <c r="AC415" s="4"/>
      <c r="AD415" s="5"/>
      <c r="AE415" s="5"/>
      <c r="AF415" s="5"/>
      <c r="AG415" s="4"/>
    </row>
    <row r="416" spans="1:33" ht="15" customHeight="1">
      <c r="A416" s="5" t="s">
        <v>1538</v>
      </c>
      <c r="B416" s="4"/>
      <c r="C416" s="5"/>
      <c r="D416" s="5" t="s">
        <v>1555</v>
      </c>
      <c r="E416" s="13" t="str">
        <f t="shared" si="83"/>
        <v>Stephan</v>
      </c>
      <c r="F416" s="13" t="str">
        <f t="array" ref="F416">_xlfn.LET(
 _xlpm.authors,_xlfn.TEXTBEFORE(A416," ("&amp;G416&amp;")"),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6" s="13" t="str">
        <f t="shared" si="84"/>
        <v>1991</v>
      </c>
      <c r="H416" s="13" t="str">
        <f t="shared" si="85"/>
        <v>Stephan_etal_1991</v>
      </c>
      <c r="I416" s="13" t="str">
        <f t="shared" si="87"/>
        <v>10.1007%2F978-1-4613-9124-1</v>
      </c>
      <c r="J416" s="13" t="str">
        <f t="shared" si="86"/>
        <v>Stephan_etal_1991_Table43</v>
      </c>
      <c r="K416" s="13" t="str">
        <f t="shared" si="88"/>
        <v>10.1007%2F978-1-4613-9124-1_Table43</v>
      </c>
      <c r="L416" s="13" t="str">
        <f t="array" ref="L416">IFERROR(INDEX(AUTO_Public_TSV_FileList!$A$1:$A$1000,MATCH(TRUE(),EXACT(K416,IFERROR(_xlfn.TEXTBEFORE(AUTO_Public_TSV_FileList!$A$1:$A$1000,".tsv"),"")),0)),"notfound")</f>
        <v>notfound</v>
      </c>
      <c r="M416" s="5" t="s">
        <v>1556</v>
      </c>
      <c r="N416" s="4"/>
      <c r="O416" s="4"/>
      <c r="P416" s="4"/>
      <c r="Q416" s="4"/>
      <c r="R416" s="4"/>
      <c r="S416" s="4"/>
      <c r="T416" s="4"/>
      <c r="U416" s="4"/>
      <c r="V416" s="4"/>
      <c r="W416" s="5"/>
      <c r="X416" s="5"/>
      <c r="Y416" s="4"/>
      <c r="Z416" s="5"/>
      <c r="AA416" s="5"/>
      <c r="AB416" s="5"/>
      <c r="AC416" s="4"/>
      <c r="AD416" s="5"/>
      <c r="AE416" s="5"/>
      <c r="AF416" s="5"/>
      <c r="AG416" s="4"/>
    </row>
    <row r="417" spans="1:33" ht="15" customHeight="1">
      <c r="A417" s="5" t="s">
        <v>1538</v>
      </c>
      <c r="B417" s="4"/>
      <c r="C417" s="5"/>
      <c r="D417" s="5" t="s">
        <v>1557</v>
      </c>
      <c r="E417" s="13" t="str">
        <f t="shared" si="83"/>
        <v>Stephan</v>
      </c>
      <c r="F417" s="13" t="str">
        <f t="array" ref="F417">_xlfn.LET(
 _xlpm.authors,_xlfn.TEXTBEFORE(A417," ("&amp;G417&amp;")"),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7" s="13" t="str">
        <f t="shared" si="84"/>
        <v>1991</v>
      </c>
      <c r="H417" s="13" t="str">
        <f t="shared" si="85"/>
        <v>Stephan_etal_1991</v>
      </c>
      <c r="I417" s="13" t="str">
        <f t="shared" si="87"/>
        <v>10.1007%2F978-1-4613-9124-1</v>
      </c>
      <c r="J417" s="13" t="str">
        <f t="shared" si="86"/>
        <v>Stephan_etal_1991_Table46</v>
      </c>
      <c r="K417" s="13" t="str">
        <f t="shared" si="88"/>
        <v>10.1007%2F978-1-4613-9124-1_Table46</v>
      </c>
      <c r="L417" s="13" t="str">
        <f t="array" ref="L417">IFERROR(INDEX(AUTO_Public_TSV_FileList!$A$1:$A$1000,MATCH(TRUE(),EXACT(K417,IFERROR(_xlfn.TEXTBEFORE(AUTO_Public_TSV_FileList!$A$1:$A$1000,".tsv"),"")),0)),"notfound")</f>
        <v>notfound</v>
      </c>
      <c r="M417" s="5" t="s">
        <v>1558</v>
      </c>
      <c r="N417" s="4"/>
      <c r="O417" s="4"/>
      <c r="P417" s="4"/>
      <c r="Q417" s="4"/>
      <c r="R417" s="4"/>
      <c r="S417" s="4"/>
      <c r="T417" s="4"/>
      <c r="U417" s="4"/>
      <c r="V417" s="4"/>
      <c r="W417" s="5"/>
      <c r="X417" s="5"/>
      <c r="Y417" s="4"/>
      <c r="Z417" s="5"/>
      <c r="AA417" s="5"/>
      <c r="AB417" s="5"/>
      <c r="AC417" s="4"/>
      <c r="AD417" s="5"/>
      <c r="AE417" s="5"/>
      <c r="AF417" s="5"/>
      <c r="AG417" s="4"/>
    </row>
    <row r="418" spans="1:33" ht="15" customHeight="1">
      <c r="A418" s="5" t="s">
        <v>1538</v>
      </c>
      <c r="B418" s="4"/>
      <c r="C418" s="5"/>
      <c r="D418" s="5" t="s">
        <v>1559</v>
      </c>
      <c r="E418" s="13" t="str">
        <f t="shared" si="83"/>
        <v>Stephan</v>
      </c>
      <c r="F418" s="13" t="str">
        <f t="array" ref="F418">_xlfn.LET(
 _xlpm.authors,_xlfn.TEXTBEFORE(A418," ("&amp;G418&amp;")"),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8" s="13" t="str">
        <f t="shared" si="84"/>
        <v>1991</v>
      </c>
      <c r="H418" s="13" t="str">
        <f t="shared" si="85"/>
        <v>Stephan_etal_1991</v>
      </c>
      <c r="I418" s="13" t="str">
        <f t="shared" si="87"/>
        <v>10.1007%2F978-1-4613-9124-1</v>
      </c>
      <c r="J418" s="13" t="str">
        <f t="shared" si="86"/>
        <v>Stephan_etal_1991_Table49</v>
      </c>
      <c r="K418" s="13" t="str">
        <f t="shared" si="88"/>
        <v>10.1007%2F978-1-4613-9124-1_Table49</v>
      </c>
      <c r="L418" s="13" t="str">
        <f t="array" ref="L418">IFERROR(INDEX(AUTO_Public_TSV_FileList!$A$1:$A$1000,MATCH(TRUE(),EXACT(K418,IFERROR(_xlfn.TEXTBEFORE(AUTO_Public_TSV_FileList!$A$1:$A$1000,".tsv"),"")),0)),"notfound")</f>
        <v>notfound</v>
      </c>
      <c r="M418" s="5" t="s">
        <v>1560</v>
      </c>
      <c r="N418" s="4"/>
      <c r="O418" s="4"/>
      <c r="P418" s="4"/>
      <c r="Q418" s="4"/>
      <c r="R418" s="4"/>
      <c r="S418" s="4"/>
      <c r="T418" s="4"/>
      <c r="U418" s="4"/>
      <c r="V418" s="4"/>
      <c r="W418" s="5"/>
      <c r="X418" s="5"/>
      <c r="Y418" s="4"/>
      <c r="Z418" s="5"/>
      <c r="AA418" s="5"/>
      <c r="AB418" s="5"/>
      <c r="AC418" s="4"/>
      <c r="AD418" s="5"/>
      <c r="AE418" s="5"/>
      <c r="AF418" s="5"/>
      <c r="AG418" s="4"/>
    </row>
    <row r="419" spans="1:33" ht="15" customHeight="1">
      <c r="A419" s="5" t="s">
        <v>1538</v>
      </c>
      <c r="B419" s="4"/>
      <c r="C419" s="5"/>
      <c r="D419" s="5" t="s">
        <v>74</v>
      </c>
      <c r="E419" s="13" t="str">
        <f t="shared" si="83"/>
        <v>Stephan</v>
      </c>
      <c r="F419" s="13" t="str">
        <f t="array" ref="F419">_xlfn.LET(
 _xlpm.authors,_xlfn.TEXTBEFORE(A419," ("&amp;G419&amp;")"),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19" s="13" t="str">
        <f t="shared" si="84"/>
        <v>1991</v>
      </c>
      <c r="H419" s="13" t="str">
        <f t="shared" si="85"/>
        <v>Stephan_etal_1991</v>
      </c>
      <c r="I419" s="13" t="str">
        <f t="shared" si="87"/>
        <v>10.1007%2F978-1-4613-9124-1</v>
      </c>
      <c r="J419" s="13" t="str">
        <f t="shared" si="86"/>
        <v>Stephan_etal_1991_Table5</v>
      </c>
      <c r="K419" s="13" t="str">
        <f t="shared" si="88"/>
        <v>10.1007%2F978-1-4613-9124-1_Table5</v>
      </c>
      <c r="L419" s="13" t="str">
        <f t="array" ref="L419">IFERROR(INDEX(AUTO_Public_TSV_FileList!$A$1:$A$1000,MATCH(TRUE(),EXACT(K419,IFERROR(_xlfn.TEXTBEFORE(AUTO_Public_TSV_FileList!$A$1:$A$1000,".tsv"),"")),0)),"notfound")</f>
        <v>notfound</v>
      </c>
      <c r="M419" s="5" t="s">
        <v>1561</v>
      </c>
      <c r="N419" s="4"/>
      <c r="O419" s="4"/>
      <c r="P419" s="4"/>
      <c r="Q419" s="4"/>
      <c r="R419" s="4"/>
      <c r="S419" s="4"/>
      <c r="T419" s="4"/>
      <c r="U419" s="4"/>
      <c r="V419" s="4"/>
      <c r="W419" s="5"/>
      <c r="X419" s="5"/>
      <c r="Y419" s="4"/>
      <c r="Z419" s="5"/>
      <c r="AA419" s="5"/>
      <c r="AB419" s="5"/>
      <c r="AC419" s="4"/>
      <c r="AD419" s="5"/>
      <c r="AE419" s="5"/>
      <c r="AF419" s="5"/>
      <c r="AG419" s="4"/>
    </row>
    <row r="420" spans="1:33" ht="15" customHeight="1">
      <c r="A420" s="5" t="s">
        <v>1538</v>
      </c>
      <c r="B420" s="4"/>
      <c r="C420" s="5"/>
      <c r="D420" s="5" t="s">
        <v>1562</v>
      </c>
      <c r="E420" s="13" t="str">
        <f t="shared" si="83"/>
        <v>Stephan</v>
      </c>
      <c r="F420" s="13" t="str">
        <f t="array" ref="F420">_xlfn.LET(
 _xlpm.authors,_xlfn.TEXTBEFORE(A420," ("&amp;G420&amp;")"),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0" s="13" t="str">
        <f t="shared" si="84"/>
        <v>1991</v>
      </c>
      <c r="H420" s="13" t="str">
        <f t="shared" si="85"/>
        <v>Stephan_etal_1991</v>
      </c>
      <c r="I420" s="13" t="str">
        <f t="shared" si="87"/>
        <v>10.1007%2F978-1-4613-9124-1</v>
      </c>
      <c r="J420" s="13" t="str">
        <f t="shared" si="86"/>
        <v>Stephan_etal_1991_Table52</v>
      </c>
      <c r="K420" s="13" t="str">
        <f t="shared" si="88"/>
        <v>10.1007%2F978-1-4613-9124-1_Table52</v>
      </c>
      <c r="L420" s="13" t="str">
        <f t="array" ref="L420">IFERROR(INDEX(AUTO_Public_TSV_FileList!$A$1:$A$1000,MATCH(TRUE(),EXACT(K420,IFERROR(_xlfn.TEXTBEFORE(AUTO_Public_TSV_FileList!$A$1:$A$1000,".tsv"),"")),0)),"notfound")</f>
        <v>notfound</v>
      </c>
      <c r="M420" s="5" t="s">
        <v>1563</v>
      </c>
      <c r="N420" s="4"/>
      <c r="O420" s="4"/>
      <c r="P420" s="4"/>
      <c r="Q420" s="4"/>
      <c r="R420" s="4"/>
      <c r="S420" s="4"/>
      <c r="T420" s="4"/>
      <c r="U420" s="4"/>
      <c r="V420" s="4"/>
      <c r="W420" s="5"/>
      <c r="X420" s="5"/>
      <c r="Y420" s="4"/>
      <c r="Z420" s="5"/>
      <c r="AA420" s="5"/>
      <c r="AB420" s="5"/>
      <c r="AC420" s="4"/>
      <c r="AD420" s="5"/>
      <c r="AE420" s="5"/>
      <c r="AF420" s="5"/>
      <c r="AG420" s="4"/>
    </row>
    <row r="421" spans="1:33" ht="15" customHeight="1">
      <c r="A421" s="5" t="s">
        <v>1538</v>
      </c>
      <c r="B421" s="4"/>
      <c r="C421" s="5"/>
      <c r="D421" s="5" t="s">
        <v>1564</v>
      </c>
      <c r="E421" s="13" t="str">
        <f t="shared" si="83"/>
        <v>Stephan</v>
      </c>
      <c r="F421" s="13" t="str">
        <f t="array" ref="F421">_xlfn.LET(
 _xlpm.authors,_xlfn.TEXTBEFORE(A421," ("&amp;G421&amp;")"),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1" s="13" t="str">
        <f t="shared" si="84"/>
        <v>1991</v>
      </c>
      <c r="H421" s="13" t="str">
        <f t="shared" si="85"/>
        <v>Stephan_etal_1991</v>
      </c>
      <c r="I421" s="13" t="str">
        <f t="shared" si="87"/>
        <v>10.1007%2F978-1-4613-9124-1</v>
      </c>
      <c r="J421" s="13" t="str">
        <f t="shared" si="86"/>
        <v>Stephan_etal_1991_Table55</v>
      </c>
      <c r="K421" s="13" t="str">
        <f t="shared" si="88"/>
        <v>10.1007%2F978-1-4613-9124-1_Table55</v>
      </c>
      <c r="L421" s="13" t="str">
        <f t="array" ref="L421">IFERROR(INDEX(AUTO_Public_TSV_FileList!$A$1:$A$1000,MATCH(TRUE(),EXACT(K421,IFERROR(_xlfn.TEXTBEFORE(AUTO_Public_TSV_FileList!$A$1:$A$1000,".tsv"),"")),0)),"notfound")</f>
        <v>notfound</v>
      </c>
      <c r="M421" s="5" t="s">
        <v>1565</v>
      </c>
      <c r="N421" s="4"/>
      <c r="O421" s="4"/>
      <c r="P421" s="4"/>
      <c r="Q421" s="4"/>
      <c r="R421" s="4"/>
      <c r="S421" s="4"/>
      <c r="T421" s="4"/>
      <c r="U421" s="4"/>
      <c r="V421" s="4"/>
      <c r="W421" s="5"/>
      <c r="X421" s="5"/>
      <c r="Y421" s="4"/>
      <c r="Z421" s="5"/>
      <c r="AA421" s="5"/>
      <c r="AB421" s="5"/>
      <c r="AC421" s="4"/>
      <c r="AD421" s="5"/>
      <c r="AE421" s="5"/>
      <c r="AF421" s="5"/>
      <c r="AG421" s="4"/>
    </row>
    <row r="422" spans="1:33" ht="15" customHeight="1">
      <c r="A422" s="5" t="s">
        <v>1538</v>
      </c>
      <c r="B422" s="4"/>
      <c r="C422" s="5"/>
      <c r="D422" s="5" t="s">
        <v>1566</v>
      </c>
      <c r="E422" s="13" t="str">
        <f t="shared" si="83"/>
        <v>Stephan</v>
      </c>
      <c r="F422" s="13" t="str">
        <f t="array" ref="F422">_xlfn.LET(
 _xlpm.authors,_xlfn.TEXTBEFORE(A422," ("&amp;G422&amp;")"),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2" s="13" t="str">
        <f t="shared" si="84"/>
        <v>1991</v>
      </c>
      <c r="H422" s="13" t="str">
        <f t="shared" si="85"/>
        <v>Stephan_etal_1991</v>
      </c>
      <c r="I422" s="13" t="str">
        <f t="shared" si="87"/>
        <v>10.1007%2F978-1-4613-9124-1</v>
      </c>
      <c r="J422" s="13" t="str">
        <f t="shared" si="86"/>
        <v>Stephan_etal_1991_Table58</v>
      </c>
      <c r="K422" s="13" t="str">
        <f t="shared" si="88"/>
        <v>10.1007%2F978-1-4613-9124-1_Table58</v>
      </c>
      <c r="L422" s="13" t="str">
        <f t="array" ref="L422">IFERROR(INDEX(AUTO_Public_TSV_FileList!$A$1:$A$1000,MATCH(TRUE(),EXACT(K422,IFERROR(_xlfn.TEXTBEFORE(AUTO_Public_TSV_FileList!$A$1:$A$1000,".tsv"),"")),0)),"notfound")</f>
        <v>notfound</v>
      </c>
      <c r="M422" s="5" t="s">
        <v>1567</v>
      </c>
      <c r="N422" s="4"/>
      <c r="O422" s="4"/>
      <c r="P422" s="4"/>
      <c r="Q422" s="4"/>
      <c r="R422" s="4"/>
      <c r="S422" s="4"/>
      <c r="T422" s="4"/>
      <c r="U422" s="4"/>
      <c r="V422" s="4"/>
      <c r="W422" s="5"/>
      <c r="X422" s="5"/>
      <c r="Y422" s="4"/>
      <c r="Z422" s="5"/>
      <c r="AA422" s="5"/>
      <c r="AB422" s="5"/>
      <c r="AC422" s="4"/>
      <c r="AD422" s="5"/>
      <c r="AE422" s="5"/>
      <c r="AF422" s="5"/>
      <c r="AG422" s="4"/>
    </row>
    <row r="423" spans="1:33" ht="15" customHeight="1">
      <c r="A423" s="5" t="s">
        <v>1538</v>
      </c>
      <c r="B423" s="4"/>
      <c r="C423" s="5"/>
      <c r="D423" s="5" t="s">
        <v>1568</v>
      </c>
      <c r="E423" s="13" t="str">
        <f t="shared" si="83"/>
        <v>Stephan</v>
      </c>
      <c r="F423" s="13" t="str">
        <f t="array" ref="F423">_xlfn.LET(
 _xlpm.authors,_xlfn.TEXTBEFORE(A423," ("&amp;G423&amp;")"),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3" s="13" t="str">
        <f t="shared" si="84"/>
        <v>1991</v>
      </c>
      <c r="H423" s="13" t="str">
        <f t="shared" si="85"/>
        <v>Stephan_etal_1991</v>
      </c>
      <c r="I423" s="13" t="str">
        <f t="shared" si="87"/>
        <v>10.1007%2F978-1-4613-9124-1</v>
      </c>
      <c r="J423" s="13" t="str">
        <f t="shared" si="86"/>
        <v>Stephan_etal_1991_Table61</v>
      </c>
      <c r="K423" s="13" t="str">
        <f t="shared" si="88"/>
        <v>10.1007%2F978-1-4613-9124-1_Table61</v>
      </c>
      <c r="L423" s="13" t="str">
        <f t="array" ref="L423">IFERROR(INDEX(AUTO_Public_TSV_FileList!$A$1:$A$1000,MATCH(TRUE(),EXACT(K423,IFERROR(_xlfn.TEXTBEFORE(AUTO_Public_TSV_FileList!$A$1:$A$1000,".tsv"),"")),0)),"notfound")</f>
        <v>notfound</v>
      </c>
      <c r="M423" s="5" t="s">
        <v>1569</v>
      </c>
      <c r="N423" s="4"/>
      <c r="O423" s="4"/>
      <c r="P423" s="4"/>
      <c r="Q423" s="4"/>
      <c r="R423" s="4"/>
      <c r="S423" s="4"/>
      <c r="T423" s="4"/>
      <c r="U423" s="4"/>
      <c r="V423" s="4"/>
      <c r="W423" s="5"/>
      <c r="X423" s="5"/>
      <c r="Y423" s="4"/>
      <c r="Z423" s="5"/>
      <c r="AA423" s="5"/>
      <c r="AB423" s="5"/>
      <c r="AC423" s="4"/>
      <c r="AD423" s="5"/>
      <c r="AE423" s="5"/>
      <c r="AF423" s="5"/>
      <c r="AG423" s="4"/>
    </row>
    <row r="424" spans="1:33" ht="15" customHeight="1">
      <c r="A424" s="5" t="s">
        <v>1538</v>
      </c>
      <c r="B424" s="4"/>
      <c r="C424" s="5"/>
      <c r="D424" s="5" t="s">
        <v>1570</v>
      </c>
      <c r="E424" s="13" t="str">
        <f t="shared" si="83"/>
        <v>Stephan</v>
      </c>
      <c r="F424" s="13" t="str">
        <f t="array" ref="F424">_xlfn.LET(
 _xlpm.authors,_xlfn.TEXTBEFORE(A424," ("&amp;G424&amp;")"),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4" s="13" t="str">
        <f t="shared" si="84"/>
        <v>1991</v>
      </c>
      <c r="H424" s="13" t="str">
        <f t="shared" si="85"/>
        <v>Stephan_etal_1991</v>
      </c>
      <c r="I424" s="13" t="str">
        <f t="shared" si="87"/>
        <v>10.1007%2F978-1-4613-9124-1</v>
      </c>
      <c r="J424" s="13" t="str">
        <f t="shared" si="86"/>
        <v>Stephan_etal_1991_Table64</v>
      </c>
      <c r="K424" s="13" t="str">
        <f t="shared" si="88"/>
        <v>10.1007%2F978-1-4613-9124-1_Table64</v>
      </c>
      <c r="L424" s="13" t="str">
        <f t="array" ref="L424">IFERROR(INDEX(AUTO_Public_TSV_FileList!$A$1:$A$1000,MATCH(TRUE(),EXACT(K424,IFERROR(_xlfn.TEXTBEFORE(AUTO_Public_TSV_FileList!$A$1:$A$1000,".tsv"),"")),0)),"notfound")</f>
        <v>notfound</v>
      </c>
      <c r="M424" s="5" t="s">
        <v>1571</v>
      </c>
      <c r="N424" s="4"/>
      <c r="O424" s="4"/>
      <c r="P424" s="4"/>
      <c r="Q424" s="4"/>
      <c r="R424" s="4"/>
      <c r="S424" s="4"/>
      <c r="T424" s="4"/>
      <c r="U424" s="4"/>
      <c r="V424" s="4"/>
      <c r="W424" s="5"/>
      <c r="X424" s="5"/>
      <c r="Y424" s="4"/>
      <c r="Z424" s="5"/>
      <c r="AA424" s="5"/>
      <c r="AB424" s="5"/>
      <c r="AC424" s="4"/>
      <c r="AD424" s="5"/>
      <c r="AE424" s="5"/>
      <c r="AF424" s="5"/>
      <c r="AG424" s="4"/>
    </row>
    <row r="425" spans="1:33" ht="15" customHeight="1">
      <c r="A425" s="5" t="s">
        <v>1538</v>
      </c>
      <c r="B425" s="4"/>
      <c r="C425" s="5"/>
      <c r="D425" s="5" t="s">
        <v>1572</v>
      </c>
      <c r="E425" s="13" t="str">
        <f t="shared" si="83"/>
        <v>Stephan</v>
      </c>
      <c r="F425" s="13" t="str">
        <f t="array" ref="F425">_xlfn.LET(
 _xlpm.authors,_xlfn.TEXTBEFORE(A425," ("&amp;G425&amp;")"),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5" s="13" t="str">
        <f t="shared" si="84"/>
        <v>1991</v>
      </c>
      <c r="H425" s="13" t="str">
        <f t="shared" si="85"/>
        <v>Stephan_etal_1991</v>
      </c>
      <c r="I425" s="13" t="str">
        <f t="shared" si="87"/>
        <v>10.1007%2F978-1-4613-9124-1</v>
      </c>
      <c r="J425" s="13" t="str">
        <f t="shared" si="86"/>
        <v>Stephan_etal_1991_Table65</v>
      </c>
      <c r="K425" s="13" t="str">
        <f t="shared" si="88"/>
        <v>10.1007%2F978-1-4613-9124-1_Table65</v>
      </c>
      <c r="L425" s="13" t="str">
        <f t="array" ref="L425">IFERROR(INDEX(AUTO_Public_TSV_FileList!$A$1:$A$1000,MATCH(TRUE(),EXACT(K425,IFERROR(_xlfn.TEXTBEFORE(AUTO_Public_TSV_FileList!$A$1:$A$1000,".tsv"),"")),0)),"notfound")</f>
        <v>notfound</v>
      </c>
      <c r="M425" s="5" t="s">
        <v>1573</v>
      </c>
      <c r="N425" s="4"/>
      <c r="O425" s="4"/>
      <c r="P425" s="4"/>
      <c r="Q425" s="4"/>
      <c r="R425" s="4"/>
      <c r="S425" s="4"/>
      <c r="T425" s="4"/>
      <c r="U425" s="4"/>
      <c r="V425" s="4"/>
      <c r="W425" s="5"/>
      <c r="X425" s="5"/>
      <c r="Y425" s="4"/>
      <c r="Z425" s="5"/>
      <c r="AA425" s="5"/>
      <c r="AB425" s="5"/>
      <c r="AC425" s="4"/>
      <c r="AD425" s="5"/>
      <c r="AE425" s="5"/>
      <c r="AF425" s="5"/>
      <c r="AG425" s="4"/>
    </row>
    <row r="426" spans="1:33" ht="15" customHeight="1">
      <c r="A426" s="5" t="s">
        <v>1538</v>
      </c>
      <c r="B426" s="4"/>
      <c r="C426" s="5"/>
      <c r="D426" s="5" t="s">
        <v>1574</v>
      </c>
      <c r="E426" s="13" t="str">
        <f t="shared" si="83"/>
        <v>Stephan</v>
      </c>
      <c r="F426" s="13" t="str">
        <f t="array" ref="F426">_xlfn.LET(
 _xlpm.authors,_xlfn.TEXTBEFORE(A426," ("&amp;G426&amp;")"),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6" s="13" t="str">
        <f t="shared" si="84"/>
        <v>1991</v>
      </c>
      <c r="H426" s="13" t="str">
        <f t="shared" si="85"/>
        <v>Stephan_etal_1991</v>
      </c>
      <c r="I426" s="13" t="str">
        <f t="shared" si="87"/>
        <v>10.1007%2F978-1-4613-9124-1</v>
      </c>
      <c r="J426" s="13" t="str">
        <f t="shared" si="86"/>
        <v>Stephan_etal_1991_Table68</v>
      </c>
      <c r="K426" s="13" t="str">
        <f t="shared" si="88"/>
        <v>10.1007%2F978-1-4613-9124-1_Table68</v>
      </c>
      <c r="L426" s="13" t="str">
        <f t="array" ref="L426">IFERROR(INDEX(AUTO_Public_TSV_FileList!$A$1:$A$1000,MATCH(TRUE(),EXACT(K426,IFERROR(_xlfn.TEXTBEFORE(AUTO_Public_TSV_FileList!$A$1:$A$1000,".tsv"),"")),0)),"notfound")</f>
        <v>notfound</v>
      </c>
      <c r="M426" s="5" t="s">
        <v>1575</v>
      </c>
      <c r="N426" s="4"/>
      <c r="O426" s="4"/>
      <c r="P426" s="4"/>
      <c r="Q426" s="4"/>
      <c r="R426" s="4"/>
      <c r="S426" s="4"/>
      <c r="T426" s="4"/>
      <c r="U426" s="4"/>
      <c r="V426" s="4"/>
      <c r="W426" s="5"/>
      <c r="X426" s="5"/>
      <c r="Y426" s="4"/>
      <c r="Z426" s="5"/>
      <c r="AA426" s="5"/>
      <c r="AB426" s="5"/>
      <c r="AC426" s="4"/>
      <c r="AD426" s="5"/>
      <c r="AE426" s="5"/>
      <c r="AF426" s="5"/>
      <c r="AG426" s="4"/>
    </row>
    <row r="427" spans="1:33" ht="15" customHeight="1">
      <c r="A427" s="5" t="s">
        <v>1538</v>
      </c>
      <c r="B427" s="4"/>
      <c r="C427" s="5"/>
      <c r="D427" s="5" t="s">
        <v>1576</v>
      </c>
      <c r="E427" s="13" t="str">
        <f t="shared" si="83"/>
        <v>Stephan</v>
      </c>
      <c r="F427" s="13" t="str">
        <f t="array" ref="F427">_xlfn.LET(
 _xlpm.authors,_xlfn.TEXTBEFORE(A427," ("&amp;G427&amp;")"),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7" s="13" t="str">
        <f t="shared" si="84"/>
        <v>1991</v>
      </c>
      <c r="H427" s="13" t="str">
        <f t="shared" si="85"/>
        <v>Stephan_etal_1991</v>
      </c>
      <c r="I427" s="13" t="str">
        <f t="shared" si="87"/>
        <v>10.1007%2F978-1-4613-9124-1</v>
      </c>
      <c r="J427" s="13" t="str">
        <f t="shared" si="86"/>
        <v>Stephan_etal_1991_Table71</v>
      </c>
      <c r="K427" s="13" t="str">
        <f t="shared" si="88"/>
        <v>10.1007%2F978-1-4613-9124-1_Table71</v>
      </c>
      <c r="L427" s="13" t="str">
        <f t="array" ref="L427">IFERROR(INDEX(AUTO_Public_TSV_FileList!$A$1:$A$1000,MATCH(TRUE(),EXACT(K427,IFERROR(_xlfn.TEXTBEFORE(AUTO_Public_TSV_FileList!$A$1:$A$1000,".tsv"),"")),0)),"notfound")</f>
        <v>notfound</v>
      </c>
      <c r="M427" s="5" t="s">
        <v>1577</v>
      </c>
      <c r="N427" s="4"/>
      <c r="O427" s="4"/>
      <c r="P427" s="4"/>
      <c r="Q427" s="4"/>
      <c r="R427" s="4"/>
      <c r="S427" s="4"/>
      <c r="T427" s="4"/>
      <c r="U427" s="4"/>
      <c r="V427" s="4"/>
      <c r="W427" s="5"/>
      <c r="X427" s="5"/>
      <c r="Y427" s="4"/>
      <c r="Z427" s="5"/>
      <c r="AA427" s="5"/>
      <c r="AB427" s="5"/>
      <c r="AC427" s="4"/>
      <c r="AD427" s="5"/>
      <c r="AE427" s="5"/>
      <c r="AF427" s="5"/>
      <c r="AG427" s="4"/>
    </row>
    <row r="428" spans="1:33" ht="15" customHeight="1">
      <c r="A428" s="5" t="s">
        <v>1538</v>
      </c>
      <c r="B428" s="4"/>
      <c r="C428" s="5"/>
      <c r="D428" s="5" t="s">
        <v>204</v>
      </c>
      <c r="E428" s="13" t="str">
        <f t="shared" si="83"/>
        <v>Stephan</v>
      </c>
      <c r="F428" s="13" t="str">
        <f t="array" ref="F428">_xlfn.LET(
 _xlpm.authors,_xlfn.TEXTBEFORE(A428," ("&amp;G428&amp;")"),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8" s="13" t="str">
        <f t="shared" si="84"/>
        <v>1991</v>
      </c>
      <c r="H428" s="13" t="str">
        <f t="shared" si="85"/>
        <v>Stephan_etal_1991</v>
      </c>
      <c r="I428" s="13" t="str">
        <f t="shared" si="87"/>
        <v>10.1007%2F978-1-4613-9124-1</v>
      </c>
      <c r="J428" s="13" t="str">
        <f t="shared" si="86"/>
        <v>Stephan_etal_1991_Table8</v>
      </c>
      <c r="K428" s="13" t="str">
        <f t="shared" si="88"/>
        <v>10.1007%2F978-1-4613-9124-1_Table8</v>
      </c>
      <c r="L428" s="13" t="str">
        <f t="array" ref="L428">IFERROR(INDEX(AUTO_Public_TSV_FileList!$A$1:$A$1000,MATCH(TRUE(),EXACT(K428,IFERROR(_xlfn.TEXTBEFORE(AUTO_Public_TSV_FileList!$A$1:$A$1000,".tsv"),"")),0)),"notfound")</f>
        <v>notfound</v>
      </c>
      <c r="M428" s="5" t="s">
        <v>1578</v>
      </c>
      <c r="N428" s="4"/>
      <c r="O428" s="4"/>
      <c r="P428" s="4"/>
      <c r="Q428" s="4"/>
      <c r="R428" s="4"/>
      <c r="S428" s="4"/>
      <c r="T428" s="4"/>
      <c r="U428" s="4"/>
      <c r="V428" s="4"/>
      <c r="W428" s="5"/>
      <c r="X428" s="5"/>
      <c r="Y428" s="4"/>
      <c r="Z428" s="5"/>
      <c r="AA428" s="5"/>
      <c r="AB428" s="5"/>
      <c r="AC428" s="4"/>
      <c r="AD428" s="5"/>
      <c r="AE428" s="5"/>
      <c r="AF428" s="5"/>
      <c r="AG428" s="4"/>
    </row>
    <row r="429" spans="1:33" ht="15" customHeight="1">
      <c r="A429" s="5" t="s">
        <v>1579</v>
      </c>
      <c r="B429" s="4"/>
      <c r="C429" s="5" t="s">
        <v>1580</v>
      </c>
      <c r="D429" s="5" t="s">
        <v>58</v>
      </c>
      <c r="E429" s="13" t="str">
        <f t="shared" si="83"/>
        <v>Stephan</v>
      </c>
      <c r="F429" s="13" t="str">
        <f t="array" ref="F429">_xlfn.LET(
 _xlpm.authors,_xlfn.TEXTBEFORE(A429," ("&amp;G429&amp;")"),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29" s="13" t="str">
        <f t="shared" si="84"/>
        <v>1970</v>
      </c>
      <c r="H429" s="13" t="str">
        <f t="shared" si="85"/>
        <v>Stephan_etal_1970</v>
      </c>
      <c r="I429" s="13" t="str">
        <f t="shared" si="87"/>
        <v>ISBN%3A0390672505</v>
      </c>
      <c r="J429" s="13" t="str">
        <f t="shared" si="86"/>
        <v>Stephan_etal_1970_TABLE1</v>
      </c>
      <c r="K429" s="13" t="str">
        <f t="shared" si="88"/>
        <v>ISBN%3A0390672505_TABLE1</v>
      </c>
      <c r="L429" s="13" t="str">
        <f t="array" ref="L429">IFERROR(INDEX(AUTO_Public_TSV_FileList!$A$1:$A$1000,MATCH(TRUE(),EXACT(K429,IFERROR(_xlfn.TEXTBEFORE(AUTO_Public_TSV_FileList!$A$1:$A$1000,".tsv"),"")),0)),"notfound")</f>
        <v>ISBN%3A0390672505_TABLE1.tsv</v>
      </c>
      <c r="M429" s="5" t="s">
        <v>1581</v>
      </c>
      <c r="N429" s="5" t="s">
        <v>35</v>
      </c>
      <c r="O429" s="4"/>
      <c r="P429" s="4" t="s">
        <v>36</v>
      </c>
      <c r="Q429" s="4"/>
      <c r="R429" s="4"/>
      <c r="S429" s="4"/>
      <c r="T429" s="4"/>
      <c r="U429" s="4"/>
      <c r="V429" s="4"/>
      <c r="W429" s="5" t="s">
        <v>1582</v>
      </c>
      <c r="X429" s="4"/>
      <c r="Y429" s="4"/>
      <c r="Z429" s="5" t="s">
        <v>83</v>
      </c>
      <c r="AA429" s="5" t="s">
        <v>130</v>
      </c>
      <c r="AB429" s="5" t="s">
        <v>90</v>
      </c>
      <c r="AC429" s="4"/>
      <c r="AD429" s="5" t="s">
        <v>119</v>
      </c>
      <c r="AE429" s="5" t="s">
        <v>66</v>
      </c>
      <c r="AF429" s="5"/>
      <c r="AG429" s="4"/>
    </row>
    <row r="430" spans="1:33" ht="15" customHeight="1">
      <c r="A430" s="5" t="s">
        <v>1579</v>
      </c>
      <c r="B430" s="4"/>
      <c r="C430" s="5" t="s">
        <v>1580</v>
      </c>
      <c r="D430" s="5" t="s">
        <v>110</v>
      </c>
      <c r="E430" s="13" t="str">
        <f t="shared" si="83"/>
        <v>Stephan</v>
      </c>
      <c r="F430" s="13" t="str">
        <f t="array" ref="F430">_xlfn.LET(
 _xlpm.authors,_xlfn.TEXTBEFORE(A430," ("&amp;G430&amp;")"),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0" s="13" t="str">
        <f t="shared" si="84"/>
        <v>1970</v>
      </c>
      <c r="H430" s="13" t="str">
        <f t="shared" si="85"/>
        <v>Stephan_etal_1970</v>
      </c>
      <c r="I430" s="13" t="str">
        <f t="shared" si="87"/>
        <v>ISBN%3A0390672505</v>
      </c>
      <c r="J430" s="13" t="str">
        <f t="shared" si="86"/>
        <v>Stephan_etal_1970_TABLE2</v>
      </c>
      <c r="K430" s="13" t="str">
        <f t="shared" si="88"/>
        <v>ISBN%3A0390672505_TABLE2</v>
      </c>
      <c r="L430" s="13" t="str">
        <f t="array" ref="L430">IFERROR(INDEX(AUTO_Public_TSV_FileList!$A$1:$A$1000,MATCH(TRUE(),EXACT(K430,IFERROR(_xlfn.TEXTBEFORE(AUTO_Public_TSV_FileList!$A$1:$A$1000,".tsv"),"")),0)),"notfound")</f>
        <v>ISBN%3A0390672505_TABLE2.tsv</v>
      </c>
      <c r="M430" s="5" t="s">
        <v>1583</v>
      </c>
      <c r="N430" s="5" t="s">
        <v>35</v>
      </c>
      <c r="O430" s="4"/>
      <c r="P430" s="4" t="s">
        <v>36</v>
      </c>
      <c r="Q430" s="4"/>
      <c r="R430" s="4"/>
      <c r="S430" s="4"/>
      <c r="T430" s="4"/>
      <c r="U430" s="4"/>
      <c r="V430" s="4"/>
      <c r="W430" s="5" t="s">
        <v>100</v>
      </c>
      <c r="X430" s="4"/>
      <c r="Y430" s="4"/>
      <c r="Z430" s="5" t="s">
        <v>83</v>
      </c>
      <c r="AA430" s="5" t="s">
        <v>130</v>
      </c>
      <c r="AB430" s="5" t="s">
        <v>90</v>
      </c>
      <c r="AC430" s="4"/>
      <c r="AD430" s="5" t="s">
        <v>119</v>
      </c>
      <c r="AE430" s="5" t="s">
        <v>66</v>
      </c>
      <c r="AF430" s="5"/>
      <c r="AG430" s="4"/>
    </row>
    <row r="431" spans="1:33" ht="15" customHeight="1">
      <c r="A431" s="5" t="s">
        <v>1579</v>
      </c>
      <c r="B431" s="4"/>
      <c r="C431" s="5" t="s">
        <v>1580</v>
      </c>
      <c r="D431" s="5" t="s">
        <v>287</v>
      </c>
      <c r="E431" s="13" t="str">
        <f t="shared" si="83"/>
        <v>Stephan</v>
      </c>
      <c r="F431" s="13" t="str">
        <f t="array" ref="F431">_xlfn.LET(
 _xlpm.authors,_xlfn.TEXTBEFORE(A431," ("&amp;G431&amp;")"),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1" s="13" t="str">
        <f t="shared" si="84"/>
        <v>1970</v>
      </c>
      <c r="H431" s="13" t="str">
        <f t="shared" si="85"/>
        <v>Stephan_etal_1970</v>
      </c>
      <c r="I431" s="13" t="str">
        <f t="shared" si="87"/>
        <v>ISBN%3A0390672505</v>
      </c>
      <c r="J431" s="13" t="str">
        <f t="shared" si="86"/>
        <v>Stephan_etal_1970_TABLE3</v>
      </c>
      <c r="K431" s="13" t="str">
        <f t="shared" si="88"/>
        <v>ISBN%3A0390672505_TABLE3</v>
      </c>
      <c r="L431" s="13" t="str">
        <f t="array" ref="L431">IFERROR(INDEX(AUTO_Public_TSV_FileList!$A$1:$A$1000,MATCH(TRUE(),EXACT(K431,IFERROR(_xlfn.TEXTBEFORE(AUTO_Public_TSV_FileList!$A$1:$A$1000,".tsv"),"")),0)),"notfound")</f>
        <v>ISBN%3A0390672505_TABLE3.tsv</v>
      </c>
      <c r="M431" s="5" t="s">
        <v>1584</v>
      </c>
      <c r="N431" s="5" t="s">
        <v>35</v>
      </c>
      <c r="O431" s="4"/>
      <c r="P431" s="4" t="s">
        <v>36</v>
      </c>
      <c r="Q431" s="4"/>
      <c r="R431" s="4"/>
      <c r="S431" s="4"/>
      <c r="T431" s="4"/>
      <c r="U431" s="4"/>
      <c r="V431" s="4"/>
      <c r="W431" s="5" t="s">
        <v>100</v>
      </c>
      <c r="X431" s="4"/>
      <c r="Y431" s="4"/>
      <c r="Z431" s="5" t="s">
        <v>83</v>
      </c>
      <c r="AA431" s="5" t="s">
        <v>130</v>
      </c>
      <c r="AB431" s="5" t="s">
        <v>90</v>
      </c>
      <c r="AC431" s="4"/>
      <c r="AD431" s="5" t="s">
        <v>119</v>
      </c>
      <c r="AE431" s="5" t="s">
        <v>66</v>
      </c>
      <c r="AF431" s="5"/>
      <c r="AG431" s="4"/>
    </row>
    <row r="432" spans="1:33" ht="15" customHeight="1">
      <c r="A432" s="5" t="s">
        <v>1579</v>
      </c>
      <c r="B432" s="4"/>
      <c r="C432" s="5" t="s">
        <v>1580</v>
      </c>
      <c r="D432" s="5" t="s">
        <v>1328</v>
      </c>
      <c r="E432" s="13" t="str">
        <f t="shared" si="83"/>
        <v>Stephan</v>
      </c>
      <c r="F432" s="13" t="str">
        <f t="array" ref="F432">_xlfn.LET(
 _xlpm.authors,_xlfn.TEXTBEFORE(A432," ("&amp;G432&amp;")"),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2" s="13" t="str">
        <f t="shared" si="84"/>
        <v>1970</v>
      </c>
      <c r="H432" s="13" t="str">
        <f t="shared" si="85"/>
        <v>Stephan_etal_1970</v>
      </c>
      <c r="I432" s="13" t="str">
        <f t="shared" ref="I432:I457" si="89">_xlfn.LET(
_xlpm.doi,IF(C432&lt;&gt;"",C432,_xlfn.TEXTAFTER(A432,"https://doi.org/")),
SUBSTITUTE(
SUBSTITUTE(
SUBSTITUTE(
SUBSTITUTE(
_xlpm.doi,
"/","%2F"),
":","%3A"),
"&lt;","%3C"),
"&gt;","%3E")
)</f>
        <v>ISBN%3A0390672505</v>
      </c>
      <c r="J432" s="13" t="str">
        <f t="shared" si="86"/>
        <v>Stephan_etal_1970_TABLE4</v>
      </c>
      <c r="K432" s="13" t="str">
        <f t="shared" si="88"/>
        <v>ISBN%3A0390672505_TABLE4</v>
      </c>
      <c r="L432" s="13" t="str">
        <f t="array" ref="L432">IFERROR(INDEX(AUTO_Public_TSV_FileList!$A$1:$A$1000,MATCH(TRUE(),EXACT(K432,IFERROR(_xlfn.TEXTBEFORE(AUTO_Public_TSV_FileList!$A$1:$A$1000,".tsv"),"")),0)),"notfound")</f>
        <v>ISBN%3A0390672505_TABLE4.tsv</v>
      </c>
      <c r="M432" s="5" t="s">
        <v>1585</v>
      </c>
      <c r="N432" s="5" t="s">
        <v>35</v>
      </c>
      <c r="O432" s="4"/>
      <c r="P432" s="4" t="s">
        <v>36</v>
      </c>
      <c r="Q432" s="4"/>
      <c r="R432" s="4"/>
      <c r="S432" s="4"/>
      <c r="T432" s="4"/>
      <c r="U432" s="4"/>
      <c r="V432" s="4"/>
      <c r="W432" s="5" t="s">
        <v>1582</v>
      </c>
      <c r="X432" s="4"/>
      <c r="Y432" s="4"/>
      <c r="Z432" s="5" t="s">
        <v>83</v>
      </c>
      <c r="AA432" s="5" t="s">
        <v>130</v>
      </c>
      <c r="AB432" s="5" t="s">
        <v>90</v>
      </c>
      <c r="AC432" s="4"/>
      <c r="AD432" s="5" t="s">
        <v>119</v>
      </c>
      <c r="AE432" s="5" t="s">
        <v>66</v>
      </c>
      <c r="AF432" s="5"/>
      <c r="AG432" s="4"/>
    </row>
    <row r="433" spans="1:33" ht="15" customHeight="1">
      <c r="A433" s="5" t="s">
        <v>1579</v>
      </c>
      <c r="B433" s="4"/>
      <c r="C433" s="5" t="s">
        <v>1580</v>
      </c>
      <c r="D433" s="5" t="s">
        <v>1332</v>
      </c>
      <c r="E433" s="13" t="str">
        <f t="shared" si="83"/>
        <v>Stephan</v>
      </c>
      <c r="F433" s="13" t="str">
        <f t="array" ref="F433">_xlfn.LET(
 _xlpm.authors,_xlfn.TEXTBEFORE(A433," ("&amp;G433&amp;")"),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3" s="13" t="str">
        <f t="shared" si="84"/>
        <v>1970</v>
      </c>
      <c r="H433" s="13" t="str">
        <f t="shared" si="85"/>
        <v>Stephan_etal_1970</v>
      </c>
      <c r="I433" s="13" t="str">
        <f t="shared" si="89"/>
        <v>ISBN%3A0390672505</v>
      </c>
      <c r="J433" s="13" t="str">
        <f t="shared" si="86"/>
        <v>Stephan_etal_1970_TABLE5</v>
      </c>
      <c r="K433" s="13" t="str">
        <f t="shared" si="88"/>
        <v>ISBN%3A0390672505_TABLE5</v>
      </c>
      <c r="L433" s="13" t="str">
        <f t="array" ref="L433">IFERROR(INDEX(AUTO_Public_TSV_FileList!$A$1:$A$1000,MATCH(TRUE(),EXACT(K433,IFERROR(_xlfn.TEXTBEFORE(AUTO_Public_TSV_FileList!$A$1:$A$1000,".tsv"),"")),0)),"notfound")</f>
        <v>ISBN%3A0390672505_TABLE5.tsv</v>
      </c>
      <c r="M433" s="5" t="s">
        <v>1586</v>
      </c>
      <c r="N433" s="5" t="s">
        <v>35</v>
      </c>
      <c r="O433" s="4"/>
      <c r="P433" s="4" t="s">
        <v>36</v>
      </c>
      <c r="Q433" s="4"/>
      <c r="R433" s="4"/>
      <c r="S433" s="4"/>
      <c r="T433" s="4"/>
      <c r="U433" s="4"/>
      <c r="V433" s="4"/>
      <c r="W433" s="5" t="s">
        <v>100</v>
      </c>
      <c r="X433" s="4"/>
      <c r="Y433" s="4"/>
      <c r="Z433" s="5" t="s">
        <v>83</v>
      </c>
      <c r="AA433" s="5" t="s">
        <v>130</v>
      </c>
      <c r="AB433" s="5" t="s">
        <v>90</v>
      </c>
      <c r="AC433" s="4"/>
      <c r="AD433" s="5" t="s">
        <v>119</v>
      </c>
      <c r="AE433" s="5" t="s">
        <v>66</v>
      </c>
      <c r="AF433" s="5"/>
      <c r="AG433" s="4"/>
    </row>
    <row r="434" spans="1:33" ht="15" customHeight="1">
      <c r="A434" s="5" t="s">
        <v>1579</v>
      </c>
      <c r="B434" s="4"/>
      <c r="C434" s="5" t="s">
        <v>1580</v>
      </c>
      <c r="D434" s="5" t="s">
        <v>1587</v>
      </c>
      <c r="E434" s="13" t="str">
        <f t="shared" si="83"/>
        <v>Stephan</v>
      </c>
      <c r="F434" s="13" t="str">
        <f t="array" ref="F434">_xlfn.LET(
 _xlpm.authors,_xlfn.TEXTBEFORE(A434," ("&amp;G434&amp;")"),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4" s="13" t="str">
        <f t="shared" si="84"/>
        <v>1970</v>
      </c>
      <c r="H434" s="13" t="str">
        <f t="shared" si="85"/>
        <v>Stephan_etal_1970</v>
      </c>
      <c r="I434" s="13" t="str">
        <f t="shared" si="89"/>
        <v>ISBN%3A0390672505</v>
      </c>
      <c r="J434" s="13" t="str">
        <f t="shared" si="86"/>
        <v>Stephan_etal_1970_TABLE6</v>
      </c>
      <c r="K434" s="13" t="str">
        <f t="shared" si="88"/>
        <v>ISBN%3A0390672505_TABLE6</v>
      </c>
      <c r="L434" s="13" t="str">
        <f t="array" ref="L434">IFERROR(INDEX(AUTO_Public_TSV_FileList!$A$1:$A$1000,MATCH(TRUE(),EXACT(K434,IFERROR(_xlfn.TEXTBEFORE(AUTO_Public_TSV_FileList!$A$1:$A$1000,".tsv"),"")),0)),"notfound")</f>
        <v>ISBN%3A0390672505_TABLE6.tsv</v>
      </c>
      <c r="M434" s="5" t="s">
        <v>1588</v>
      </c>
      <c r="N434" s="5" t="s">
        <v>35</v>
      </c>
      <c r="O434" s="4"/>
      <c r="P434" s="4" t="s">
        <v>36</v>
      </c>
      <c r="Q434" s="4"/>
      <c r="R434" s="4"/>
      <c r="S434" s="4"/>
      <c r="T434" s="4"/>
      <c r="U434" s="4"/>
      <c r="V434" s="4"/>
      <c r="W434" s="5" t="s">
        <v>100</v>
      </c>
      <c r="X434" s="4"/>
      <c r="Y434" s="4"/>
      <c r="Z434" s="5" t="s">
        <v>83</v>
      </c>
      <c r="AA434" s="5" t="s">
        <v>130</v>
      </c>
      <c r="AB434" s="5" t="s">
        <v>90</v>
      </c>
      <c r="AC434" s="4"/>
      <c r="AD434" s="5" t="s">
        <v>119</v>
      </c>
      <c r="AE434" s="5" t="s">
        <v>66</v>
      </c>
      <c r="AF434" s="5"/>
      <c r="AG434" s="4"/>
    </row>
    <row r="435" spans="1:33" ht="15" customHeight="1">
      <c r="A435" s="5" t="s">
        <v>1579</v>
      </c>
      <c r="B435" s="4"/>
      <c r="C435" s="5" t="s">
        <v>1580</v>
      </c>
      <c r="D435" s="5" t="s">
        <v>1589</v>
      </c>
      <c r="E435" s="13" t="str">
        <f t="shared" si="83"/>
        <v>Stephan</v>
      </c>
      <c r="F435" s="13" t="str">
        <f t="array" ref="F435">_xlfn.LET(
 _xlpm.authors,_xlfn.TEXTBEFORE(A435," ("&amp;G435&amp;")"),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5" s="13" t="str">
        <f t="shared" si="84"/>
        <v>1970</v>
      </c>
      <c r="H435" s="13" t="str">
        <f t="shared" si="85"/>
        <v>Stephan_etal_1970</v>
      </c>
      <c r="I435" s="13" t="str">
        <f t="shared" si="89"/>
        <v>ISBN%3A0390672505</v>
      </c>
      <c r="J435" s="13" t="str">
        <f t="shared" si="86"/>
        <v>Stephan_etal_1970_Tables1-6</v>
      </c>
      <c r="K435" s="13" t="str">
        <f t="shared" si="88"/>
        <v>ISBN%3A0390672505_Tables1-6</v>
      </c>
      <c r="L435" s="13" t="str">
        <f t="array" ref="L435">IFERROR(INDEX(AUTO_Public_TSV_FileList!$A$1:$A$1000,MATCH(TRUE(),EXACT(K435,IFERROR(_xlfn.TEXTBEFORE(AUTO_Public_TSV_FileList!$A$1:$A$1000,".tsv"),"")),0)),"notfound")</f>
        <v>ISBN%3A0390672505_Tables1-6.tsv</v>
      </c>
      <c r="M435" s="4"/>
      <c r="N435" s="5" t="s">
        <v>1590</v>
      </c>
      <c r="O435" s="5" t="s">
        <v>1591</v>
      </c>
      <c r="P435" s="5" t="s">
        <v>36</v>
      </c>
      <c r="Q435" s="4"/>
      <c r="R435" s="4"/>
      <c r="S435" s="4"/>
      <c r="T435" s="4"/>
      <c r="U435" s="4"/>
      <c r="V435" s="4"/>
      <c r="W435" s="5" t="s">
        <v>117</v>
      </c>
      <c r="X435" s="4"/>
      <c r="Y435" s="4"/>
      <c r="Z435" s="5" t="s">
        <v>83</v>
      </c>
      <c r="AA435" s="5" t="s">
        <v>130</v>
      </c>
      <c r="AB435" s="5" t="s">
        <v>90</v>
      </c>
      <c r="AC435" s="5" t="s">
        <v>119</v>
      </c>
      <c r="AD435" s="5" t="s">
        <v>119</v>
      </c>
      <c r="AE435" s="5" t="s">
        <v>66</v>
      </c>
      <c r="AF435" s="5"/>
      <c r="AG435" s="4"/>
    </row>
    <row r="436" spans="1:33" ht="15" customHeight="1">
      <c r="A436" s="5" t="s">
        <v>1592</v>
      </c>
      <c r="B436" s="4"/>
      <c r="C436" s="5" t="s">
        <v>1593</v>
      </c>
      <c r="D436" s="5" t="s">
        <v>81</v>
      </c>
      <c r="E436" s="13" t="str">
        <f t="shared" si="83"/>
        <v>Stephan</v>
      </c>
      <c r="F436" s="13" t="str">
        <f t="array" ref="F436">_xlfn.LET(
 _xlpm.authors,_xlfn.TEXTBEFORE(A436," ("&amp;G436&amp;")"),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6" s="13" t="str">
        <f t="shared" si="84"/>
        <v>1984</v>
      </c>
      <c r="H436" s="13" t="str">
        <f t="shared" si="85"/>
        <v>Stephan_etal_1984</v>
      </c>
      <c r="I436" s="13" t="str">
        <f t="shared" si="89"/>
        <v>PMID%3A6481154</v>
      </c>
      <c r="J436" s="13" t="str">
        <f t="shared" si="86"/>
        <v>Stephan_etal_1984_Table1</v>
      </c>
      <c r="K436" s="13" t="str">
        <f t="shared" si="88"/>
        <v>PMID%3A6481154_Table1</v>
      </c>
      <c r="L436" s="13" t="str">
        <f t="array" ref="L436">IFERROR(INDEX(AUTO_Public_TSV_FileList!$A$1:$A$1000,MATCH(TRUE(),EXACT(K436,IFERROR(_xlfn.TEXTBEFORE(AUTO_Public_TSV_FileList!$A$1:$A$1000,".tsv"),"")),0)),"notfound")</f>
        <v>PMID%3A6481154_Table1.tsv</v>
      </c>
      <c r="M436" s="5" t="s">
        <v>1594</v>
      </c>
      <c r="N436" s="5" t="s">
        <v>35</v>
      </c>
      <c r="O436" s="4"/>
      <c r="P436" s="5" t="s">
        <v>36</v>
      </c>
      <c r="Q436" s="4"/>
      <c r="R436" s="4"/>
      <c r="S436" s="4"/>
      <c r="T436" s="4"/>
      <c r="U436" s="4"/>
      <c r="V436" s="4"/>
      <c r="W436" s="5" t="s">
        <v>117</v>
      </c>
      <c r="X436" s="5" t="s">
        <v>1595</v>
      </c>
      <c r="Y436" s="4"/>
      <c r="Z436" s="5" t="s">
        <v>83</v>
      </c>
      <c r="AA436" s="5" t="s">
        <v>130</v>
      </c>
      <c r="AB436" s="5" t="s">
        <v>90</v>
      </c>
      <c r="AC436" s="5" t="s">
        <v>119</v>
      </c>
      <c r="AD436" s="5" t="s">
        <v>119</v>
      </c>
      <c r="AE436" s="5" t="s">
        <v>66</v>
      </c>
      <c r="AF436" s="5"/>
      <c r="AG436" s="4"/>
    </row>
    <row r="437" spans="1:33" ht="15" customHeight="1">
      <c r="A437" s="5" t="s">
        <v>1596</v>
      </c>
      <c r="B437" s="4"/>
      <c r="C437" s="5" t="s">
        <v>1597</v>
      </c>
      <c r="D437" s="5" t="s">
        <v>81</v>
      </c>
      <c r="E437" s="13" t="str">
        <f t="shared" si="83"/>
        <v>Stephan</v>
      </c>
      <c r="F437" s="13" t="str">
        <f t="array" ref="F437">_xlfn.LET(
 _xlpm.authors,_xlfn.TEXTBEFORE(A437," ("&amp;G437&amp;")"),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7" s="13" t="str">
        <f t="shared" si="84"/>
        <v>1987</v>
      </c>
      <c r="H437" s="13" t="str">
        <f t="shared" si="85"/>
        <v>Stephan_etal_1987</v>
      </c>
      <c r="I437" s="13" t="str">
        <f t="shared" si="89"/>
        <v>PMID%3A3693895</v>
      </c>
      <c r="J437" s="13" t="str">
        <f t="shared" si="86"/>
        <v>Stephan_etal_1987_Table1</v>
      </c>
      <c r="K437" s="13" t="str">
        <f t="shared" si="88"/>
        <v>PMID%3A3693895_Table1</v>
      </c>
      <c r="L437" s="13" t="str">
        <f t="array" ref="L437">IFERROR(INDEX(AUTO_Public_TSV_FileList!$A$1:$A$1000,MATCH(TRUE(),EXACT(K437,IFERROR(_xlfn.TEXTBEFORE(AUTO_Public_TSV_FileList!$A$1:$A$1000,".tsv"),"")),0)),"notfound")</f>
        <v>PMID%3A3693895_Table1.tsv</v>
      </c>
      <c r="M437" s="5" t="s">
        <v>1598</v>
      </c>
      <c r="N437" s="5" t="s">
        <v>35</v>
      </c>
      <c r="O437" s="4"/>
      <c r="P437" s="5" t="s">
        <v>36</v>
      </c>
      <c r="Q437" s="4"/>
      <c r="R437" s="4"/>
      <c r="S437" s="4"/>
      <c r="T437" s="4"/>
      <c r="U437" s="4"/>
      <c r="V437" s="4"/>
      <c r="W437" s="5" t="s">
        <v>117</v>
      </c>
      <c r="X437" s="5" t="s">
        <v>1599</v>
      </c>
      <c r="Y437" s="4"/>
      <c r="Z437" s="5" t="s">
        <v>83</v>
      </c>
      <c r="AA437" s="5" t="s">
        <v>130</v>
      </c>
      <c r="AB437" s="5" t="s">
        <v>90</v>
      </c>
      <c r="AC437" s="5" t="s">
        <v>119</v>
      </c>
      <c r="AD437" s="5" t="s">
        <v>119</v>
      </c>
      <c r="AE437" s="5" t="s">
        <v>66</v>
      </c>
      <c r="AF437" s="5"/>
      <c r="AG437" s="4"/>
    </row>
    <row r="438" spans="1:33" ht="15" customHeight="1">
      <c r="A438" s="5" t="s">
        <v>1600</v>
      </c>
      <c r="B438" s="4"/>
      <c r="C438" s="4"/>
      <c r="D438" s="5" t="s">
        <v>568</v>
      </c>
      <c r="E438" s="13" t="str">
        <f t="shared" si="83"/>
        <v>Stephan</v>
      </c>
      <c r="F438" s="13" t="str">
        <f t="array" ref="F438">_xlfn.LET(
 _xlpm.authors,_xlfn.TEXTBEFORE(A438," ("&amp;G438&amp;")"),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8" s="13" t="str">
        <f t="shared" si="84"/>
        <v>1981</v>
      </c>
      <c r="H438" s="13" t="str">
        <f t="shared" si="85"/>
        <v>Stephan_etal_1981</v>
      </c>
      <c r="I438" s="13" t="str">
        <f t="shared" si="89"/>
        <v>10.1159%2F000155963</v>
      </c>
      <c r="J438" s="13" t="str">
        <f t="shared" si="86"/>
        <v>Stephan_etal_1981_TableI</v>
      </c>
      <c r="K438" s="13" t="str">
        <f t="shared" si="88"/>
        <v>10.1159%2F000155963_TableI</v>
      </c>
      <c r="L438" s="13" t="str">
        <f t="array" ref="L438">IFERROR(INDEX(AUTO_Public_TSV_FileList!$A$1:$A$1000,MATCH(TRUE(),EXACT(K438,IFERROR(_xlfn.TEXTBEFORE(AUTO_Public_TSV_FileList!$A$1:$A$1000,".tsv"),"")),0)),"notfound")</f>
        <v>10.1159%2F000155963_TableI.tsv</v>
      </c>
      <c r="M438" s="5" t="s">
        <v>1601</v>
      </c>
      <c r="N438" s="5" t="s">
        <v>35</v>
      </c>
      <c r="O438" s="4"/>
      <c r="P438" s="5" t="s">
        <v>36</v>
      </c>
      <c r="Q438" s="4"/>
      <c r="R438" s="4"/>
      <c r="S438" s="4"/>
      <c r="T438" s="4"/>
      <c r="U438" s="4"/>
      <c r="V438" s="4"/>
      <c r="W438" s="5" t="s">
        <v>117</v>
      </c>
      <c r="X438" s="5" t="s">
        <v>1602</v>
      </c>
      <c r="Y438" s="4"/>
      <c r="Z438" s="5" t="s">
        <v>83</v>
      </c>
      <c r="AA438" s="5" t="s">
        <v>130</v>
      </c>
      <c r="AB438" s="5" t="s">
        <v>90</v>
      </c>
      <c r="AC438" s="5" t="s">
        <v>119</v>
      </c>
      <c r="AD438" s="5" t="s">
        <v>119</v>
      </c>
      <c r="AE438" s="5" t="s">
        <v>66</v>
      </c>
      <c r="AF438" s="5"/>
      <c r="AG438" s="4"/>
    </row>
    <row r="439" spans="1:33" ht="15" customHeight="1">
      <c r="A439" s="5" t="s">
        <v>1600</v>
      </c>
      <c r="B439" s="4"/>
      <c r="C439" s="4"/>
      <c r="D439" s="5" t="s">
        <v>1603</v>
      </c>
      <c r="E439" s="13" t="str">
        <f t="shared" si="83"/>
        <v>Stephan</v>
      </c>
      <c r="F439" s="13" t="str">
        <f t="array" ref="F439">_xlfn.LET(
 _xlpm.authors,_xlfn.TEXTBEFORE(A439," ("&amp;G439&amp;")"),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39" s="13" t="str">
        <f t="shared" si="84"/>
        <v>1981</v>
      </c>
      <c r="H439" s="13" t="str">
        <f t="shared" si="85"/>
        <v>Stephan_etal_1981</v>
      </c>
      <c r="I439" s="13" t="str">
        <f t="shared" si="89"/>
        <v>10.1159%2F000155963</v>
      </c>
      <c r="J439" s="13" t="str">
        <f t="shared" si="86"/>
        <v>Stephan_etal_1981_TableII</v>
      </c>
      <c r="K439" s="13" t="str">
        <f t="shared" ref="K439:K463" si="90">I439 &amp; "_" &amp; SUBSTITUTE(SUBSTITUTE(SUBSTITUTE(D439,CHAR(160),"")," ",""),"_","")</f>
        <v>10.1159%2F000155963_TableII</v>
      </c>
      <c r="L439" s="13" t="str">
        <f t="array" ref="L439">IFERROR(INDEX(AUTO_Public_TSV_FileList!$A$1:$A$1000,MATCH(TRUE(),EXACT(K439,IFERROR(_xlfn.TEXTBEFORE(AUTO_Public_TSV_FileList!$A$1:$A$1000,".tsv"),"")),0)),"notfound")</f>
        <v>10.1159%2F000155963_TableII.tsv</v>
      </c>
      <c r="M439" s="5" t="s">
        <v>1604</v>
      </c>
      <c r="N439" s="5" t="s">
        <v>35</v>
      </c>
      <c r="O439" s="4"/>
      <c r="P439" s="5" t="s">
        <v>36</v>
      </c>
      <c r="Q439" s="4"/>
      <c r="R439" s="4"/>
      <c r="S439" s="4"/>
      <c r="T439" s="4"/>
      <c r="U439" s="4"/>
      <c r="V439" s="4"/>
      <c r="W439" s="5" t="s">
        <v>117</v>
      </c>
      <c r="X439" s="5" t="s">
        <v>1602</v>
      </c>
      <c r="Y439" s="4"/>
      <c r="Z439" s="5" t="s">
        <v>83</v>
      </c>
      <c r="AA439" s="5" t="s">
        <v>130</v>
      </c>
      <c r="AB439" s="5" t="s">
        <v>90</v>
      </c>
      <c r="AC439" s="5" t="s">
        <v>119</v>
      </c>
      <c r="AD439" s="5" t="s">
        <v>119</v>
      </c>
      <c r="AE439" s="5" t="s">
        <v>66</v>
      </c>
      <c r="AF439" s="5"/>
      <c r="AG439" s="4"/>
    </row>
    <row r="440" spans="1:33" ht="15" customHeight="1">
      <c r="A440" s="5" t="s">
        <v>1600</v>
      </c>
      <c r="B440" s="4"/>
      <c r="C440" s="4"/>
      <c r="D440" s="5" t="s">
        <v>1605</v>
      </c>
      <c r="E440" s="13" t="str">
        <f t="shared" si="83"/>
        <v>Stephan</v>
      </c>
      <c r="F440" s="13" t="str">
        <f t="array" ref="F440">_xlfn.LET(
 _xlpm.authors,_xlfn.TEXTBEFORE(A440," ("&amp;G440&amp;")"),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0" s="13" t="str">
        <f t="shared" si="84"/>
        <v>1981</v>
      </c>
      <c r="H440" s="13" t="str">
        <f t="shared" si="85"/>
        <v>Stephan_etal_1981</v>
      </c>
      <c r="I440" s="13" t="str">
        <f t="shared" si="89"/>
        <v>10.1159%2F000155963</v>
      </c>
      <c r="J440" s="13" t="str">
        <f t="shared" si="86"/>
        <v>Stephan_etal_1981_TableIII</v>
      </c>
      <c r="K440" s="13" t="str">
        <f t="shared" si="90"/>
        <v>10.1159%2F000155963_TableIII</v>
      </c>
      <c r="L440" s="13" t="str">
        <f t="array" ref="L440">IFERROR(INDEX(AUTO_Public_TSV_FileList!$A$1:$A$1000,MATCH(TRUE(),EXACT(K440,IFERROR(_xlfn.TEXTBEFORE(AUTO_Public_TSV_FileList!$A$1:$A$1000,".tsv"),"")),0)),"notfound")</f>
        <v>10.1159%2F000155963_TableIII.tsv</v>
      </c>
      <c r="M440" s="5" t="s">
        <v>1606</v>
      </c>
      <c r="N440" s="5" t="s">
        <v>35</v>
      </c>
      <c r="O440" s="4"/>
      <c r="P440" s="5" t="s">
        <v>36</v>
      </c>
      <c r="Q440" s="4"/>
      <c r="R440" s="4"/>
      <c r="S440" s="4"/>
      <c r="T440" s="4"/>
      <c r="U440" s="4"/>
      <c r="V440" s="4"/>
      <c r="W440" s="5" t="s">
        <v>117</v>
      </c>
      <c r="X440" s="5" t="s">
        <v>1602</v>
      </c>
      <c r="Y440" s="4"/>
      <c r="Z440" s="5" t="s">
        <v>83</v>
      </c>
      <c r="AA440" s="5" t="s">
        <v>130</v>
      </c>
      <c r="AB440" s="5" t="s">
        <v>90</v>
      </c>
      <c r="AC440" s="5" t="s">
        <v>119</v>
      </c>
      <c r="AD440" s="5" t="s">
        <v>119</v>
      </c>
      <c r="AE440" s="5" t="s">
        <v>66</v>
      </c>
      <c r="AF440" s="5"/>
      <c r="AG440" s="4"/>
    </row>
    <row r="441" spans="1:33" ht="15" customHeight="1">
      <c r="A441" s="5" t="s">
        <v>1600</v>
      </c>
      <c r="B441" s="4"/>
      <c r="C441" s="4"/>
      <c r="D441" s="5" t="s">
        <v>1607</v>
      </c>
      <c r="E441" s="13" t="str">
        <f t="shared" si="83"/>
        <v>Stephan</v>
      </c>
      <c r="F441" s="13" t="str">
        <f t="array" ref="F441">_xlfn.LET(
 _xlpm.authors,_xlfn.TEXTBEFORE(A441," ("&amp;G441&amp;")"),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1" s="13" t="str">
        <f t="shared" si="84"/>
        <v>1981</v>
      </c>
      <c r="H441" s="13" t="str">
        <f t="shared" si="85"/>
        <v>Stephan_etal_1981</v>
      </c>
      <c r="I441" s="13" t="str">
        <f t="shared" si="89"/>
        <v>10.1159%2F000155963</v>
      </c>
      <c r="J441" s="13" t="str">
        <f t="shared" si="86"/>
        <v>Stephan_etal_1981_TableIV</v>
      </c>
      <c r="K441" s="13" t="str">
        <f t="shared" si="90"/>
        <v>10.1159%2F000155963_TableIV</v>
      </c>
      <c r="L441" s="13" t="str">
        <f t="array" ref="L441">IFERROR(INDEX(AUTO_Public_TSV_FileList!$A$1:$A$1000,MATCH(TRUE(),EXACT(K441,IFERROR(_xlfn.TEXTBEFORE(AUTO_Public_TSV_FileList!$A$1:$A$1000,".tsv"),"")),0)),"notfound")</f>
        <v>10.1159%2F000155963_TableIV.tsv</v>
      </c>
      <c r="M441" s="5" t="s">
        <v>1608</v>
      </c>
      <c r="N441" s="5" t="s">
        <v>35</v>
      </c>
      <c r="O441" s="4"/>
      <c r="P441" s="5" t="s">
        <v>36</v>
      </c>
      <c r="Q441" s="4"/>
      <c r="R441" s="4"/>
      <c r="S441" s="4"/>
      <c r="T441" s="4"/>
      <c r="U441" s="4"/>
      <c r="V441" s="4"/>
      <c r="W441" s="5" t="s">
        <v>117</v>
      </c>
      <c r="X441" s="5" t="s">
        <v>1602</v>
      </c>
      <c r="Y441" s="4"/>
      <c r="Z441" s="5" t="s">
        <v>83</v>
      </c>
      <c r="AA441" s="5" t="s">
        <v>130</v>
      </c>
      <c r="AB441" s="5" t="s">
        <v>90</v>
      </c>
      <c r="AC441" s="5" t="s">
        <v>119</v>
      </c>
      <c r="AD441" s="5" t="s">
        <v>119</v>
      </c>
      <c r="AE441" s="5" t="s">
        <v>66</v>
      </c>
      <c r="AF441" s="5"/>
      <c r="AG441" s="4"/>
    </row>
    <row r="442" spans="1:33" ht="15" customHeight="1">
      <c r="A442" s="5" t="s">
        <v>1600</v>
      </c>
      <c r="B442" s="4"/>
      <c r="C442" s="5"/>
      <c r="D442" s="5" t="s">
        <v>1609</v>
      </c>
      <c r="E442" s="13" t="str">
        <f t="shared" si="83"/>
        <v>Stephan</v>
      </c>
      <c r="F442" s="13" t="str">
        <f t="array" ref="F442">_xlfn.LET(
 _xlpm.authors,_xlfn.TEXTBEFORE(A442," ("&amp;G442&amp;")"),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2" s="13" t="str">
        <f t="shared" si="84"/>
        <v>1981</v>
      </c>
      <c r="H442" s="13" t="str">
        <f t="shared" si="85"/>
        <v>Stephan_etal_1981</v>
      </c>
      <c r="I442" s="13" t="str">
        <f t="shared" si="89"/>
        <v>10.1159%2F000155963</v>
      </c>
      <c r="J442" s="13" t="str">
        <f t="shared" si="86"/>
        <v>Stephan_etal_1981_TableIX</v>
      </c>
      <c r="K442" s="13" t="str">
        <f t="shared" si="90"/>
        <v>10.1159%2F000155963_TableIX</v>
      </c>
      <c r="L442" s="13" t="str">
        <f t="array" ref="L442">IFERROR(INDEX(AUTO_Public_TSV_FileList!$A$1:$A$1000,MATCH(TRUE(),EXACT(K442,IFERROR(_xlfn.TEXTBEFORE(AUTO_Public_TSV_FileList!$A$1:$A$1000,".tsv"),"")),0)),"notfound")</f>
        <v>10.1159%2F000155963_TableIX.tsv</v>
      </c>
      <c r="M442" s="5" t="s">
        <v>1610</v>
      </c>
      <c r="N442" s="4"/>
      <c r="O442" s="4"/>
      <c r="P442" s="5" t="s">
        <v>36</v>
      </c>
      <c r="Q442" s="4"/>
      <c r="R442" s="4"/>
      <c r="S442" s="4"/>
      <c r="T442" s="4"/>
      <c r="U442" s="4"/>
      <c r="V442" s="4"/>
      <c r="W442" s="4"/>
      <c r="X442" s="4"/>
      <c r="Y442" s="4"/>
      <c r="Z442" s="4"/>
      <c r="AA442" s="4"/>
      <c r="AB442" s="4"/>
      <c r="AC442" s="4"/>
      <c r="AD442" s="4"/>
      <c r="AE442" s="4"/>
      <c r="AF442" s="4"/>
      <c r="AG442" s="4"/>
    </row>
    <row r="443" spans="1:33" ht="15" customHeight="1">
      <c r="A443" s="5" t="s">
        <v>1600</v>
      </c>
      <c r="B443" s="4"/>
      <c r="C443" s="4"/>
      <c r="D443" s="5" t="s">
        <v>1611</v>
      </c>
      <c r="E443" s="13" t="str">
        <f t="shared" si="83"/>
        <v>Stephan</v>
      </c>
      <c r="F443" s="13" t="str">
        <f t="array" ref="F443">_xlfn.LET(
 _xlpm.authors,_xlfn.TEXTBEFORE(A443," ("&amp;G443&amp;")"),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3" s="13" t="str">
        <f t="shared" si="84"/>
        <v>1981</v>
      </c>
      <c r="H443" s="13" t="str">
        <f t="shared" si="85"/>
        <v>Stephan_etal_1981</v>
      </c>
      <c r="I443" s="13" t="str">
        <f t="shared" si="89"/>
        <v>10.1159%2F000155963</v>
      </c>
      <c r="J443" s="13" t="str">
        <f t="shared" si="86"/>
        <v>Stephan_etal_1981_TableV</v>
      </c>
      <c r="K443" s="13" t="str">
        <f t="shared" si="90"/>
        <v>10.1159%2F000155963_TableV</v>
      </c>
      <c r="L443" s="13" t="str">
        <f t="array" ref="L443">IFERROR(INDEX(AUTO_Public_TSV_FileList!$A$1:$A$1000,MATCH(TRUE(),EXACT(K443,IFERROR(_xlfn.TEXTBEFORE(AUTO_Public_TSV_FileList!$A$1:$A$1000,".tsv"),"")),0)),"notfound")</f>
        <v>10.1159%2F000155963_TableV.tsv</v>
      </c>
      <c r="M443" s="5" t="s">
        <v>1612</v>
      </c>
      <c r="N443" s="5" t="s">
        <v>35</v>
      </c>
      <c r="O443" s="4"/>
      <c r="P443" s="5" t="s">
        <v>36</v>
      </c>
      <c r="Q443" s="4"/>
      <c r="R443" s="4"/>
      <c r="S443" s="4"/>
      <c r="T443" s="4"/>
      <c r="U443" s="4"/>
      <c r="V443" s="4"/>
      <c r="W443" s="5" t="s">
        <v>117</v>
      </c>
      <c r="X443" s="5" t="s">
        <v>1602</v>
      </c>
      <c r="Y443" s="4"/>
      <c r="Z443" s="5" t="s">
        <v>83</v>
      </c>
      <c r="AA443" s="5" t="s">
        <v>130</v>
      </c>
      <c r="AB443" s="5" t="s">
        <v>90</v>
      </c>
      <c r="AC443" s="5" t="s">
        <v>119</v>
      </c>
      <c r="AD443" s="5" t="s">
        <v>119</v>
      </c>
      <c r="AE443" s="5" t="s">
        <v>66</v>
      </c>
      <c r="AF443" s="5"/>
      <c r="AG443" s="4"/>
    </row>
    <row r="444" spans="1:33" ht="15" customHeight="1">
      <c r="A444" s="5" t="s">
        <v>1600</v>
      </c>
      <c r="B444" s="4"/>
      <c r="C444" s="4"/>
      <c r="D444" s="5" t="s">
        <v>1613</v>
      </c>
      <c r="E444" s="13" t="str">
        <f t="shared" si="83"/>
        <v>Stephan</v>
      </c>
      <c r="F444" s="13" t="str">
        <f t="array" ref="F444">_xlfn.LET(
 _xlpm.authors,_xlfn.TEXTBEFORE(A444," ("&amp;G444&amp;")"),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4" s="13" t="str">
        <f t="shared" si="84"/>
        <v>1981</v>
      </c>
      <c r="H444" s="13" t="str">
        <f t="shared" si="85"/>
        <v>Stephan_etal_1981</v>
      </c>
      <c r="I444" s="13" t="str">
        <f t="shared" si="89"/>
        <v>10.1159%2F000155963</v>
      </c>
      <c r="J444" s="13" t="str">
        <f t="shared" si="86"/>
        <v>Stephan_etal_1981_TableVI</v>
      </c>
      <c r="K444" s="13" t="str">
        <f t="shared" si="90"/>
        <v>10.1159%2F000155963_TableVI</v>
      </c>
      <c r="L444" s="13" t="str">
        <f t="array" ref="L444">IFERROR(INDEX(AUTO_Public_TSV_FileList!$A$1:$A$1000,MATCH(TRUE(),EXACT(K444,IFERROR(_xlfn.TEXTBEFORE(AUTO_Public_TSV_FileList!$A$1:$A$1000,".tsv"),"")),0)),"notfound")</f>
        <v>10.1159%2F000155963_TableVI.tsv</v>
      </c>
      <c r="M444" s="5" t="s">
        <v>1614</v>
      </c>
      <c r="N444" s="5" t="s">
        <v>35</v>
      </c>
      <c r="O444" s="4"/>
      <c r="P444" s="5" t="s">
        <v>36</v>
      </c>
      <c r="Q444" s="4"/>
      <c r="R444" s="4"/>
      <c r="S444" s="4"/>
      <c r="T444" s="4"/>
      <c r="U444" s="4"/>
      <c r="V444" s="4"/>
      <c r="W444" s="5" t="s">
        <v>117</v>
      </c>
      <c r="X444" s="5" t="s">
        <v>1602</v>
      </c>
      <c r="Y444" s="4"/>
      <c r="Z444" s="5" t="s">
        <v>83</v>
      </c>
      <c r="AA444" s="5" t="s">
        <v>130</v>
      </c>
      <c r="AB444" s="5" t="s">
        <v>90</v>
      </c>
      <c r="AC444" s="5" t="s">
        <v>119</v>
      </c>
      <c r="AD444" s="5" t="s">
        <v>119</v>
      </c>
      <c r="AE444" s="5" t="s">
        <v>66</v>
      </c>
      <c r="AF444" s="5"/>
      <c r="AG444" s="4"/>
    </row>
    <row r="445" spans="1:33" ht="15" customHeight="1">
      <c r="A445" s="5" t="s">
        <v>1600</v>
      </c>
      <c r="B445" s="4"/>
      <c r="C445" s="5"/>
      <c r="D445" s="5" t="s">
        <v>1615</v>
      </c>
      <c r="E445" s="13" t="str">
        <f t="shared" si="83"/>
        <v>Stephan</v>
      </c>
      <c r="F445" s="13" t="str">
        <f t="array" ref="F445">_xlfn.LET(
 _xlpm.authors,_xlfn.TEXTBEFORE(A445," ("&amp;G445&amp;")"),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5" s="13" t="str">
        <f t="shared" si="84"/>
        <v>1981</v>
      </c>
      <c r="H445" s="13" t="str">
        <f t="shared" si="85"/>
        <v>Stephan_etal_1981</v>
      </c>
      <c r="I445" s="13" t="str">
        <f t="shared" si="89"/>
        <v>10.1159%2F000155963</v>
      </c>
      <c r="J445" s="13" t="str">
        <f t="shared" si="86"/>
        <v>Stephan_etal_1981_TableVII</v>
      </c>
      <c r="K445" s="13" t="str">
        <f t="shared" si="90"/>
        <v>10.1159%2F000155963_TableVII</v>
      </c>
      <c r="L445" s="13" t="str">
        <f t="array" ref="L445">IFERROR(INDEX(AUTO_Public_TSV_FileList!$A$1:$A$1000,MATCH(TRUE(),EXACT(K445,IFERROR(_xlfn.TEXTBEFORE(AUTO_Public_TSV_FileList!$A$1:$A$1000,".tsv"),"")),0)),"notfound")</f>
        <v>10.1159%2F000155963_TableVII.tsv</v>
      </c>
      <c r="M445" s="5" t="s">
        <v>1616</v>
      </c>
      <c r="N445" s="5" t="s">
        <v>35</v>
      </c>
      <c r="O445" s="4"/>
      <c r="P445" s="5" t="s">
        <v>36</v>
      </c>
      <c r="Q445" s="4"/>
      <c r="R445" s="4"/>
      <c r="S445" s="4"/>
      <c r="T445" s="4"/>
      <c r="U445" s="4"/>
      <c r="V445" s="4"/>
      <c r="W445" s="5" t="s">
        <v>117</v>
      </c>
      <c r="X445" s="5" t="s">
        <v>1602</v>
      </c>
      <c r="Y445" s="4"/>
      <c r="Z445" s="5" t="s">
        <v>83</v>
      </c>
      <c r="AA445" s="5" t="s">
        <v>130</v>
      </c>
      <c r="AB445" s="5" t="s">
        <v>90</v>
      </c>
      <c r="AC445" s="5" t="s">
        <v>119</v>
      </c>
      <c r="AD445" s="5" t="s">
        <v>119</v>
      </c>
      <c r="AE445" s="5" t="s">
        <v>66</v>
      </c>
      <c r="AF445" s="5"/>
      <c r="AG445" s="4"/>
    </row>
    <row r="446" spans="1:33" ht="15" customHeight="1">
      <c r="A446" s="5" t="s">
        <v>1600</v>
      </c>
      <c r="B446" s="4"/>
      <c r="C446" s="5"/>
      <c r="D446" s="5" t="s">
        <v>1617</v>
      </c>
      <c r="E446" s="13" t="str">
        <f t="shared" si="83"/>
        <v>Stephan</v>
      </c>
      <c r="F446" s="13" t="str">
        <f t="array" ref="F446">_xlfn.LET(
 _xlpm.authors,_xlfn.TEXTBEFORE(A446," ("&amp;G446&amp;")"),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6" s="13" t="str">
        <f t="shared" si="84"/>
        <v>1981</v>
      </c>
      <c r="H446" s="13" t="str">
        <f t="shared" si="85"/>
        <v>Stephan_etal_1981</v>
      </c>
      <c r="I446" s="13" t="str">
        <f t="shared" si="89"/>
        <v>10.1159%2F000155963</v>
      </c>
      <c r="J446" s="13" t="str">
        <f t="shared" si="86"/>
        <v>Stephan_etal_1981_TableVIII</v>
      </c>
      <c r="K446" s="13" t="str">
        <f t="shared" si="90"/>
        <v>10.1159%2F000155963_TableVIII</v>
      </c>
      <c r="L446" s="13" t="str">
        <f t="array" ref="L446">IFERROR(INDEX(AUTO_Public_TSV_FileList!$A$1:$A$1000,MATCH(TRUE(),EXACT(K446,IFERROR(_xlfn.TEXTBEFORE(AUTO_Public_TSV_FileList!$A$1:$A$1000,".tsv"),"")),0)),"notfound")</f>
        <v>10.1159%2F000155963_TableVIII.tsv</v>
      </c>
      <c r="M446" s="5" t="s">
        <v>1618</v>
      </c>
      <c r="N446" s="4"/>
      <c r="O446" s="4"/>
      <c r="P446" s="5" t="s">
        <v>36</v>
      </c>
      <c r="Q446" s="4"/>
      <c r="R446" s="4"/>
      <c r="S446" s="4"/>
      <c r="T446" s="4"/>
      <c r="U446" s="4"/>
      <c r="V446" s="4"/>
      <c r="W446" s="4"/>
      <c r="X446" s="4"/>
      <c r="Y446" s="4"/>
      <c r="Z446" s="4"/>
      <c r="AA446" s="4"/>
      <c r="AB446" s="4"/>
      <c r="AC446" s="4"/>
      <c r="AD446" s="4"/>
      <c r="AE446" s="4"/>
      <c r="AF446" s="4"/>
      <c r="AG446" s="4"/>
    </row>
    <row r="447" spans="1:33" ht="15" customHeight="1">
      <c r="A447" s="5" t="s">
        <v>1600</v>
      </c>
      <c r="B447" s="4"/>
      <c r="C447" s="5"/>
      <c r="D447" s="5" t="s">
        <v>1619</v>
      </c>
      <c r="E447" s="13" t="str">
        <f t="shared" si="83"/>
        <v>Stephan</v>
      </c>
      <c r="F447" s="13" t="str">
        <f t="array" ref="F447">_xlfn.LET(
 _xlpm.authors,_xlfn.TEXTBEFORE(A447," ("&amp;G447&amp;")"),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7" s="13" t="str">
        <f t="shared" si="84"/>
        <v>1981</v>
      </c>
      <c r="H447" s="13" t="str">
        <f t="shared" si="85"/>
        <v>Stephan_etal_1981</v>
      </c>
      <c r="I447" s="13" t="str">
        <f t="shared" si="89"/>
        <v>10.1159%2F000155963</v>
      </c>
      <c r="J447" s="13" t="str">
        <f t="shared" si="86"/>
        <v>Stephan_etal_1981_TableX</v>
      </c>
      <c r="K447" s="13" t="str">
        <f t="shared" si="90"/>
        <v>10.1159%2F000155963_TableX</v>
      </c>
      <c r="L447" s="13" t="str">
        <f t="array" ref="L447">IFERROR(INDEX(AUTO_Public_TSV_FileList!$A$1:$A$1000,MATCH(TRUE(),EXACT(K447,IFERROR(_xlfn.TEXTBEFORE(AUTO_Public_TSV_FileList!$A$1:$A$1000,".tsv"),"")),0)),"notfound")</f>
        <v>10.1159%2F000155963_TableX.tsv</v>
      </c>
      <c r="M447" s="5" t="s">
        <v>1620</v>
      </c>
      <c r="N447" s="4"/>
      <c r="O447" s="4"/>
      <c r="P447" s="5" t="s">
        <v>36</v>
      </c>
      <c r="Q447" s="4"/>
      <c r="R447" s="4"/>
      <c r="S447" s="4"/>
      <c r="T447" s="4"/>
      <c r="U447" s="4"/>
      <c r="V447" s="4"/>
      <c r="W447" s="4"/>
      <c r="X447" s="4"/>
      <c r="Y447" s="4"/>
      <c r="Z447" s="4"/>
      <c r="AA447" s="4"/>
      <c r="AB447" s="4"/>
      <c r="AC447" s="4"/>
      <c r="AD447" s="4"/>
      <c r="AE447" s="4"/>
      <c r="AF447" s="4"/>
      <c r="AG447" s="4"/>
    </row>
    <row r="448" spans="1:33" ht="15" customHeight="1">
      <c r="A448" s="5" t="s">
        <v>1600</v>
      </c>
      <c r="B448" s="4"/>
      <c r="C448" s="4"/>
      <c r="D448" s="5" t="s">
        <v>1621</v>
      </c>
      <c r="E448" s="13" t="str">
        <f t="shared" si="83"/>
        <v>Stephan</v>
      </c>
      <c r="F448" s="13" t="str">
        <f t="array" ref="F448">_xlfn.LET(
 _xlpm.authors,_xlfn.TEXTBEFORE(A448," ("&amp;G448&amp;")"),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8" s="13" t="str">
        <f t="shared" si="84"/>
        <v>1981</v>
      </c>
      <c r="H448" s="13" t="str">
        <f t="shared" si="85"/>
        <v>Stephan_etal_1981</v>
      </c>
      <c r="I448" s="13" t="str">
        <f t="shared" si="89"/>
        <v>10.1159%2F000155963</v>
      </c>
      <c r="J448" s="13" t="str">
        <f t="shared" si="86"/>
        <v>Stephan_etal_1981_TableXI</v>
      </c>
      <c r="K448" s="13" t="str">
        <f t="shared" si="90"/>
        <v>10.1159%2F000155963_TableXI</v>
      </c>
      <c r="L448" s="13" t="str">
        <f t="array" ref="L448">IFERROR(INDEX(AUTO_Public_TSV_FileList!$A$1:$A$1000,MATCH(TRUE(),EXACT(K448,IFERROR(_xlfn.TEXTBEFORE(AUTO_Public_TSV_FileList!$A$1:$A$1000,".tsv"),"")),0)),"notfound")</f>
        <v>10.1159%2F000155963_TableXI.tsv</v>
      </c>
      <c r="M448" s="5" t="s">
        <v>1622</v>
      </c>
      <c r="N448" s="5" t="s">
        <v>35</v>
      </c>
      <c r="O448" s="4"/>
      <c r="P448" s="5" t="s">
        <v>36</v>
      </c>
      <c r="Q448" s="4"/>
      <c r="R448" s="4"/>
      <c r="S448" s="4"/>
      <c r="T448" s="4"/>
      <c r="U448" s="4"/>
      <c r="V448" s="4"/>
      <c r="W448" s="5" t="s">
        <v>117</v>
      </c>
      <c r="X448" s="5" t="s">
        <v>1602</v>
      </c>
      <c r="Y448" s="4"/>
      <c r="Z448" s="5" t="s">
        <v>83</v>
      </c>
      <c r="AA448" s="5" t="s">
        <v>130</v>
      </c>
      <c r="AB448" s="5" t="s">
        <v>90</v>
      </c>
      <c r="AC448" s="5" t="s">
        <v>119</v>
      </c>
      <c r="AD448" s="5" t="s">
        <v>119</v>
      </c>
      <c r="AE448" s="5" t="s">
        <v>66</v>
      </c>
      <c r="AF448" s="5"/>
      <c r="AG448" s="4"/>
    </row>
    <row r="449" spans="1:33" ht="15" customHeight="1">
      <c r="A449" s="5" t="s">
        <v>1600</v>
      </c>
      <c r="B449" s="4"/>
      <c r="C449" s="4"/>
      <c r="D449" s="5" t="s">
        <v>1623</v>
      </c>
      <c r="E449" s="13" t="str">
        <f t="shared" si="83"/>
        <v>Stephan</v>
      </c>
      <c r="F449" s="13" t="str">
        <f t="array" ref="F449">_xlfn.LET(
 _xlpm.authors,_xlfn.TEXTBEFORE(A449," ("&amp;G449&amp;")"),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49" s="13" t="str">
        <f t="shared" si="84"/>
        <v>1981</v>
      </c>
      <c r="H449" s="13" t="str">
        <f t="shared" si="85"/>
        <v>Stephan_etal_1981</v>
      </c>
      <c r="I449" s="13" t="str">
        <f t="shared" si="89"/>
        <v>10.1159%2F000155963</v>
      </c>
      <c r="J449" s="13" t="str">
        <f t="shared" si="86"/>
        <v>Stephan_etal_1981_TableXII</v>
      </c>
      <c r="K449" s="13" t="str">
        <f t="shared" si="90"/>
        <v>10.1159%2F000155963_TableXII</v>
      </c>
      <c r="L449" s="13" t="str">
        <f t="array" ref="L449">IFERROR(INDEX(AUTO_Public_TSV_FileList!$A$1:$A$1000,MATCH(TRUE(),EXACT(K449,IFERROR(_xlfn.TEXTBEFORE(AUTO_Public_TSV_FileList!$A$1:$A$1000,".tsv"),"")),0)),"notfound")</f>
        <v>10.1159%2F000155963_TableXII.tsv</v>
      </c>
      <c r="M449" s="5" t="s">
        <v>1624</v>
      </c>
      <c r="N449" s="5" t="s">
        <v>35</v>
      </c>
      <c r="O449" s="4"/>
      <c r="P449" s="5" t="s">
        <v>36</v>
      </c>
      <c r="Q449" s="4"/>
      <c r="R449" s="4"/>
      <c r="S449" s="4"/>
      <c r="T449" s="4"/>
      <c r="U449" s="4"/>
      <c r="V449" s="4"/>
      <c r="W449" s="5" t="s">
        <v>117</v>
      </c>
      <c r="X449" s="5" t="s">
        <v>1602</v>
      </c>
      <c r="Y449" s="4"/>
      <c r="Z449" s="5" t="s">
        <v>83</v>
      </c>
      <c r="AA449" s="5" t="s">
        <v>130</v>
      </c>
      <c r="AB449" s="5" t="s">
        <v>90</v>
      </c>
      <c r="AC449" s="5" t="s">
        <v>119</v>
      </c>
      <c r="AD449" s="5" t="s">
        <v>119</v>
      </c>
      <c r="AE449" s="5" t="s">
        <v>66</v>
      </c>
      <c r="AF449" s="5"/>
      <c r="AG449" s="4"/>
    </row>
    <row r="450" spans="1:33" ht="15" customHeight="1">
      <c r="A450" s="5" t="s">
        <v>1600</v>
      </c>
      <c r="B450" s="4"/>
      <c r="C450" s="4"/>
      <c r="D450" s="5" t="s">
        <v>1625</v>
      </c>
      <c r="E450" s="13" t="str">
        <f t="shared" si="83"/>
        <v>Stephan</v>
      </c>
      <c r="F450" s="13" t="str">
        <f t="array" ref="F450">_xlfn.LET(
 _xlpm.authors,_xlfn.TEXTBEFORE(A450," ("&amp;G450&amp;")"),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0" s="13" t="str">
        <f t="shared" si="84"/>
        <v>1981</v>
      </c>
      <c r="H450" s="13" t="str">
        <f t="shared" si="85"/>
        <v>Stephan_etal_1981</v>
      </c>
      <c r="I450" s="13" t="str">
        <f t="shared" si="89"/>
        <v>10.1159%2F000155963</v>
      </c>
      <c r="J450" s="13" t="str">
        <f t="shared" si="86"/>
        <v>Stephan_etal_1981_TableXIII</v>
      </c>
      <c r="K450" s="13" t="str">
        <f t="shared" si="90"/>
        <v>10.1159%2F000155963_TableXIII</v>
      </c>
      <c r="L450" s="13" t="str">
        <f t="array" ref="L450">IFERROR(INDEX(AUTO_Public_TSV_FileList!$A$1:$A$1000,MATCH(TRUE(),EXACT(K450,IFERROR(_xlfn.TEXTBEFORE(AUTO_Public_TSV_FileList!$A$1:$A$1000,".tsv"),"")),0)),"notfound")</f>
        <v>10.1159%2F000155963_TableXIII.tsv</v>
      </c>
      <c r="M450" s="5" t="s">
        <v>1626</v>
      </c>
      <c r="N450" s="5" t="s">
        <v>35</v>
      </c>
      <c r="O450" s="4"/>
      <c r="P450" s="5" t="s">
        <v>36</v>
      </c>
      <c r="Q450" s="4"/>
      <c r="R450" s="4"/>
      <c r="S450" s="4"/>
      <c r="T450" s="4"/>
      <c r="U450" s="4"/>
      <c r="V450" s="4"/>
      <c r="W450" s="5" t="s">
        <v>117</v>
      </c>
      <c r="X450" s="5" t="s">
        <v>1602</v>
      </c>
      <c r="Y450" s="4"/>
      <c r="Z450" s="5" t="s">
        <v>83</v>
      </c>
      <c r="AA450" s="5" t="s">
        <v>130</v>
      </c>
      <c r="AB450" s="5" t="s">
        <v>90</v>
      </c>
      <c r="AC450" s="5" t="s">
        <v>119</v>
      </c>
      <c r="AD450" s="5" t="s">
        <v>119</v>
      </c>
      <c r="AE450" s="5" t="s">
        <v>66</v>
      </c>
      <c r="AF450" s="5"/>
      <c r="AG450" s="4"/>
    </row>
    <row r="451" spans="1:33" ht="15" customHeight="1">
      <c r="A451" s="5" t="s">
        <v>1600</v>
      </c>
      <c r="B451" s="4"/>
      <c r="C451" s="4"/>
      <c r="D451" s="5" t="s">
        <v>1627</v>
      </c>
      <c r="E451" s="13" t="str">
        <f t="shared" si="83"/>
        <v>Stephan</v>
      </c>
      <c r="F451" s="13" t="str">
        <f t="array" ref="F451">_xlfn.LET(
 _xlpm.authors,_xlfn.TEXTBEFORE(A451," ("&amp;G451&amp;")"),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1" s="13" t="str">
        <f t="shared" si="84"/>
        <v>1981</v>
      </c>
      <c r="H451" s="13" t="str">
        <f t="shared" si="85"/>
        <v>Stephan_etal_1981</v>
      </c>
      <c r="I451" s="13" t="str">
        <f t="shared" si="89"/>
        <v>10.1159%2F000155963</v>
      </c>
      <c r="J451" s="13" t="str">
        <f t="shared" si="86"/>
        <v>Stephan_etal_1981_TableXIV</v>
      </c>
      <c r="K451" s="13" t="str">
        <f t="shared" si="90"/>
        <v>10.1159%2F000155963_TableXIV</v>
      </c>
      <c r="L451" s="13" t="str">
        <f t="array" ref="L451">IFERROR(INDEX(AUTO_Public_TSV_FileList!$A$1:$A$1000,MATCH(TRUE(),EXACT(K451,IFERROR(_xlfn.TEXTBEFORE(AUTO_Public_TSV_FileList!$A$1:$A$1000,".tsv"),"")),0)),"notfound")</f>
        <v>10.1159%2F000155963_TableXIV.tsv</v>
      </c>
      <c r="M451" s="5" t="s">
        <v>1628</v>
      </c>
      <c r="N451" s="5" t="s">
        <v>35</v>
      </c>
      <c r="O451" s="4"/>
      <c r="P451" s="5" t="s">
        <v>36</v>
      </c>
      <c r="Q451" s="4"/>
      <c r="R451" s="4"/>
      <c r="S451" s="4"/>
      <c r="T451" s="4"/>
      <c r="U451" s="4"/>
      <c r="V451" s="4"/>
      <c r="W451" s="5" t="s">
        <v>117</v>
      </c>
      <c r="X451" s="5" t="s">
        <v>1602</v>
      </c>
      <c r="Y451" s="4"/>
      <c r="Z451" s="5" t="s">
        <v>83</v>
      </c>
      <c r="AA451" s="5" t="s">
        <v>130</v>
      </c>
      <c r="AB451" s="5" t="s">
        <v>90</v>
      </c>
      <c r="AC451" s="5" t="s">
        <v>119</v>
      </c>
      <c r="AD451" s="5" t="s">
        <v>119</v>
      </c>
      <c r="AE451" s="5" t="s">
        <v>66</v>
      </c>
      <c r="AF451" s="5"/>
      <c r="AG451" s="4"/>
    </row>
    <row r="452" spans="1:33" ht="15" customHeight="1">
      <c r="A452" s="5" t="s">
        <v>1600</v>
      </c>
      <c r="B452" s="4"/>
      <c r="C452" s="4"/>
      <c r="D452" s="5" t="s">
        <v>1629</v>
      </c>
      <c r="E452" s="13" t="str">
        <f t="shared" si="83"/>
        <v>Stephan</v>
      </c>
      <c r="F452" s="13" t="str">
        <f t="array" ref="F452">_xlfn.LET(
 _xlpm.authors,_xlfn.TEXTBEFORE(A452," ("&amp;G452&amp;")"),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2" s="13" t="str">
        <f t="shared" si="84"/>
        <v>1981</v>
      </c>
      <c r="H452" s="13" t="str">
        <f t="shared" si="85"/>
        <v>Stephan_etal_1981</v>
      </c>
      <c r="I452" s="13" t="str">
        <f t="shared" si="89"/>
        <v>10.1159%2F000155963</v>
      </c>
      <c r="J452" s="13" t="str">
        <f t="shared" si="86"/>
        <v>Stephan_etal_1981_TableXV</v>
      </c>
      <c r="K452" s="13" t="str">
        <f t="shared" si="90"/>
        <v>10.1159%2F000155963_TableXV</v>
      </c>
      <c r="L452" s="13" t="str">
        <f t="array" ref="L452">IFERROR(INDEX(AUTO_Public_TSV_FileList!$A$1:$A$1000,MATCH(TRUE(),EXACT(K452,IFERROR(_xlfn.TEXTBEFORE(AUTO_Public_TSV_FileList!$A$1:$A$1000,".tsv"),"")),0)),"notfound")</f>
        <v>10.1159%2F000155963_TableXV.tsv</v>
      </c>
      <c r="M452" s="5" t="s">
        <v>1630</v>
      </c>
      <c r="N452" s="5" t="s">
        <v>35</v>
      </c>
      <c r="O452" s="4"/>
      <c r="P452" s="5" t="s">
        <v>36</v>
      </c>
      <c r="Q452" s="4"/>
      <c r="R452" s="4"/>
      <c r="S452" s="4"/>
      <c r="T452" s="4"/>
      <c r="U452" s="4"/>
      <c r="V452" s="4"/>
      <c r="W452" s="5" t="s">
        <v>117</v>
      </c>
      <c r="X452" s="5" t="s">
        <v>1602</v>
      </c>
      <c r="Y452" s="4"/>
      <c r="Z452" s="5" t="s">
        <v>83</v>
      </c>
      <c r="AA452" s="5" t="s">
        <v>130</v>
      </c>
      <c r="AB452" s="5" t="s">
        <v>90</v>
      </c>
      <c r="AC452" s="5" t="s">
        <v>119</v>
      </c>
      <c r="AD452" s="5" t="s">
        <v>119</v>
      </c>
      <c r="AE452" s="5" t="s">
        <v>66</v>
      </c>
      <c r="AF452" s="5"/>
      <c r="AG452" s="4"/>
    </row>
    <row r="453" spans="1:33" ht="15" customHeight="1">
      <c r="A453" s="5" t="s">
        <v>1600</v>
      </c>
      <c r="B453" s="4"/>
      <c r="C453" s="4"/>
      <c r="D453" s="5" t="s">
        <v>1631</v>
      </c>
      <c r="E453" s="13" t="str">
        <f t="shared" ref="E453:E488" si="91">SUBSTITUTE(SUBSTITUTE(_xlfn.TEXTBEFORE(A453,","), "-", ""), " ", "")</f>
        <v>Stephan</v>
      </c>
      <c r="F453" s="13" t="str">
        <f t="array" ref="F453">_xlfn.LET(
 _xlpm.authors,_xlfn.TEXTBEFORE(A453," ("&amp;G453&amp;")"),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3" s="13" t="str">
        <f t="shared" ref="G453:G488" si="92">_xlfn.TEXTBEFORE(_xlfn.TEXTAFTER(A453, "("), ")")</f>
        <v>1981</v>
      </c>
      <c r="H453" s="13" t="str">
        <f t="shared" ref="H453:H488" si="93">E453 &amp; IF(F453&lt;&gt;"", "_" &amp; F453, "_") &amp; IF(G453&lt;&gt;"", "_" &amp; G453, "_") &amp; IF(B453&lt;&gt;"", "_" &amp; B453, "")</f>
        <v>Stephan_etal_1981</v>
      </c>
      <c r="I453" s="13" t="str">
        <f t="shared" si="89"/>
        <v>10.1159%2F000155963</v>
      </c>
      <c r="J453" s="13" t="str">
        <f t="shared" ref="J453:J488" si="94">TRIM(_xlfn.TEXTJOIN("_",FALSE(),H453,(SUBSTITUTE(SUBSTITUTE(D453," ",""), "_", ""))))</f>
        <v>Stephan_etal_1981_TableXVI</v>
      </c>
      <c r="K453" s="13" t="str">
        <f t="shared" si="90"/>
        <v>10.1159%2F000155963_TableXVI</v>
      </c>
      <c r="L453" s="13" t="str">
        <f t="array" ref="L453">IFERROR(INDEX(AUTO_Public_TSV_FileList!$A$1:$A$1000,MATCH(TRUE(),EXACT(K453,IFERROR(_xlfn.TEXTBEFORE(AUTO_Public_TSV_FileList!$A$1:$A$1000,".tsv"),"")),0)),"notfound")</f>
        <v>10.1159%2F000155963_TableXVI.tsv</v>
      </c>
      <c r="M453" s="5" t="s">
        <v>1632</v>
      </c>
      <c r="N453" s="5" t="s">
        <v>35</v>
      </c>
      <c r="O453" s="4"/>
      <c r="P453" s="5" t="s">
        <v>36</v>
      </c>
      <c r="Q453" s="4"/>
      <c r="R453" s="4"/>
      <c r="S453" s="4"/>
      <c r="T453" s="4"/>
      <c r="U453" s="4"/>
      <c r="V453" s="4"/>
      <c r="W453" s="5" t="s">
        <v>117</v>
      </c>
      <c r="X453" s="5" t="s">
        <v>1602</v>
      </c>
      <c r="Y453" s="4"/>
      <c r="Z453" s="5" t="s">
        <v>83</v>
      </c>
      <c r="AA453" s="5" t="s">
        <v>130</v>
      </c>
      <c r="AB453" s="5" t="s">
        <v>90</v>
      </c>
      <c r="AC453" s="5" t="s">
        <v>119</v>
      </c>
      <c r="AD453" s="5" t="s">
        <v>119</v>
      </c>
      <c r="AE453" s="5" t="s">
        <v>66</v>
      </c>
      <c r="AF453" s="5"/>
      <c r="AG453" s="4"/>
    </row>
    <row r="454" spans="1:33" ht="15" customHeight="1">
      <c r="A454" s="5" t="s">
        <v>1633</v>
      </c>
      <c r="B454" s="4"/>
      <c r="C454" s="4"/>
      <c r="D454" s="5" t="s">
        <v>1634</v>
      </c>
      <c r="E454" s="13" t="str">
        <f t="shared" si="91"/>
        <v>Stimpson</v>
      </c>
      <c r="F454" s="13" t="str">
        <f t="array" ref="F454">_xlfn.LET(
 _xlpm.authors,_xlfn.TEXTBEFORE(A454," ("&amp;G454&amp;")"),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4" s="13" t="str">
        <f t="shared" si="92"/>
        <v>2015</v>
      </c>
      <c r="H454" s="13" t="str">
        <f t="shared" si="93"/>
        <v>Stimpson_etal_2015</v>
      </c>
      <c r="I454" s="13" t="str">
        <f t="shared" si="89"/>
        <v>10.1093%2Fscan%2Fnsv128</v>
      </c>
      <c r="J454" s="13" t="str">
        <f t="shared" si="94"/>
        <v>Stimpson_etal_2015_TableS1</v>
      </c>
      <c r="K454" s="13" t="str">
        <f t="shared" si="90"/>
        <v>10.1093%2Fscan%2Fnsv128_TableS1</v>
      </c>
      <c r="L454" s="13" t="str">
        <f t="array" ref="L454">IFERROR(INDEX(AUTO_Public_TSV_FileList!$A$1:$A$1000,MATCH(TRUE(),EXACT(K454,IFERROR(_xlfn.TEXTBEFORE(AUTO_Public_TSV_FileList!$A$1:$A$1000,".tsv"),"")),0)),"notfound")</f>
        <v>10.1093%2Fscan%2Fnsv128_TableS1.tsv</v>
      </c>
      <c r="M454" s="5" t="s">
        <v>1634</v>
      </c>
      <c r="N454" s="5" t="s">
        <v>35</v>
      </c>
      <c r="O454" s="4"/>
      <c r="P454" s="5" t="s">
        <v>36</v>
      </c>
      <c r="Q454" s="4"/>
      <c r="R454" s="4"/>
      <c r="S454" s="4"/>
      <c r="T454" s="4"/>
      <c r="U454" s="4"/>
      <c r="V454" s="4"/>
      <c r="W454" s="4"/>
      <c r="X454" s="4"/>
      <c r="Y454" s="4"/>
      <c r="Z454" s="5" t="s">
        <v>83</v>
      </c>
      <c r="AA454" s="5" t="s">
        <v>130</v>
      </c>
      <c r="AB454" s="5" t="s">
        <v>90</v>
      </c>
      <c r="AC454" s="5" t="s">
        <v>1474</v>
      </c>
      <c r="AD454" s="5" t="s">
        <v>1474</v>
      </c>
      <c r="AE454" s="5" t="s">
        <v>66</v>
      </c>
      <c r="AF454" s="5"/>
      <c r="AG454" s="4"/>
    </row>
    <row r="455" spans="1:33" ht="15" customHeight="1">
      <c r="A455" s="5" t="s">
        <v>1633</v>
      </c>
      <c r="B455" s="4"/>
      <c r="C455" s="4"/>
      <c r="D455" s="5" t="s">
        <v>1635</v>
      </c>
      <c r="E455" s="13" t="str">
        <f t="shared" si="91"/>
        <v>Stimpson</v>
      </c>
      <c r="F455" s="13" t="str">
        <f t="array" ref="F455">_xlfn.LET(
 _xlpm.authors,_xlfn.TEXTBEFORE(A455," ("&amp;G455&amp;")"),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5" s="13" t="str">
        <f t="shared" si="92"/>
        <v>2015</v>
      </c>
      <c r="H455" s="13" t="str">
        <f t="shared" si="93"/>
        <v>Stimpson_etal_2015</v>
      </c>
      <c r="I455" s="13" t="str">
        <f t="shared" si="89"/>
        <v>10.1093%2Fscan%2Fnsv128</v>
      </c>
      <c r="J455" s="13" t="str">
        <f t="shared" si="94"/>
        <v>Stimpson_etal_2015_TableS2</v>
      </c>
      <c r="K455" s="13" t="str">
        <f t="shared" si="90"/>
        <v>10.1093%2Fscan%2Fnsv128_TableS2</v>
      </c>
      <c r="L455" s="13" t="str">
        <f t="array" ref="L455">IFERROR(INDEX(AUTO_Public_TSV_FileList!$A$1:$A$1000,MATCH(TRUE(),EXACT(K455,IFERROR(_xlfn.TEXTBEFORE(AUTO_Public_TSV_FileList!$A$1:$A$1000,".tsv"),"")),0)),"notfound")</f>
        <v>10.1093%2Fscan%2Fnsv128_TableS2.tsv</v>
      </c>
      <c r="M455" s="5" t="s">
        <v>1635</v>
      </c>
      <c r="N455" s="5" t="s">
        <v>35</v>
      </c>
      <c r="O455" s="4"/>
      <c r="P455" s="5" t="s">
        <v>36</v>
      </c>
      <c r="Q455" s="4"/>
      <c r="R455" s="4"/>
      <c r="S455" s="4"/>
      <c r="T455" s="4"/>
      <c r="U455" s="4"/>
      <c r="V455" s="4"/>
      <c r="W455" s="4"/>
      <c r="X455" s="4"/>
      <c r="Y455" s="4"/>
      <c r="Z455" s="5" t="s">
        <v>83</v>
      </c>
      <c r="AA455" s="5" t="s">
        <v>130</v>
      </c>
      <c r="AB455" s="5" t="s">
        <v>90</v>
      </c>
      <c r="AC455" s="5" t="s">
        <v>1474</v>
      </c>
      <c r="AD455" s="5" t="s">
        <v>1474</v>
      </c>
      <c r="AE455" s="5" t="s">
        <v>66</v>
      </c>
      <c r="AF455" s="5"/>
      <c r="AG455" s="4"/>
    </row>
    <row r="456" spans="1:33" ht="15" customHeight="1">
      <c r="A456" s="5" t="s">
        <v>1636</v>
      </c>
      <c r="B456" s="4"/>
      <c r="C456" s="4"/>
      <c r="D456" s="5" t="s">
        <v>1637</v>
      </c>
      <c r="E456" s="13" t="str">
        <f t="shared" si="91"/>
        <v>Taniguchi</v>
      </c>
      <c r="F456" s="13" t="str">
        <f t="array" ref="F456">_xlfn.LET(
 _xlpm.authors,_xlfn.TEXTBEFORE(A456," ("&amp;G456&amp;")"),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6" s="13" t="str">
        <f t="shared" si="92"/>
        <v>2022</v>
      </c>
      <c r="H456" s="13" t="str">
        <f t="shared" si="93"/>
        <v>Taniguchi_etal_2022</v>
      </c>
      <c r="I456" s="13" t="str">
        <f t="shared" si="89"/>
        <v>10.1371%2Fjournal.pone.0274170</v>
      </c>
      <c r="J456" s="13" t="str">
        <f t="shared" si="94"/>
        <v>Taniguchi_etal_2022_Findings</v>
      </c>
      <c r="K456" s="13" t="str">
        <f t="shared" si="90"/>
        <v>10.1371%2Fjournal.pone.0274170_Findings</v>
      </c>
      <c r="L456" s="13" t="str">
        <f t="array" ref="L456">IFERROR(INDEX(AUTO_Public_TSV_FileList!$A$1:$A$1000,MATCH(TRUE(),EXACT(K456,IFERROR(_xlfn.TEXTBEFORE(AUTO_Public_TSV_FileList!$A$1:$A$1000,".tsv"),"")),0)),"notfound")</f>
        <v>10.1371%2Fjournal.pone.0274170_Findings.tsv</v>
      </c>
      <c r="M456" s="5"/>
      <c r="N456" s="5"/>
      <c r="O456" s="4"/>
      <c r="P456" s="5"/>
      <c r="Q456" s="4"/>
      <c r="R456" s="4"/>
      <c r="S456" s="4"/>
      <c r="T456" s="4"/>
      <c r="U456" s="4"/>
      <c r="V456" s="4"/>
      <c r="W456" s="4"/>
      <c r="X456" s="4"/>
      <c r="Y456" s="4"/>
      <c r="Z456" s="5"/>
      <c r="AA456" s="5"/>
      <c r="AB456" s="5"/>
      <c r="AC456" s="5"/>
      <c r="AD456" s="5"/>
      <c r="AE456" s="5"/>
      <c r="AF456" s="5"/>
      <c r="AG456" s="4"/>
    </row>
    <row r="457" spans="1:33" ht="15" customHeight="1">
      <c r="A457" s="5" t="s">
        <v>1638</v>
      </c>
      <c r="B457" s="4"/>
      <c r="C457" s="4"/>
      <c r="D457" s="5" t="s">
        <v>1639</v>
      </c>
      <c r="E457" s="13" t="str">
        <f t="shared" si="91"/>
        <v>Todorov</v>
      </c>
      <c r="F457" s="13" t="str">
        <f t="array" ref="F457">_xlfn.LET(
 _xlpm.authors,_xlfn.TEXTBEFORE(A457," ("&amp;G457&amp;")"),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7" s="13" t="str">
        <f t="shared" si="92"/>
        <v>2019</v>
      </c>
      <c r="H457" s="13" t="str">
        <f t="shared" si="93"/>
        <v>Todorov_etal_2019</v>
      </c>
      <c r="I457" s="13" t="str">
        <f t="shared" si="89"/>
        <v>10.1098%2Frspb.2019.1712</v>
      </c>
      <c r="J457" s="13" t="str">
        <f t="shared" si="94"/>
        <v>Todorov_etal_2019_rspb20191712si001</v>
      </c>
      <c r="K457" s="13" t="str">
        <f t="shared" si="90"/>
        <v>10.1098%2Frspb.2019.1712_rspb20191712si001</v>
      </c>
      <c r="L457" s="13" t="str">
        <f t="array" ref="L457">IFERROR(INDEX(AUTO_Public_TSV_FileList!$A$1:$A$1000,MATCH(TRUE(),EXACT(K457,IFERROR(_xlfn.TEXTBEFORE(AUTO_Public_TSV_FileList!$A$1:$A$1000,".tsv"),"")),0)),"notfound")</f>
        <v>notfound</v>
      </c>
      <c r="M457" s="5" t="s">
        <v>1640</v>
      </c>
      <c r="N457" s="5"/>
      <c r="O457" s="4"/>
      <c r="P457" s="5"/>
      <c r="Q457" s="4"/>
      <c r="R457" s="4"/>
      <c r="S457" s="4"/>
      <c r="T457" s="4"/>
      <c r="U457" s="4"/>
      <c r="V457" s="4"/>
      <c r="W457" s="4"/>
      <c r="X457" s="4"/>
      <c r="Y457" s="4"/>
      <c r="Z457" s="5"/>
      <c r="AA457" s="5"/>
      <c r="AB457" s="5"/>
      <c r="AC457" s="5"/>
      <c r="AD457" s="5"/>
      <c r="AE457" s="5"/>
      <c r="AF457" s="5"/>
      <c r="AG457" s="4"/>
    </row>
    <row r="458" spans="1:33" ht="15" customHeight="1">
      <c r="A458" s="3" t="s">
        <v>1641</v>
      </c>
      <c r="B458" s="3"/>
      <c r="C458" s="3" t="s">
        <v>1642</v>
      </c>
      <c r="D458" s="3" t="s">
        <v>1643</v>
      </c>
      <c r="E458" s="12" t="str">
        <f t="shared" si="91"/>
        <v>Tschudin</v>
      </c>
      <c r="F458" s="13" t="str">
        <f t="array" ref="F458">_xlfn.LET(
 _xlpm.authors,_xlfn.TEXTBEFORE(A458," ("&amp;G458&amp;")"),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58" s="13" t="str">
        <f t="shared" si="92"/>
        <v>1998</v>
      </c>
      <c r="H458" s="12" t="str">
        <f t="shared" si="93"/>
        <v>Tschudin__1998</v>
      </c>
      <c r="I458" s="12" t="str">
        <f>_xlfn.LET(_xlpm.doi,IF(C458&lt;&gt;"",C458,_xlfn.TEXTAFTER(A458,"https://doi.org/")),SUBSTITUTE(SUBSTITUTE(SUBSTITUTE(SUBSTITUTE(_xlpm.doi,"/","%2F"),":","%3A"),"&lt;","%3C"),"&gt;","%3E"))</f>
        <v>CorpusID%3A142614626</v>
      </c>
      <c r="J458" s="12" t="str">
        <f t="shared" si="94"/>
        <v>Tschudin__1998_Table2.5</v>
      </c>
      <c r="K458" s="12" t="str">
        <f t="shared" si="90"/>
        <v>CorpusID%3A142614626_Table2.5</v>
      </c>
      <c r="L458" s="13" t="s">
        <v>1644</v>
      </c>
      <c r="M458" s="3" t="s">
        <v>1645</v>
      </c>
      <c r="N458" s="5" t="s">
        <v>35</v>
      </c>
      <c r="O458" s="4" t="s">
        <v>1646</v>
      </c>
      <c r="P458" s="3" t="s">
        <v>36</v>
      </c>
      <c r="Q458" s="3"/>
      <c r="R458" s="3"/>
      <c r="S458" s="3" t="s">
        <v>569</v>
      </c>
      <c r="T458" s="3" t="s">
        <v>570</v>
      </c>
      <c r="U458" s="3"/>
      <c r="V458" s="3" t="s">
        <v>571</v>
      </c>
      <c r="W458" s="3" t="s">
        <v>1284</v>
      </c>
      <c r="X458" s="3" t="s">
        <v>1647</v>
      </c>
      <c r="Y458" s="3"/>
      <c r="Z458" s="3"/>
      <c r="AA458" s="3" t="s">
        <v>1648</v>
      </c>
      <c r="AB458" s="3" t="s">
        <v>1649</v>
      </c>
      <c r="AC458" s="4"/>
      <c r="AD458" s="3"/>
      <c r="AE458" s="3" t="s">
        <v>66</v>
      </c>
      <c r="AF458" s="3"/>
      <c r="AG458" s="3" t="s">
        <v>1650</v>
      </c>
    </row>
    <row r="459" spans="1:33" ht="15" customHeight="1">
      <c r="A459" s="5" t="s">
        <v>1651</v>
      </c>
      <c r="B459" s="4"/>
      <c r="C459" s="4"/>
      <c r="D459" s="5" t="s">
        <v>81</v>
      </c>
      <c r="E459" s="13" t="str">
        <f t="shared" si="91"/>
        <v>Turner</v>
      </c>
      <c r="F459" s="13" t="str">
        <f t="array" ref="F459">_xlfn.LET(
 _xlpm.authors,_xlfn.TEXTBEFORE(A459," ("&amp;G459&amp;")"),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59" s="13" t="str">
        <f t="shared" si="92"/>
        <v>2016</v>
      </c>
      <c r="H459" s="13" t="str">
        <f t="shared" si="93"/>
        <v>Turner_etal_2016</v>
      </c>
      <c r="I459" s="13" t="str">
        <f>_xlfn.LET(
_xlpm.doi,IF(C459&lt;&gt;"",C459,_xlfn.TEXTAFTER(A459,"https://doi.org/")),
SUBSTITUTE(
SUBSTITUTE(
SUBSTITUTE(
SUBSTITUTE(
_xlpm.doi,
"/","%2F"),
":","%3A"),
"&lt;","%3C"),
"&gt;","%3E")
)</f>
        <v>10.1159%2F000446762</v>
      </c>
      <c r="J459" s="13" t="str">
        <f t="shared" si="94"/>
        <v>Turner_etal_2016_Table1</v>
      </c>
      <c r="K459" s="13" t="str">
        <f t="shared" si="90"/>
        <v>10.1159%2F000446762_Table1</v>
      </c>
      <c r="L459" s="13" t="str">
        <f t="array" ref="L459">IFERROR(INDEX(AUTO_Public_TSV_FileList!$A$1:$A$1000,MATCH(TRUE(),EXACT(K459,IFERROR(_xlfn.TEXTBEFORE(AUTO_Public_TSV_FileList!$A$1:$A$1000,".tsv"),"")),0)),"notfound")</f>
        <v>10.1159%2F000446762_Table1.tsv</v>
      </c>
      <c r="M459" s="5" t="s">
        <v>1652</v>
      </c>
      <c r="N459" s="4"/>
      <c r="O459" s="4"/>
      <c r="P459" s="4" t="s">
        <v>36</v>
      </c>
      <c r="Q459" s="4"/>
      <c r="R459" s="4"/>
      <c r="S459" s="4"/>
      <c r="T459" s="4"/>
      <c r="U459" s="4"/>
      <c r="V459" s="4"/>
      <c r="W459" s="5" t="s">
        <v>138</v>
      </c>
      <c r="X459" s="5" t="s">
        <v>1653</v>
      </c>
      <c r="Y459" s="4"/>
      <c r="Z459" s="4"/>
      <c r="AA459" s="4"/>
      <c r="AB459" s="5" t="s">
        <v>178</v>
      </c>
      <c r="AC459" s="4"/>
      <c r="AD459" s="4"/>
      <c r="AE459" s="5" t="s">
        <v>66</v>
      </c>
      <c r="AF459" s="5"/>
      <c r="AG459" s="4"/>
    </row>
    <row r="460" spans="1:33" ht="15" customHeight="1">
      <c r="A460" s="4" t="s">
        <v>1654</v>
      </c>
      <c r="B460" s="4"/>
      <c r="C460" s="4"/>
      <c r="D460" s="4" t="s">
        <v>1655</v>
      </c>
      <c r="E460" s="12" t="str">
        <f t="shared" si="91"/>
        <v>Upham</v>
      </c>
      <c r="F460" s="13" t="str">
        <f t="array" ref="F460">_xlfn.LET(
 _xlpm.authors,_xlfn.TEXTBEFORE(A460," ("&amp;G460&amp;")"),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0" s="13" t="str">
        <f t="shared" si="92"/>
        <v>2019</v>
      </c>
      <c r="H460" s="12" t="str">
        <f t="shared" si="93"/>
        <v>Upham_etal_2019</v>
      </c>
      <c r="I460" s="12" t="str">
        <f>_xlfn.LET(_xlpm.doi,IF(C460&lt;&gt;"",C460,_xlfn.TEXTAFTER(A460,"https://doi.org/")),SUBSTITUTE(SUBSTITUTE(SUBSTITUTE(SUBSTITUTE(_xlpm.doi,"/","%2F"),":","%3A"),"&lt;","%3C"),"&gt;","%3E"))</f>
        <v>10.1371%2Fjournal.pbio.3000494</v>
      </c>
      <c r="J460" s="12" t="str">
        <f t="shared" si="94"/>
        <v>Upham_etal_2019_Completed100</v>
      </c>
      <c r="K460" s="13" t="str">
        <f t="shared" si="90"/>
        <v>10.1371%2Fjournal.pbio.3000494_Completed100</v>
      </c>
      <c r="L460" s="13" t="str">
        <f t="array" ref="L460">IFERROR(INDEX(AUTO_Public_TSV_FileList!$A$1:$A$1000,MATCH(TRUE(),EXACT(K460,IFERROR(_xlfn.TEXTBEFORE(AUTO_Public_TSV_FileList!$A$1:$A$1000,".tsv"),"")),0)),"notfound")</f>
        <v>notfound</v>
      </c>
      <c r="M460" s="4" t="s">
        <v>1656</v>
      </c>
      <c r="N460" s="5" t="s">
        <v>855</v>
      </c>
      <c r="O460" s="4" t="s">
        <v>1657</v>
      </c>
      <c r="P460" s="4"/>
      <c r="Q460" s="4"/>
      <c r="R460" s="4"/>
      <c r="S460" s="4"/>
      <c r="T460" s="4"/>
      <c r="U460" s="4"/>
      <c r="V460" s="4"/>
      <c r="W460" s="4"/>
      <c r="X460" s="4"/>
      <c r="Y460" s="4"/>
      <c r="Z460" s="4"/>
      <c r="AA460" s="4"/>
      <c r="AB460" s="4"/>
      <c r="AC460" s="4"/>
      <c r="AD460" s="4"/>
      <c r="AE460" s="4"/>
      <c r="AF460" s="4"/>
      <c r="AG460" s="4"/>
    </row>
    <row r="461" spans="1:33" ht="15" customHeight="1">
      <c r="A461" s="5" t="s">
        <v>1654</v>
      </c>
      <c r="B461" s="4"/>
      <c r="C461" s="4"/>
      <c r="D461" s="5" t="s">
        <v>1658</v>
      </c>
      <c r="E461" s="12" t="str">
        <f t="shared" si="91"/>
        <v>Upham</v>
      </c>
      <c r="F461" s="13" t="str">
        <f t="array" ref="F461">_xlfn.LET(
 _xlpm.authors,_xlfn.TEXTBEFORE(A461," ("&amp;G461&amp;")"),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1" s="13" t="str">
        <f t="shared" si="92"/>
        <v>2019</v>
      </c>
      <c r="H461" s="12" t="str">
        <f t="shared" si="93"/>
        <v>Upham_etal_2019</v>
      </c>
      <c r="I461" s="12" t="str">
        <f>_xlfn.LET(_xlpm.doi,IF(C461&lt;&gt;"",C461,_xlfn.TEXTAFTER(A461,"https://doi.org/")),SUBSTITUTE(SUBSTITUTE(SUBSTITUTE(SUBSTITUTE(_xlpm.doi,"/","%2F"),":","%3A"),"&lt;","%3C"),"&gt;","%3E"))</f>
        <v>10.1371%2Fjournal.pbio.3000494</v>
      </c>
      <c r="J461" s="12" t="str">
        <f t="shared" si="94"/>
        <v>Upham_etal_2019_DNAonlyMCC</v>
      </c>
      <c r="K461" s="13" t="str">
        <f t="shared" si="90"/>
        <v>10.1371%2Fjournal.pbio.3000494_DNAonlyMCC</v>
      </c>
      <c r="L461" s="13" t="str">
        <f t="array" ref="L461">IFERROR(INDEX(AUTO_Public_TSV_FileList!$A$1:$A$1000,MATCH(TRUE(),EXACT(K461,IFERROR(_xlfn.TEXTBEFORE(AUTO_Public_TSV_FileList!$A$1:$A$1000,".tsv"),"")),0)),"notfound")</f>
        <v>10.1371%2Fjournal.pbio.3000494_DNAonlyMCC.tsv</v>
      </c>
      <c r="M461" s="5" t="s">
        <v>1659</v>
      </c>
      <c r="N461" s="5" t="s">
        <v>855</v>
      </c>
      <c r="O461" s="4"/>
      <c r="P461" s="4" t="s">
        <v>36</v>
      </c>
      <c r="Q461" s="4"/>
      <c r="R461" s="4"/>
      <c r="S461" s="4"/>
      <c r="T461" s="4"/>
      <c r="U461" s="4"/>
      <c r="V461" s="4"/>
      <c r="W461" s="4"/>
      <c r="X461" s="4"/>
      <c r="Y461" s="4"/>
      <c r="Z461" s="4"/>
      <c r="AA461" s="4"/>
      <c r="AB461" s="4"/>
      <c r="AC461" s="4"/>
      <c r="AD461" s="4"/>
      <c r="AE461" s="4"/>
      <c r="AF461" s="4"/>
      <c r="AG461" s="4"/>
    </row>
    <row r="462" spans="1:33" ht="15" customHeight="1">
      <c r="A462" s="4" t="s">
        <v>1660</v>
      </c>
      <c r="B462" s="4"/>
      <c r="C462" s="4"/>
      <c r="D462" s="4" t="s">
        <v>81</v>
      </c>
      <c r="E462" s="13" t="str">
        <f t="shared" si="91"/>
        <v>VanEssen</v>
      </c>
      <c r="F462" s="13" t="str">
        <f t="array" ref="F462">_xlfn.LET(
 _xlpm.authors,_xlfn.TEXTBEFORE(A462," ("&amp;G462&amp;")"),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Drury</v>
      </c>
      <c r="G462" s="13" t="str">
        <f t="shared" si="92"/>
        <v>1997</v>
      </c>
      <c r="H462" s="13" t="str">
        <f t="shared" si="93"/>
        <v>VanEssen_Drury_1997</v>
      </c>
      <c r="I462" s="13" t="str">
        <f t="shared" ref="I462:I471" si="95">_xlfn.LET(
_xlpm.doi,IF(C462&lt;&gt;"",C462,_xlfn.TEXTAFTER(A462,"https://doi.org/")),
SUBSTITUTE(
SUBSTITUTE(
SUBSTITUTE(
SUBSTITUTE(
_xlpm.doi,
"/","%2F"),
":","%3A"),
"&lt;","%3C"),
"&gt;","%3E")
)</f>
        <v>10.1523%2FJNEUROSCI.17-18-07079.1997</v>
      </c>
      <c r="J462" s="13" t="str">
        <f t="shared" si="94"/>
        <v>VanEssen_Drury_1997_Table1</v>
      </c>
      <c r="K462" s="13" t="str">
        <f t="shared" si="90"/>
        <v>10.1523%2FJNEUROSCI.17-18-07079.1997_Table1</v>
      </c>
      <c r="L462" s="13" t="str">
        <f t="array" ref="L462">IFERROR(INDEX(AUTO_Public_TSV_FileList!$A$1:$A$1000,MATCH(TRUE(),EXACT(K462,IFERROR(_xlfn.TEXTBEFORE(AUTO_Public_TSV_FileList!$A$1:$A$1000,".tsv"),"")),0)),"notfound")</f>
        <v>10.1523%2FJNEUROSCI.17-18-07079.1997_Table1.tsv</v>
      </c>
      <c r="M462" s="4" t="s">
        <v>1661</v>
      </c>
      <c r="N462" s="4"/>
      <c r="O462" s="4"/>
      <c r="P462" s="4"/>
      <c r="Q462" s="4"/>
      <c r="R462" s="4"/>
      <c r="S462" s="4"/>
      <c r="T462" s="4"/>
      <c r="U462" s="4"/>
      <c r="V462" s="4"/>
      <c r="W462" s="4"/>
      <c r="X462" s="4"/>
      <c r="Y462" s="4"/>
      <c r="Z462" s="4"/>
      <c r="AA462" s="4"/>
      <c r="AB462" s="4"/>
      <c r="AC462" s="4"/>
      <c r="AD462" s="4"/>
      <c r="AE462" s="4"/>
      <c r="AF462" s="4"/>
      <c r="AG462" s="4"/>
    </row>
    <row r="463" spans="1:33" ht="15" customHeight="1">
      <c r="A463" s="4" t="s">
        <v>1662</v>
      </c>
      <c r="B463" s="4"/>
      <c r="C463" s="4"/>
      <c r="D463" s="4" t="s">
        <v>1663</v>
      </c>
      <c r="E463" s="13" t="str">
        <f t="shared" si="91"/>
        <v>Veilleux</v>
      </c>
      <c r="F463" s="13" t="str">
        <f t="array" ref="F463">_xlfn.LET(
 _xlpm.authors,_xlfn.TEXTBEFORE(A463," ("&amp;G463&amp;")"),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Kirk</v>
      </c>
      <c r="G463" s="13" t="str">
        <f t="shared" si="92"/>
        <v>2014</v>
      </c>
      <c r="H463" s="13" t="str">
        <f t="shared" si="93"/>
        <v>Veilleux_Kirk_2014</v>
      </c>
      <c r="I463" s="13" t="str">
        <f t="shared" si="95"/>
        <v>10.1159%2F000357830</v>
      </c>
      <c r="J463" s="13" t="str">
        <f t="shared" si="94"/>
        <v>Veilleux_Kirk_2014_SupplementalTable1</v>
      </c>
      <c r="K463" s="13" t="str">
        <f t="shared" si="90"/>
        <v>10.1159%2F000357830_SupplementalTable1</v>
      </c>
      <c r="L463" s="13" t="str">
        <f t="array" ref="L463">IFERROR(INDEX(AUTO_Public_TSV_FileList!$A$1:$A$1000,MATCH(TRUE(),EXACT(K463,IFERROR(_xlfn.TEXTBEFORE(AUTO_Public_TSV_FileList!$A$1:$A$1000,".tsv"),"")),0)),"notfound")</f>
        <v>10.1159%2F000357830_SupplementalTable1.tsv</v>
      </c>
      <c r="M463" s="4" t="s">
        <v>1664</v>
      </c>
      <c r="N463" s="5" t="s">
        <v>35</v>
      </c>
      <c r="O463" s="3" t="s">
        <v>1665</v>
      </c>
      <c r="P463" s="3"/>
      <c r="Q463" s="3"/>
      <c r="R463" s="3" t="s">
        <v>1666</v>
      </c>
      <c r="S463" s="3" t="s">
        <v>1667</v>
      </c>
      <c r="T463" s="3" t="s">
        <v>1668</v>
      </c>
      <c r="U463" s="3"/>
      <c r="V463" s="3"/>
      <c r="W463" s="3" t="s">
        <v>138</v>
      </c>
      <c r="X463" s="3" t="s">
        <v>1669</v>
      </c>
      <c r="Y463" s="3"/>
      <c r="Z463" s="3"/>
      <c r="AA463" s="3" t="s">
        <v>1670</v>
      </c>
      <c r="AB463" s="3" t="s">
        <v>1671</v>
      </c>
      <c r="AC463" s="3"/>
      <c r="AD463" s="3"/>
      <c r="AE463" s="4" t="s">
        <v>51</v>
      </c>
      <c r="AF463" s="4"/>
      <c r="AG463" s="3" t="s">
        <v>1672</v>
      </c>
    </row>
    <row r="464" spans="1:33" ht="15" customHeight="1">
      <c r="A464" s="4" t="s">
        <v>1673</v>
      </c>
      <c r="B464" s="4"/>
      <c r="C464" s="4"/>
      <c r="D464" s="4" t="s">
        <v>1674</v>
      </c>
      <c r="E464" s="12" t="str">
        <f t="shared" si="91"/>
        <v>Walhovd</v>
      </c>
      <c r="F464" s="12" t="str">
        <f t="array" ref="F464">_xlfn.LET(
 _xlpm.authors,_xlfn.TEXTBEFORE(A464," ("&amp;G464&amp;")"),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4" s="12" t="str">
        <f t="shared" si="92"/>
        <v>2011</v>
      </c>
      <c r="H464" s="12" t="str">
        <f t="shared" si="93"/>
        <v>Walhovd_etal_2011</v>
      </c>
      <c r="I464" s="12" t="str">
        <f t="shared" si="95"/>
        <v>10.1016%2Fj.neurobiolaging.2009.05.013</v>
      </c>
      <c r="J464" s="12" t="str">
        <f t="shared" si="94"/>
        <v>Walhovd_etal_2011_normativevolumes</v>
      </c>
      <c r="K464" s="12" t="str">
        <f>I464 &amp; "_" &amp; SUBSTITUTE(SUBSTITUTE(SUBSTITUTE(D464,CHAR(160),""), " ", ""), "_", "")</f>
        <v>10.1016%2Fj.neurobiolaging.2009.05.013_normativevolumes</v>
      </c>
      <c r="L464" s="13" t="str">
        <f t="array" ref="L464">IFERROR(INDEX(AUTO_Public_TSV_FileList!$A$1:$A$1000,MATCH(TRUE(),EXACT(K464,IFERROR(_xlfn.TEXTBEFORE(AUTO_Public_TSV_FileList!$A$1:$A$1000,".tsv"),"")),0)),"notfound")</f>
        <v>10.1016%2Fj.neurobiolaging.2009.05.013_normativevolumes.tsv</v>
      </c>
      <c r="M464" s="4" t="s">
        <v>1675</v>
      </c>
      <c r="N464" s="4" t="s">
        <v>1676</v>
      </c>
      <c r="O464" s="4"/>
      <c r="P464" s="4" t="s">
        <v>36</v>
      </c>
      <c r="Q464" s="4" t="s">
        <v>1677</v>
      </c>
      <c r="R464" s="4"/>
      <c r="S464" s="4"/>
      <c r="T464" s="4"/>
      <c r="U464" s="4"/>
      <c r="V464" s="4"/>
      <c r="W464" s="4" t="s">
        <v>644</v>
      </c>
      <c r="X464" s="4"/>
      <c r="Y464" s="4"/>
      <c r="Z464" s="4" t="s">
        <v>1678</v>
      </c>
      <c r="AA464" s="4" t="s">
        <v>1224</v>
      </c>
      <c r="AB464" s="4" t="s">
        <v>90</v>
      </c>
      <c r="AC464" s="4" t="s">
        <v>1679</v>
      </c>
      <c r="AD464" s="4"/>
      <c r="AE464" s="4" t="s">
        <v>179</v>
      </c>
      <c r="AF464" s="4"/>
      <c r="AG464" s="4"/>
    </row>
    <row r="465" spans="1:33" ht="15" customHeight="1">
      <c r="A465" s="5" t="s">
        <v>1680</v>
      </c>
      <c r="B465" s="4"/>
      <c r="C465" s="5" t="s">
        <v>1681</v>
      </c>
      <c r="D465" s="5" t="s">
        <v>1682</v>
      </c>
      <c r="E465" s="13" t="str">
        <f t="shared" si="91"/>
        <v>Weaver</v>
      </c>
      <c r="F465" s="13" t="str">
        <f t="array" ref="F465">_xlfn.LET(
 _xlpm.authors,_xlfn.TEXTBEFORE(A465," ("&amp;G465&amp;")"),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65" s="13" t="str">
        <f t="shared" si="92"/>
        <v>2001</v>
      </c>
      <c r="H465" s="13" t="str">
        <f t="shared" si="93"/>
        <v>Weaver__2001</v>
      </c>
      <c r="I465" s="13" t="str">
        <f t="shared" si="95"/>
        <v>UMI%3A3017523</v>
      </c>
      <c r="J465" s="13" t="str">
        <f t="shared" si="94"/>
        <v>Weaver__2001_NotesforTableA-15</v>
      </c>
      <c r="K465" s="13" t="str">
        <f t="shared" ref="K465:K488" si="96">I465 &amp; "_" &amp; SUBSTITUTE(SUBSTITUTE(SUBSTITUTE(D465,CHAR(160),"")," ",""),"_","")</f>
        <v>UMI%3A3017523_NotesforTableA-15</v>
      </c>
      <c r="L465" s="13" t="str">
        <f t="array" ref="L465">IFERROR(INDEX(AUTO_Public_TSV_FileList!$A$1:$A$1000,MATCH(TRUE(),EXACT(K465,IFERROR(_xlfn.TEXTBEFORE(AUTO_Public_TSV_FileList!$A$1:$A$1000,".tsv"),"")),0)),"notfound")</f>
        <v>UMI%3A3017523_NotesforTableA-15.tsv</v>
      </c>
      <c r="M465" s="5" t="s">
        <v>1682</v>
      </c>
      <c r="N465" s="4"/>
      <c r="O465" s="4"/>
      <c r="P465" s="5" t="s">
        <v>36</v>
      </c>
      <c r="Q465" s="4"/>
      <c r="R465" s="4"/>
      <c r="S465" s="4"/>
      <c r="T465" s="4"/>
      <c r="U465" s="4"/>
      <c r="V465" s="4"/>
      <c r="W465" s="4"/>
      <c r="X465" s="4"/>
      <c r="Y465" s="4"/>
      <c r="Z465" s="4"/>
      <c r="AA465" s="4"/>
      <c r="AB465" s="4"/>
      <c r="AC465" s="4"/>
      <c r="AD465" s="4"/>
      <c r="AE465" s="4"/>
      <c r="AF465" s="4"/>
      <c r="AG465" s="4"/>
    </row>
    <row r="466" spans="1:33" ht="15" customHeight="1">
      <c r="A466" s="5" t="s">
        <v>1680</v>
      </c>
      <c r="B466" s="4"/>
      <c r="C466" s="5" t="s">
        <v>1681</v>
      </c>
      <c r="D466" s="5" t="s">
        <v>1683</v>
      </c>
      <c r="E466" s="13" t="str">
        <f t="shared" si="91"/>
        <v>Weaver</v>
      </c>
      <c r="F466" s="13" t="str">
        <f t="array" ref="F466">_xlfn.LET(
 _xlpm.authors,_xlfn.TEXTBEFORE(A466," ("&amp;G466&amp;")"),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66" s="13" t="str">
        <f t="shared" si="92"/>
        <v>2001</v>
      </c>
      <c r="H466" s="13" t="str">
        <f t="shared" si="93"/>
        <v>Weaver__2001</v>
      </c>
      <c r="I466" s="13" t="str">
        <f t="shared" si="95"/>
        <v>UMI%3A3017523</v>
      </c>
      <c r="J466" s="13" t="str">
        <f t="shared" si="94"/>
        <v>Weaver__2001_TableA-11</v>
      </c>
      <c r="K466" s="13" t="str">
        <f t="shared" si="96"/>
        <v>UMI%3A3017523_TableA-11</v>
      </c>
      <c r="L466" s="13" t="str">
        <f t="array" ref="L466">IFERROR(INDEX(AUTO_Public_TSV_FileList!$A$1:$A$1000,MATCH(TRUE(),EXACT(K466,IFERROR(_xlfn.TEXTBEFORE(AUTO_Public_TSV_FileList!$A$1:$A$1000,".tsv"),"")),0)),"notfound")</f>
        <v>UMI%3A3017523_TableA-11.tsv</v>
      </c>
      <c r="M466" s="5" t="s">
        <v>1684</v>
      </c>
      <c r="N466" s="4"/>
      <c r="O466" s="4"/>
      <c r="P466" s="5" t="s">
        <v>36</v>
      </c>
      <c r="Q466" s="4"/>
      <c r="R466" s="4"/>
      <c r="S466" s="4"/>
      <c r="T466" s="4"/>
      <c r="U466" s="4"/>
      <c r="V466" s="4"/>
      <c r="W466" s="4"/>
      <c r="X466" s="4"/>
      <c r="Y466" s="4"/>
      <c r="Z466" s="4"/>
      <c r="AA466" s="4"/>
      <c r="AB466" s="4"/>
      <c r="AC466" s="4"/>
      <c r="AD466" s="4"/>
      <c r="AE466" s="4"/>
      <c r="AF466" s="4"/>
      <c r="AG466" s="4"/>
    </row>
    <row r="467" spans="1:33" ht="15" customHeight="1">
      <c r="A467" s="5" t="s">
        <v>1680</v>
      </c>
      <c r="B467" s="4"/>
      <c r="C467" s="5" t="s">
        <v>1681</v>
      </c>
      <c r="D467" s="5" t="s">
        <v>1685</v>
      </c>
      <c r="E467" s="13" t="str">
        <f t="shared" si="91"/>
        <v>Weaver</v>
      </c>
      <c r="F467" s="13" t="str">
        <f t="array" ref="F467">_xlfn.LET(
 _xlpm.authors,_xlfn.TEXTBEFORE(A467," ("&amp;G467&amp;")"),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467" s="13" t="str">
        <f t="shared" si="92"/>
        <v>2001</v>
      </c>
      <c r="H467" s="13" t="str">
        <f t="shared" si="93"/>
        <v>Weaver__2001</v>
      </c>
      <c r="I467" s="13" t="str">
        <f t="shared" si="95"/>
        <v>UMI%3A3017523</v>
      </c>
      <c r="J467" s="13" t="str">
        <f t="shared" si="94"/>
        <v>Weaver__2001_TableA-15</v>
      </c>
      <c r="K467" s="13" t="str">
        <f t="shared" si="96"/>
        <v>UMI%3A3017523_TableA-15</v>
      </c>
      <c r="L467" s="13" t="str">
        <f t="array" ref="L467">IFERROR(INDEX(AUTO_Public_TSV_FileList!$A$1:$A$1000,MATCH(TRUE(),EXACT(K467,IFERROR(_xlfn.TEXTBEFORE(AUTO_Public_TSV_FileList!$A$1:$A$1000,".tsv"),"")),0)),"notfound")</f>
        <v>UMI%3A3017523_TableA-15.tsv</v>
      </c>
      <c r="M467" s="5" t="s">
        <v>1686</v>
      </c>
      <c r="N467" s="4"/>
      <c r="O467" s="4"/>
      <c r="P467" s="5" t="s">
        <v>36</v>
      </c>
      <c r="Q467" s="4"/>
      <c r="R467" s="4"/>
      <c r="S467" s="4"/>
      <c r="T467" s="4"/>
      <c r="U467" s="4"/>
      <c r="V467" s="4"/>
      <c r="W467" s="4"/>
      <c r="X467" s="4"/>
      <c r="Y467" s="4"/>
      <c r="Z467" s="4"/>
      <c r="AA467" s="4"/>
      <c r="AB467" s="4"/>
      <c r="AC467" s="4"/>
      <c r="AD467" s="4"/>
      <c r="AE467" s="4"/>
      <c r="AF467" s="4"/>
      <c r="AG467" s="4"/>
    </row>
    <row r="468" spans="1:33" ht="15" customHeight="1">
      <c r="A468" s="4" t="s">
        <v>1687</v>
      </c>
      <c r="B468" s="4"/>
      <c r="C468" s="4"/>
      <c r="D468" s="4" t="s">
        <v>81</v>
      </c>
      <c r="E468" s="13" t="str">
        <f t="shared" si="91"/>
        <v>Weibel</v>
      </c>
      <c r="F468" s="13" t="str">
        <f t="array" ref="F468">_xlfn.LET(
 _xlpm.authors,_xlfn.TEXTBEFORE(A468," ("&amp;G468&amp;")"),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8" s="13" t="str">
        <f t="shared" si="92"/>
        <v>2004</v>
      </c>
      <c r="H468" s="13" t="str">
        <f t="shared" si="93"/>
        <v>Weibel_etal_2004</v>
      </c>
      <c r="I468" s="13" t="str">
        <f t="shared" si="95"/>
        <v>10.1016%2Fj.resp.2004.01.006</v>
      </c>
      <c r="J468" s="13" t="str">
        <f t="shared" si="94"/>
        <v>Weibel_etal_2004_Table1</v>
      </c>
      <c r="K468" s="13" t="str">
        <f t="shared" si="96"/>
        <v>10.1016%2Fj.resp.2004.01.006_Table1</v>
      </c>
      <c r="L468" s="13" t="str">
        <f t="array" ref="L468">IFERROR(INDEX(AUTO_Public_TSV_FileList!$A$1:$A$1000,MATCH(TRUE(),EXACT(K468,IFERROR(_xlfn.TEXTBEFORE(AUTO_Public_TSV_FileList!$A$1:$A$1000,".tsv"),"")),0)),"notfound")</f>
        <v>10.1016%2Fj.resp.2004.01.006_Table1.tsv</v>
      </c>
      <c r="M468" s="4" t="s">
        <v>1688</v>
      </c>
      <c r="N468" s="4"/>
      <c r="O468" s="4"/>
      <c r="P468" s="4"/>
      <c r="Q468" s="4"/>
      <c r="R468" s="4"/>
      <c r="S468" s="4"/>
      <c r="T468" s="4"/>
      <c r="U468" s="4"/>
      <c r="V468" s="4"/>
      <c r="W468" s="4"/>
      <c r="X468" s="4"/>
      <c r="Y468" s="4"/>
      <c r="Z468" s="4"/>
      <c r="AA468" s="4"/>
      <c r="AB468" s="4"/>
      <c r="AC468" s="4"/>
      <c r="AD468" s="4"/>
      <c r="AE468" s="4"/>
      <c r="AF468" s="4"/>
      <c r="AG468" s="4"/>
    </row>
    <row r="469" spans="1:33" ht="15" customHeight="1">
      <c r="A469" s="4" t="s">
        <v>1687</v>
      </c>
      <c r="B469" s="4"/>
      <c r="C469" s="4"/>
      <c r="D469" s="4" t="s">
        <v>1689</v>
      </c>
      <c r="E469" s="13" t="str">
        <f t="shared" si="91"/>
        <v>Weibel</v>
      </c>
      <c r="F469" s="13" t="str">
        <f t="array" ref="F469">_xlfn.LET(
 _xlpm.authors,_xlfn.TEXTBEFORE(A469," ("&amp;G469&amp;")"),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69" s="13" t="str">
        <f t="shared" si="92"/>
        <v>2004</v>
      </c>
      <c r="H469" s="13" t="str">
        <f t="shared" si="93"/>
        <v>Weibel_etal_2004</v>
      </c>
      <c r="I469" s="13" t="str">
        <f t="shared" si="95"/>
        <v>10.1016%2Fj.resp.2004.01.006</v>
      </c>
      <c r="J469" s="13" t="str">
        <f t="shared" si="94"/>
        <v>Weibel_etal_2004_TableA.1</v>
      </c>
      <c r="K469" s="13" t="str">
        <f t="shared" si="96"/>
        <v>10.1016%2Fj.resp.2004.01.006_TableA.1</v>
      </c>
      <c r="L469" s="13" t="str">
        <f t="array" ref="L469">IFERROR(INDEX(AUTO_Public_TSV_FileList!$A$1:$A$1000,MATCH(TRUE(),EXACT(K469,IFERROR(_xlfn.TEXTBEFORE(AUTO_Public_TSV_FileList!$A$1:$A$1000,".tsv"),"")),0)),"notfound")</f>
        <v>10.1016%2Fj.resp.2004.01.006_TableA.1.tsv</v>
      </c>
      <c r="M469" s="4" t="s">
        <v>1690</v>
      </c>
      <c r="N469" s="4"/>
      <c r="O469" s="4"/>
      <c r="P469" s="4"/>
      <c r="Q469" s="4"/>
      <c r="R469" s="4"/>
      <c r="S469" s="4"/>
      <c r="T469" s="4"/>
      <c r="U469" s="4"/>
      <c r="V469" s="4"/>
      <c r="W469" s="4"/>
      <c r="X469" s="4"/>
      <c r="Y469" s="4"/>
      <c r="Z469" s="4"/>
      <c r="AA469" s="4"/>
      <c r="AB469" s="4"/>
      <c r="AC469" s="4"/>
      <c r="AD469" s="4"/>
      <c r="AE469" s="4"/>
      <c r="AF469" s="4"/>
      <c r="AG469" s="4"/>
    </row>
    <row r="470" spans="1:33" ht="15" customHeight="1">
      <c r="A470" s="5" t="s">
        <v>1691</v>
      </c>
      <c r="B470" s="4"/>
      <c r="C470" s="4"/>
      <c r="D470" s="5" t="s">
        <v>1692</v>
      </c>
      <c r="E470" s="13" t="str">
        <f t="shared" si="91"/>
        <v>Wilman</v>
      </c>
      <c r="F470" s="13" t="str">
        <f t="array" ref="F470">_xlfn.LET(
 _xlpm.authors,_xlfn.TEXTBEFORE(A470," ("&amp;G470&amp;")"),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0" s="13" t="str">
        <f t="shared" si="92"/>
        <v>2014</v>
      </c>
      <c r="H470" s="13" t="str">
        <f t="shared" si="93"/>
        <v>Wilman_etal_2014</v>
      </c>
      <c r="I470" s="13" t="str">
        <f t="shared" si="95"/>
        <v>10.1890%2F13-1917.1</v>
      </c>
      <c r="J470" s="13" t="str">
        <f t="shared" si="94"/>
        <v>Wilman_etal_2014_MamFuncDat</v>
      </c>
      <c r="K470" s="13" t="str">
        <f t="shared" si="96"/>
        <v>10.1890%2F13-1917.1_MamFuncDat</v>
      </c>
      <c r="L470" s="13" t="str">
        <f t="array" ref="L470">IFERROR(INDEX(AUTO_Public_TSV_FileList!$A$1:$A$1000,MATCH(TRUE(),EXACT(K470,IFERROR(_xlfn.TEXTBEFORE(AUTO_Public_TSV_FileList!$A$1:$A$1000,".tsv"),"")),0)),"notfound")</f>
        <v>10.1890%2F13-1917.1_MamFuncDat.tsv</v>
      </c>
      <c r="M470" s="4"/>
      <c r="N470" s="4"/>
      <c r="O470" s="4"/>
      <c r="P470" s="4" t="s">
        <v>36</v>
      </c>
      <c r="Q470" s="4"/>
      <c r="R470" s="4"/>
      <c r="S470" s="4"/>
      <c r="T470" s="4"/>
      <c r="U470" s="4"/>
      <c r="V470" s="4"/>
      <c r="W470" s="5" t="s">
        <v>138</v>
      </c>
      <c r="X470" s="5" t="s">
        <v>1693</v>
      </c>
      <c r="Y470" s="4"/>
      <c r="Z470" s="4"/>
      <c r="AA470" s="4"/>
      <c r="AB470" s="5" t="s">
        <v>1694</v>
      </c>
      <c r="AC470" s="4"/>
      <c r="AD470" s="4"/>
      <c r="AE470" s="5" t="s">
        <v>179</v>
      </c>
      <c r="AF470" s="5"/>
      <c r="AG470" s="4"/>
    </row>
    <row r="471" spans="1:33" ht="15.75" customHeight="1">
      <c r="A471" s="5" t="s">
        <v>1695</v>
      </c>
      <c r="B471" s="4"/>
      <c r="C471" s="4"/>
      <c r="D471" s="5" t="s">
        <v>1696</v>
      </c>
      <c r="E471" s="13" t="str">
        <f t="shared" si="91"/>
        <v>Wimberly</v>
      </c>
      <c r="F471" s="13" t="str">
        <f t="array" ref="F471">_xlfn.LET(
 _xlpm.authors,_xlfn.TEXTBEFORE(A471," ("&amp;G471&amp;")"),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1" s="13" t="str">
        <f t="shared" si="92"/>
        <v>2021</v>
      </c>
      <c r="H471" s="13" t="str">
        <f t="shared" si="93"/>
        <v>Wimberly_etal_2021</v>
      </c>
      <c r="I471" s="13" t="str">
        <f t="shared" si="95"/>
        <v>10.1098%2Frspb.2021.0937</v>
      </c>
      <c r="J471" s="13" t="str">
        <f t="shared" si="94"/>
        <v>Wimberly_etal_2021_MammalGait</v>
      </c>
      <c r="K471" s="13" t="str">
        <f t="shared" si="96"/>
        <v>10.1098%2Frspb.2021.0937_MammalGait</v>
      </c>
      <c r="L471" s="13" t="str">
        <f t="array" ref="L471">IFERROR(INDEX(AUTO_Public_TSV_FileList!$A$1:$A$1000,MATCH(TRUE(),EXACT(K471,IFERROR(_xlfn.TEXTBEFORE(AUTO_Public_TSV_FileList!$A$1:$A$1000,".tsv"),"")),0)),"notfound")</f>
        <v>10.1098%2Frspb.2021.0937_MammalGait.tsv</v>
      </c>
      <c r="M471" s="4"/>
      <c r="N471" s="4"/>
      <c r="O471" s="4"/>
      <c r="P471" s="5" t="s">
        <v>36</v>
      </c>
      <c r="Q471" s="4"/>
      <c r="R471" s="4"/>
      <c r="S471" s="4"/>
      <c r="T471" s="4"/>
      <c r="U471" s="4"/>
      <c r="V471" s="4"/>
      <c r="W471" s="5"/>
      <c r="X471" s="4"/>
      <c r="Y471" s="4"/>
      <c r="Z471" s="4"/>
      <c r="AA471" s="4"/>
      <c r="AB471" s="5"/>
      <c r="AC471" s="4"/>
      <c r="AD471" s="4"/>
      <c r="AE471" s="5"/>
      <c r="AF471" s="5"/>
      <c r="AG471" s="4"/>
    </row>
    <row r="472" spans="1:33" ht="15.75" customHeight="1">
      <c r="A472" s="5" t="s">
        <v>1697</v>
      </c>
      <c r="B472" s="4"/>
      <c r="C472" s="4"/>
      <c r="D472" s="5" t="s">
        <v>628</v>
      </c>
      <c r="E472" s="12" t="str">
        <f t="shared" si="91"/>
        <v>Winkler</v>
      </c>
      <c r="F472" s="13" t="str">
        <f t="array" ref="F472">_xlfn.LET(
 _xlpm.authors,_xlfn.TEXTBEFORE(A472," ("&amp;G472&amp;")"),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Bryant</v>
      </c>
      <c r="G472" s="13" t="str">
        <f t="shared" si="92"/>
        <v>2021</v>
      </c>
      <c r="H472" s="12" t="str">
        <f t="shared" si="93"/>
        <v>Winkler_Bryant_2021</v>
      </c>
      <c r="I472" s="12" t="str">
        <f t="shared" ref="I472:I488" si="97">_xlfn.LET(_xlpm.doi,IF(C472&lt;&gt;"",C472,_xlfn.TEXTAFTER(A472,"https://doi.org/")),SUBSTITUTE(SUBSTITUTE(SUBSTITUTE(SUBSTITUTE(_xlpm.doi,"/","%2F"),":","%3A"),"&lt;","%3C"),"&gt;","%3E"))</f>
        <v>10.1080%2F09524622.2021.1905065</v>
      </c>
      <c r="J472" s="12" t="str">
        <f t="shared" si="94"/>
        <v>Winkler_Bryant_2021_Figure1</v>
      </c>
      <c r="K472" s="13" t="str">
        <f t="shared" si="96"/>
        <v>10.1080%2F09524622.2021.1905065_Figure1</v>
      </c>
      <c r="L472" s="13" t="str">
        <f t="array" ref="L472">IFERROR(INDEX(AUTO_Public_TSV_FileList!$A$1:$A$1000,MATCH(TRUE(),EXACT(K472,IFERROR(_xlfn.TEXTBEFORE(AUTO_Public_TSV_FileList!$A$1:$A$1000,".tsv"),"")),0)),"notfound")</f>
        <v>10.1080%2F09524622.2021.1905065_Figure1.tsv</v>
      </c>
      <c r="M472" s="5" t="s">
        <v>1698</v>
      </c>
      <c r="N472" s="4" t="s">
        <v>630</v>
      </c>
      <c r="O472" s="4"/>
      <c r="P472" s="4" t="s">
        <v>36</v>
      </c>
      <c r="Q472" s="4"/>
      <c r="R472" s="4"/>
      <c r="S472" s="4"/>
      <c r="T472" s="4"/>
      <c r="U472" s="4"/>
      <c r="V472" s="4"/>
      <c r="W472" s="4"/>
      <c r="X472" s="4"/>
      <c r="Y472" s="4"/>
      <c r="Z472" s="4"/>
      <c r="AA472" s="4"/>
      <c r="AB472" s="4"/>
      <c r="AC472" s="4"/>
      <c r="AD472" s="4"/>
      <c r="AE472" s="4"/>
      <c r="AF472" s="4"/>
      <c r="AG472" s="4"/>
    </row>
    <row r="473" spans="1:33" ht="15.75" customHeight="1">
      <c r="A473" s="4" t="s">
        <v>1697</v>
      </c>
      <c r="B473" s="4"/>
      <c r="C473" s="4"/>
      <c r="D473" s="4" t="s">
        <v>628</v>
      </c>
      <c r="E473" s="12" t="str">
        <f t="shared" si="91"/>
        <v>Winkler</v>
      </c>
      <c r="F473" s="13" t="str">
        <f t="array" ref="F473">_xlfn.LET(
 _xlpm.authors,_xlfn.TEXTBEFORE(A473," ("&amp;G473&amp;")"),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Bryant</v>
      </c>
      <c r="G473" s="13" t="str">
        <f t="shared" si="92"/>
        <v>2021</v>
      </c>
      <c r="H473" s="12" t="str">
        <f t="shared" si="93"/>
        <v>Winkler_Bryant_2021</v>
      </c>
      <c r="I473" s="12" t="str">
        <f t="shared" si="97"/>
        <v>10.1080%2F09524622.2021.1905065</v>
      </c>
      <c r="J473" s="12" t="str">
        <f t="shared" si="94"/>
        <v>Winkler_Bryant_2021_Figure1</v>
      </c>
      <c r="K473" s="13" t="str">
        <f t="shared" si="96"/>
        <v>10.1080%2F09524622.2021.1905065_Figure1</v>
      </c>
      <c r="L473" s="13" t="str">
        <f t="array" ref="L473">IFERROR(INDEX(AUTO_Public_TSV_FileList!$A$1:$A$1000,MATCH(TRUE(),EXACT(K473,IFERROR(_xlfn.TEXTBEFORE(AUTO_Public_TSV_FileList!$A$1:$A$1000,".tsv"),"")),0)),"notfound")</f>
        <v>10.1080%2F09524622.2021.1905065_Figure1.tsv</v>
      </c>
      <c r="M473" s="4" t="s">
        <v>1698</v>
      </c>
      <c r="N473" s="4" t="s">
        <v>630</v>
      </c>
      <c r="O473" s="4"/>
      <c r="P473" s="4" t="s">
        <v>36</v>
      </c>
      <c r="Q473" s="4"/>
      <c r="R473" s="4"/>
      <c r="S473" s="4"/>
      <c r="T473" s="4"/>
      <c r="U473" s="4"/>
      <c r="V473" s="4"/>
      <c r="W473" s="4"/>
      <c r="X473" s="4"/>
      <c r="Y473" s="4"/>
      <c r="Z473" s="4"/>
      <c r="AA473" s="4"/>
      <c r="AB473" s="4"/>
      <c r="AC473" s="4"/>
      <c r="AD473" s="4"/>
      <c r="AE473" s="4"/>
      <c r="AF473" s="4"/>
      <c r="AG473" s="4"/>
    </row>
    <row r="474" spans="1:33" ht="15.75" customHeight="1">
      <c r="A474" s="5" t="s">
        <v>1699</v>
      </c>
      <c r="B474" s="4"/>
      <c r="C474" s="4"/>
      <c r="D474" s="5" t="s">
        <v>81</v>
      </c>
      <c r="E474" s="12" t="str">
        <f t="shared" si="91"/>
        <v>Young</v>
      </c>
      <c r="F474" s="13" t="str">
        <f t="array" ref="F474">_xlfn.LET(
 _xlpm.authors,_xlfn.TEXTBEFORE(A474," ("&amp;G474&amp;")"),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4" s="13" t="str">
        <f t="shared" si="92"/>
        <v>2013</v>
      </c>
      <c r="H474" s="12" t="str">
        <f t="shared" si="93"/>
        <v>Young_etal_2013</v>
      </c>
      <c r="I474" s="12" t="str">
        <f t="shared" si="97"/>
        <v>10.3389%2Ffncir.2013.00030</v>
      </c>
      <c r="J474" s="12" t="str">
        <f t="shared" si="94"/>
        <v>Young_etal_2013_Table1</v>
      </c>
      <c r="K474" s="13" t="str">
        <f t="shared" si="96"/>
        <v>10.3389%2Ffncir.2013.00030_Table1</v>
      </c>
      <c r="L474" s="13" t="str">
        <f t="array" ref="L474">IFERROR(INDEX(AUTO_Public_TSV_FileList!$A$1:$A$1000,MATCH(TRUE(),EXACT(K474,IFERROR(_xlfn.TEXTBEFORE(AUTO_Public_TSV_FileList!$A$1:$A$1000,".tsv"),"")),0)),"notfound")</f>
        <v>10.3389%2Ffncir.2013.00030_Table1.tsv</v>
      </c>
      <c r="M474" s="5" t="s">
        <v>1700</v>
      </c>
      <c r="N474" s="5" t="s">
        <v>35</v>
      </c>
      <c r="O474" s="4"/>
      <c r="P474" s="4" t="s">
        <v>36</v>
      </c>
      <c r="Q474" s="4"/>
      <c r="R474" s="4"/>
      <c r="S474" s="4"/>
      <c r="T474" s="4"/>
      <c r="U474" s="4"/>
      <c r="V474" s="4"/>
      <c r="W474" s="4"/>
      <c r="X474" s="4"/>
      <c r="Y474" s="4"/>
      <c r="Z474" s="4"/>
      <c r="AA474" s="4"/>
      <c r="AB474" s="4"/>
      <c r="AC474" s="4"/>
      <c r="AD474" s="4"/>
      <c r="AE474" s="4"/>
      <c r="AF474" s="4"/>
      <c r="AG474" s="4"/>
    </row>
    <row r="475" spans="1:33" ht="15.75" customHeight="1">
      <c r="A475" s="4" t="s">
        <v>1699</v>
      </c>
      <c r="B475" s="4"/>
      <c r="C475" s="4"/>
      <c r="D475" s="4" t="s">
        <v>81</v>
      </c>
      <c r="E475" s="12" t="str">
        <f t="shared" si="91"/>
        <v>Young</v>
      </c>
      <c r="F475" s="13" t="str">
        <f t="array" ref="F475">_xlfn.LET(
 _xlpm.authors,_xlfn.TEXTBEFORE(A475," ("&amp;G475&amp;")"),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5" s="13" t="str">
        <f t="shared" si="92"/>
        <v>2013</v>
      </c>
      <c r="H475" s="12" t="str">
        <f t="shared" si="93"/>
        <v>Young_etal_2013</v>
      </c>
      <c r="I475" s="12" t="str">
        <f t="shared" si="97"/>
        <v>10.3389%2Ffncir.2013.00030</v>
      </c>
      <c r="J475" s="12" t="str">
        <f t="shared" si="94"/>
        <v>Young_etal_2013_Table1</v>
      </c>
      <c r="K475" s="13" t="str">
        <f t="shared" si="96"/>
        <v>10.3389%2Ffncir.2013.00030_Table1</v>
      </c>
      <c r="L475" s="13" t="str">
        <f t="array" ref="L475">IFERROR(INDEX(AUTO_Public_TSV_FileList!$A$1:$A$1000,MATCH(TRUE(),EXACT(K475,IFERROR(_xlfn.TEXTBEFORE(AUTO_Public_TSV_FileList!$A$1:$A$1000,".tsv"),"")),0)),"notfound")</f>
        <v>10.3389%2Ffncir.2013.00030_Table1.tsv</v>
      </c>
      <c r="M475" s="4" t="s">
        <v>1700</v>
      </c>
      <c r="N475" s="5" t="s">
        <v>35</v>
      </c>
      <c r="O475" s="4"/>
      <c r="P475" s="4" t="s">
        <v>36</v>
      </c>
      <c r="Q475" s="4"/>
      <c r="R475" s="4"/>
      <c r="S475" s="4"/>
      <c r="T475" s="4"/>
      <c r="U475" s="4"/>
      <c r="V475" s="4"/>
      <c r="W475" s="4"/>
      <c r="X475" s="4"/>
      <c r="Y475" s="4"/>
      <c r="Z475" s="4"/>
      <c r="AA475" s="4"/>
      <c r="AB475" s="4"/>
      <c r="AC475" s="4"/>
      <c r="AD475" s="4"/>
      <c r="AE475" s="4"/>
      <c r="AF475" s="4"/>
      <c r="AG475" s="4"/>
    </row>
    <row r="476" spans="1:33" ht="15.75" customHeight="1">
      <c r="A476" s="5" t="s">
        <v>1701</v>
      </c>
      <c r="B476" s="5" t="s">
        <v>283</v>
      </c>
      <c r="C476" s="4"/>
      <c r="D476" s="5" t="s">
        <v>81</v>
      </c>
      <c r="E476" s="12" t="str">
        <f t="shared" si="91"/>
        <v>Young</v>
      </c>
      <c r="F476" s="13" t="str">
        <f t="array" ref="F476">_xlfn.LET(
 _xlpm.authors,_xlfn.TEXTBEFORE(A476," ("&amp;G476&amp;")"),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6" s="13" t="str">
        <f t="shared" si="92"/>
        <v>2013</v>
      </c>
      <c r="H476" s="12" t="str">
        <f t="shared" si="93"/>
        <v>Young_etal_2013_b</v>
      </c>
      <c r="I476" s="12" t="str">
        <f t="shared" si="97"/>
        <v>10.1073%2Fpnas.1318894110</v>
      </c>
      <c r="J476" s="12" t="str">
        <f t="shared" si="94"/>
        <v>Young_etal_2013_b_Table1</v>
      </c>
      <c r="K476" s="13" t="str">
        <f t="shared" si="96"/>
        <v>10.1073%2Fpnas.1318894110_Table1</v>
      </c>
      <c r="L476" s="13" t="str">
        <f t="array" ref="L476">IFERROR(INDEX(AUTO_Public_TSV_FileList!$A$1:$A$1000,MATCH(TRUE(),EXACT(K476,IFERROR(_xlfn.TEXTBEFORE(AUTO_Public_TSV_FileList!$A$1:$A$1000,".tsv"),"")),0)),"notfound")</f>
        <v>10.1073%2Fpnas.1318894110_Table1.tsv</v>
      </c>
      <c r="M476" s="5" t="s">
        <v>1702</v>
      </c>
      <c r="N476" s="5" t="s">
        <v>35</v>
      </c>
      <c r="O476" s="4"/>
      <c r="P476" s="4" t="s">
        <v>36</v>
      </c>
      <c r="Q476" s="4"/>
      <c r="R476" s="4"/>
      <c r="S476" s="4"/>
      <c r="T476" s="4"/>
      <c r="U476" s="4"/>
      <c r="V476" s="4"/>
      <c r="W476" s="4"/>
      <c r="X476" s="4"/>
      <c r="Y476" s="4"/>
      <c r="Z476" s="4"/>
      <c r="AA476" s="4"/>
      <c r="AB476" s="4"/>
      <c r="AC476" s="4"/>
      <c r="AD476" s="4"/>
      <c r="AE476" s="4"/>
      <c r="AF476" s="4"/>
      <c r="AG476" s="4"/>
    </row>
    <row r="477" spans="1:33" ht="15.75" customHeight="1">
      <c r="A477" s="4" t="s">
        <v>1701</v>
      </c>
      <c r="B477" s="4" t="s">
        <v>283</v>
      </c>
      <c r="C477" s="4"/>
      <c r="D477" s="4" t="s">
        <v>81</v>
      </c>
      <c r="E477" s="12" t="str">
        <f t="shared" si="91"/>
        <v>Young</v>
      </c>
      <c r="F477" s="13" t="str">
        <f t="array" ref="F477">_xlfn.LET(
 _xlpm.authors,_xlfn.TEXTBEFORE(A477," ("&amp;G477&amp;")"),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77" s="13" t="str">
        <f t="shared" si="92"/>
        <v>2013</v>
      </c>
      <c r="H477" s="12" t="str">
        <f t="shared" si="93"/>
        <v>Young_etal_2013_b</v>
      </c>
      <c r="I477" s="12" t="str">
        <f t="shared" si="97"/>
        <v>10.1073%2Fpnas.1318894110</v>
      </c>
      <c r="J477" s="12" t="str">
        <f t="shared" si="94"/>
        <v>Young_etal_2013_b_Table1</v>
      </c>
      <c r="K477" s="13" t="str">
        <f t="shared" si="96"/>
        <v>10.1073%2Fpnas.1318894110_Table1</v>
      </c>
      <c r="L477" s="13" t="str">
        <f t="array" ref="L477">IFERROR(INDEX(AUTO_Public_TSV_FileList!$A$1:$A$1000,MATCH(TRUE(),EXACT(K477,IFERROR(_xlfn.TEXTBEFORE(AUTO_Public_TSV_FileList!$A$1:$A$1000,".tsv"),"")),0)),"notfound")</f>
        <v>10.1073%2Fpnas.1318894110_Table1.tsv</v>
      </c>
      <c r="M477" s="4" t="s">
        <v>1702</v>
      </c>
      <c r="N477" s="5" t="s">
        <v>35</v>
      </c>
      <c r="O477" s="4"/>
      <c r="P477" s="4" t="s">
        <v>36</v>
      </c>
      <c r="Q477" s="4"/>
      <c r="R477" s="4"/>
      <c r="S477" s="4"/>
      <c r="T477" s="4"/>
      <c r="U477" s="4"/>
      <c r="V477" s="4"/>
      <c r="W477" s="4"/>
      <c r="X477" s="4"/>
      <c r="Y477" s="4"/>
      <c r="Z477" s="4"/>
      <c r="AA477" s="4"/>
      <c r="AB477" s="4"/>
      <c r="AC477" s="4"/>
      <c r="AD477" s="4"/>
      <c r="AE477" s="4"/>
      <c r="AF477" s="4"/>
      <c r="AG477" s="4"/>
    </row>
    <row r="478" spans="1:33" ht="15.75" customHeight="1">
      <c r="A478" s="4" t="s">
        <v>1703</v>
      </c>
      <c r="B478" s="4"/>
      <c r="C478" s="4" t="s">
        <v>1704</v>
      </c>
      <c r="D478" s="4" t="s">
        <v>1705</v>
      </c>
      <c r="E478" s="12" t="str">
        <f t="shared" si="91"/>
        <v>Zilles</v>
      </c>
      <c r="F478" s="13" t="str">
        <f t="array" ref="F478">_xlfn.LET(
 _xlpm.authors,_xlfn.TEXTBEFORE(A478," ("&amp;G478&amp;")"),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Rehkämper</v>
      </c>
      <c r="G478" s="13" t="str">
        <f t="shared" si="92"/>
        <v>1988</v>
      </c>
      <c r="H478" s="12" t="str">
        <f t="shared" si="93"/>
        <v>Zilles_Rehkämper_1988</v>
      </c>
      <c r="I478" s="12" t="str">
        <f t="shared" si="97"/>
        <v>ISBN%3A9780195043716</v>
      </c>
      <c r="J478" s="12" t="str">
        <f t="shared" si="94"/>
        <v>Zilles_Rehkämper_1988_Table12-1</v>
      </c>
      <c r="K478" s="13" t="str">
        <f t="shared" si="96"/>
        <v>ISBN%3A9780195043716_Table12-1</v>
      </c>
      <c r="L478" s="13" t="str">
        <f t="array" ref="L478">IFERROR(INDEX(AUTO_Public_TSV_FileList!$A$1:$A$1000,MATCH(TRUE(),EXACT(K478,IFERROR(_xlfn.TEXTBEFORE(AUTO_Public_TSV_FileList!$A$1:$A$1000,".tsv"),"")),0)),"notfound")</f>
        <v>ISBN%3A9780195043716_Table12-1.tsv</v>
      </c>
      <c r="M478" s="4" t="s">
        <v>1706</v>
      </c>
      <c r="N478" s="5" t="s">
        <v>35</v>
      </c>
      <c r="O478" s="4"/>
      <c r="P478" s="4"/>
      <c r="Q478" s="4"/>
      <c r="R478" s="4"/>
      <c r="S478" s="4"/>
      <c r="T478" s="4"/>
      <c r="U478" s="4"/>
      <c r="V478" s="4"/>
      <c r="W478" s="4"/>
      <c r="X478" s="4"/>
      <c r="Y478" s="4"/>
      <c r="Z478" s="4"/>
      <c r="AA478" s="4"/>
      <c r="AB478" s="4"/>
      <c r="AC478" s="4"/>
      <c r="AD478" s="4"/>
      <c r="AE478" s="4"/>
      <c r="AF478" s="4"/>
      <c r="AG478" s="4"/>
    </row>
    <row r="479" spans="1:33" ht="15.75" customHeight="1">
      <c r="A479" s="5" t="s">
        <v>1703</v>
      </c>
      <c r="B479" s="4"/>
      <c r="C479" s="5" t="s">
        <v>1704</v>
      </c>
      <c r="D479" s="5" t="s">
        <v>1707</v>
      </c>
      <c r="E479" s="12" t="str">
        <f t="shared" si="91"/>
        <v>Zilles</v>
      </c>
      <c r="F479" s="13" t="str">
        <f t="array" ref="F479">_xlfn.LET(
 _xlpm.authors,_xlfn.TEXTBEFORE(A479," ("&amp;G479&amp;")"),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Rehkämper</v>
      </c>
      <c r="G479" s="13" t="str">
        <f t="shared" si="92"/>
        <v>1988</v>
      </c>
      <c r="H479" s="12" t="str">
        <f t="shared" si="93"/>
        <v>Zilles_Rehkämper_1988</v>
      </c>
      <c r="I479" s="12" t="str">
        <f t="shared" si="97"/>
        <v>ISBN%3A9780195043716</v>
      </c>
      <c r="J479" s="12" t="str">
        <f t="shared" si="94"/>
        <v>Zilles_Rehkämper_1988_Table12-2</v>
      </c>
      <c r="K479" s="13" t="str">
        <f t="shared" si="96"/>
        <v>ISBN%3A9780195043716_Table12-2</v>
      </c>
      <c r="L479" s="13" t="str">
        <f t="array" ref="L479">IFERROR(INDEX(AUTO_Public_TSV_FileList!$A$1:$A$1000,MATCH(TRUE(),EXACT(K479,IFERROR(_xlfn.TEXTBEFORE(AUTO_Public_TSV_FileList!$A$1:$A$1000,".tsv"),"")),0)),"notfound")</f>
        <v>ISBN%3A9780195043716_Table12-2.tsv</v>
      </c>
      <c r="M479" s="5" t="s">
        <v>1708</v>
      </c>
      <c r="N479" s="5" t="s">
        <v>35</v>
      </c>
      <c r="O479" s="4"/>
      <c r="P479" s="4" t="s">
        <v>36</v>
      </c>
      <c r="Q479" s="4"/>
      <c r="R479" s="4"/>
      <c r="S479" s="4"/>
      <c r="T479" s="4"/>
      <c r="U479" s="4"/>
      <c r="V479" s="4"/>
      <c r="W479" s="4"/>
      <c r="X479" s="4"/>
      <c r="Y479" s="4"/>
      <c r="Z479" s="4"/>
      <c r="AA479" s="4"/>
      <c r="AB479" s="4"/>
      <c r="AC479" s="4"/>
      <c r="AD479" s="4"/>
      <c r="AE479" s="4"/>
      <c r="AF479" s="4"/>
      <c r="AG479" s="4"/>
    </row>
    <row r="480" spans="1:33" ht="15" customHeight="1">
      <c r="A480" s="4" t="s">
        <v>1703</v>
      </c>
      <c r="B480" s="4"/>
      <c r="C480" s="4" t="s">
        <v>1704</v>
      </c>
      <c r="D480" s="4" t="s">
        <v>1709</v>
      </c>
      <c r="E480" s="12" t="str">
        <f t="shared" si="91"/>
        <v>Zilles</v>
      </c>
      <c r="F480" s="13" t="str">
        <f t="array" ref="F480">_xlfn.LET(
 _xlpm.authors,_xlfn.TEXTBEFORE(A480," ("&amp;G480&amp;")"),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Rehkämper</v>
      </c>
      <c r="G480" s="13" t="str">
        <f t="shared" si="92"/>
        <v>1988</v>
      </c>
      <c r="H480" s="12" t="str">
        <f t="shared" si="93"/>
        <v>Zilles_Rehkämper_1988</v>
      </c>
      <c r="I480" s="12" t="str">
        <f t="shared" si="97"/>
        <v>ISBN%3A9780195043716</v>
      </c>
      <c r="J480" s="12" t="str">
        <f t="shared" si="94"/>
        <v>Zilles_Rehkämper_1988_Table12-3</v>
      </c>
      <c r="K480" s="13" t="str">
        <f t="shared" si="96"/>
        <v>ISBN%3A9780195043716_Table12-3</v>
      </c>
      <c r="L480" s="13" t="str">
        <f t="array" ref="L480">IFERROR(INDEX(AUTO_Public_TSV_FileList!$A$1:$A$1000,MATCH(TRUE(),EXACT(K480,IFERROR(_xlfn.TEXTBEFORE(AUTO_Public_TSV_FileList!$A$1:$A$1000,".tsv"),"")),0)),"notfound")</f>
        <v>ISBN%3A9780195043716_Table12-3.tsv</v>
      </c>
      <c r="M480" s="4" t="s">
        <v>1710</v>
      </c>
      <c r="N480" s="5" t="s">
        <v>35</v>
      </c>
      <c r="O480" s="4"/>
      <c r="P480" s="4"/>
      <c r="Q480" s="4"/>
      <c r="R480" s="4"/>
      <c r="S480" s="4"/>
      <c r="T480" s="4"/>
      <c r="U480" s="4"/>
      <c r="V480" s="4"/>
      <c r="W480" s="4"/>
      <c r="X480" s="4"/>
      <c r="Y480" s="4"/>
      <c r="Z480" s="4"/>
      <c r="AA480" s="4"/>
      <c r="AB480" s="4"/>
      <c r="AC480" s="4"/>
      <c r="AD480" s="4"/>
      <c r="AE480" s="4"/>
      <c r="AF480" s="4"/>
      <c r="AG480" s="4"/>
    </row>
    <row r="481" spans="1:33" ht="15" customHeight="1">
      <c r="A481" s="4" t="s">
        <v>1703</v>
      </c>
      <c r="B481" s="4"/>
      <c r="C481" s="4" t="s">
        <v>1704</v>
      </c>
      <c r="D481" s="4" t="s">
        <v>364</v>
      </c>
      <c r="E481" s="12" t="str">
        <f t="shared" si="91"/>
        <v>Zilles</v>
      </c>
      <c r="F481" s="13" t="str">
        <f t="array" ref="F481">_xlfn.LET(
 _xlpm.authors,_xlfn.TEXTBEFORE(A481," ("&amp;G481&amp;")"),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Rehkämper</v>
      </c>
      <c r="G481" s="13" t="str">
        <f t="shared" si="92"/>
        <v>1988</v>
      </c>
      <c r="H481" s="12" t="str">
        <f t="shared" si="93"/>
        <v>Zilles_Rehkämper_1988</v>
      </c>
      <c r="I481" s="12" t="str">
        <f t="shared" si="97"/>
        <v>ISBN%3A9780195043716</v>
      </c>
      <c r="J481" s="12" t="str">
        <f t="shared" si="94"/>
        <v>Zilles_Rehkämper_1988_text</v>
      </c>
      <c r="K481" s="13" t="str">
        <f t="shared" si="96"/>
        <v>ISBN%3A9780195043716_text</v>
      </c>
      <c r="L481" s="13" t="str">
        <f t="array" ref="L481">IFERROR(INDEX(AUTO_Public_TSV_FileList!$A$1:$A$1000,MATCH(TRUE(),EXACT(K481,IFERROR(_xlfn.TEXTBEFORE(AUTO_Public_TSV_FileList!$A$1:$A$1000,".tsv"),"")),0)),"notfound")</f>
        <v>ISBN%3A9780195043716_text.tsv</v>
      </c>
      <c r="M481" s="4"/>
      <c r="N481" s="5"/>
      <c r="O481" s="4"/>
      <c r="P481" s="4"/>
      <c r="Q481" s="4"/>
      <c r="R481" s="4"/>
      <c r="S481" s="4"/>
      <c r="T481" s="4"/>
      <c r="U481" s="4"/>
      <c r="V481" s="4"/>
      <c r="W481" s="4"/>
      <c r="X481" s="4"/>
      <c r="Y481" s="4"/>
      <c r="Z481" s="4"/>
      <c r="AA481" s="4"/>
      <c r="AB481" s="4"/>
      <c r="AC481" s="4"/>
      <c r="AD481" s="4"/>
      <c r="AE481" s="4"/>
      <c r="AF481" s="4"/>
      <c r="AG481" s="4"/>
    </row>
    <row r="482" spans="1:33" ht="15" customHeight="1">
      <c r="A482" s="4" t="s">
        <v>1711</v>
      </c>
      <c r="B482" s="4"/>
      <c r="C482" s="4"/>
      <c r="D482" s="4" t="s">
        <v>231</v>
      </c>
      <c r="E482" s="12" t="str">
        <f t="shared" si="91"/>
        <v>Zilles</v>
      </c>
      <c r="F482" s="13" t="str">
        <f t="array" ref="F482">_xlfn.LET(
 _xlpm.authors,_xlfn.TEXTBEFORE(A482," ("&amp;G482&amp;")"),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2" s="13" t="str">
        <f t="shared" si="92"/>
        <v>2011</v>
      </c>
      <c r="H482" s="12" t="str">
        <f t="shared" si="93"/>
        <v>Zilles_etal_2011</v>
      </c>
      <c r="I482" s="12" t="str">
        <f t="shared" si="97"/>
        <v>10.1111%2Fj.1749-6632.2011.05978.x</v>
      </c>
      <c r="J482" s="12" t="str">
        <f t="shared" si="94"/>
        <v>Zilles_etal_2011_TableS1</v>
      </c>
      <c r="K482" s="13" t="str">
        <f t="shared" si="96"/>
        <v>10.1111%2Fj.1749-6632.2011.05978.x_TableS1</v>
      </c>
      <c r="L482" s="13" t="str">
        <f t="array" ref="L482">IFERROR(INDEX(AUTO_Public_TSV_FileList!$A$1:$A$1000,MATCH(TRUE(),EXACT(K482,IFERROR(_xlfn.TEXTBEFORE(AUTO_Public_TSV_FileList!$A$1:$A$1000,".tsv"),"")),0)),"notfound")</f>
        <v>10.1111%2Fj.1749-6632.2011.05978.x_TableS1.tsv</v>
      </c>
      <c r="M482" s="4" t="s">
        <v>1712</v>
      </c>
      <c r="N482" s="5"/>
      <c r="O482" s="4"/>
      <c r="P482" s="4"/>
      <c r="Q482" s="4"/>
      <c r="R482" s="4"/>
      <c r="S482" s="4"/>
      <c r="T482" s="4"/>
      <c r="U482" s="4"/>
      <c r="V482" s="4"/>
      <c r="W482" s="4"/>
      <c r="X482" s="4"/>
      <c r="Y482" s="4"/>
      <c r="Z482" s="4"/>
      <c r="AA482" s="4"/>
      <c r="AB482" s="4"/>
      <c r="AC482" s="4"/>
      <c r="AD482" s="4"/>
      <c r="AE482" s="4"/>
      <c r="AF482" s="4"/>
      <c r="AG482" s="4"/>
    </row>
    <row r="483" spans="1:33" ht="15" customHeight="1">
      <c r="A483" s="4" t="s">
        <v>1711</v>
      </c>
      <c r="B483" s="4"/>
      <c r="C483" s="4"/>
      <c r="D483" s="4" t="s">
        <v>558</v>
      </c>
      <c r="E483" s="12" t="str">
        <f t="shared" si="91"/>
        <v>Zilles</v>
      </c>
      <c r="F483" s="13" t="str">
        <f t="array" ref="F483">_xlfn.LET(
 _xlpm.authors,_xlfn.TEXTBEFORE(A483," ("&amp;G483&amp;")"),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3" s="13" t="str">
        <f t="shared" si="92"/>
        <v>2011</v>
      </c>
      <c r="H483" s="12" t="str">
        <f t="shared" si="93"/>
        <v>Zilles_etal_2011</v>
      </c>
      <c r="I483" s="12" t="str">
        <f t="shared" si="97"/>
        <v>10.1111%2Fj.1749-6632.2011.05978.x</v>
      </c>
      <c r="J483" s="12" t="str">
        <f t="shared" si="94"/>
        <v>Zilles_etal_2011_TableS2</v>
      </c>
      <c r="K483" s="13" t="str">
        <f t="shared" si="96"/>
        <v>10.1111%2Fj.1749-6632.2011.05978.x_TableS2</v>
      </c>
      <c r="L483" s="13" t="str">
        <f t="array" ref="L483">IFERROR(INDEX(AUTO_Public_TSV_FileList!$A$1:$A$1000,MATCH(TRUE(),EXACT(K483,IFERROR(_xlfn.TEXTBEFORE(AUTO_Public_TSV_FileList!$A$1:$A$1000,".tsv"),"")),0)),"notfound")</f>
        <v>10.1111%2Fj.1749-6632.2011.05978.x_TableS2.tsv</v>
      </c>
      <c r="M483" s="4" t="s">
        <v>1713</v>
      </c>
      <c r="N483" s="5"/>
      <c r="O483" s="4"/>
      <c r="P483" s="4"/>
      <c r="Q483" s="4"/>
      <c r="R483" s="4"/>
      <c r="S483" s="4"/>
      <c r="T483" s="4"/>
      <c r="U483" s="4"/>
      <c r="V483" s="4"/>
      <c r="W483" s="4"/>
      <c r="X483" s="4"/>
      <c r="Y483" s="4"/>
      <c r="Z483" s="4"/>
      <c r="AA483" s="4"/>
      <c r="AB483" s="4"/>
      <c r="AC483" s="4"/>
      <c r="AD483" s="4"/>
      <c r="AE483" s="4"/>
      <c r="AF483" s="4"/>
      <c r="AG483" s="4"/>
    </row>
    <row r="484" spans="1:33" ht="15" customHeight="1">
      <c r="A484" s="4" t="s">
        <v>1711</v>
      </c>
      <c r="B484" s="4"/>
      <c r="C484" s="4"/>
      <c r="D484" s="4" t="s">
        <v>560</v>
      </c>
      <c r="E484" s="12" t="str">
        <f t="shared" si="91"/>
        <v>Zilles</v>
      </c>
      <c r="F484" s="13" t="str">
        <f t="array" ref="F484">_xlfn.LET(
 _xlpm.authors,_xlfn.TEXTBEFORE(A484," ("&amp;G484&amp;")"),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4" s="13" t="str">
        <f t="shared" si="92"/>
        <v>2011</v>
      </c>
      <c r="H484" s="12" t="str">
        <f t="shared" si="93"/>
        <v>Zilles_etal_2011</v>
      </c>
      <c r="I484" s="12" t="str">
        <f t="shared" si="97"/>
        <v>10.1111%2Fj.1749-6632.2011.05978.x</v>
      </c>
      <c r="J484" s="12" t="str">
        <f t="shared" si="94"/>
        <v>Zilles_etal_2011_TableS3</v>
      </c>
      <c r="K484" s="13" t="str">
        <f t="shared" si="96"/>
        <v>10.1111%2Fj.1749-6632.2011.05978.x_TableS3</v>
      </c>
      <c r="L484" s="13" t="str">
        <f t="array" ref="L484">IFERROR(INDEX(AUTO_Public_TSV_FileList!$A$1:$A$1000,MATCH(TRUE(),EXACT(K484,IFERROR(_xlfn.TEXTBEFORE(AUTO_Public_TSV_FileList!$A$1:$A$1000,".tsv"),"")),0)),"notfound")</f>
        <v>10.1111%2Fj.1749-6632.2011.05978.x_TableS3.tsv</v>
      </c>
      <c r="M484" s="4" t="s">
        <v>1714</v>
      </c>
      <c r="N484" s="5"/>
      <c r="O484" s="4"/>
      <c r="P484" s="4"/>
      <c r="Q484" s="4"/>
      <c r="R484" s="4"/>
      <c r="S484" s="4"/>
      <c r="T484" s="4"/>
      <c r="U484" s="4"/>
      <c r="V484" s="4"/>
      <c r="W484" s="4"/>
      <c r="X484" s="4"/>
      <c r="Y484" s="4"/>
      <c r="Z484" s="4"/>
      <c r="AA484" s="4"/>
      <c r="AB484" s="4"/>
      <c r="AC484" s="4"/>
      <c r="AD484" s="4"/>
      <c r="AE484" s="4"/>
      <c r="AF484" s="4"/>
      <c r="AG484" s="4"/>
    </row>
    <row r="485" spans="1:33" ht="15" customHeight="1">
      <c r="A485" s="4" t="s">
        <v>1715</v>
      </c>
      <c r="B485" s="4"/>
      <c r="C485" s="4"/>
      <c r="D485" s="4" t="s">
        <v>81</v>
      </c>
      <c r="E485" s="12" t="str">
        <f t="shared" si="91"/>
        <v>Zilles</v>
      </c>
      <c r="F485" s="13" t="str">
        <f t="array" ref="F485">_xlfn.LET(
 _xlpm.authors,_xlfn.TEXTBEFORE(A485," ("&amp;G485&amp;")"),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5" s="13" t="str">
        <f t="shared" si="92"/>
        <v>1986</v>
      </c>
      <c r="H485" s="12" t="str">
        <f t="shared" si="93"/>
        <v>Zilles_etal_1986</v>
      </c>
      <c r="I485" s="12" t="str">
        <f t="shared" si="97"/>
        <v>10.1002%2Fcne.902530408</v>
      </c>
      <c r="J485" s="12" t="str">
        <f t="shared" si="94"/>
        <v>Zilles_etal_1986_Table1</v>
      </c>
      <c r="K485" s="13" t="str">
        <f t="shared" si="96"/>
        <v>10.1002%2Fcne.902530408_Table1</v>
      </c>
      <c r="L485" s="13" t="str">
        <f t="array" ref="L485">IFERROR(INDEX(AUTO_Public_TSV_FileList!$A$1:$A$1000,MATCH(TRUE(),EXACT(K485,IFERROR(_xlfn.TEXTBEFORE(AUTO_Public_TSV_FileList!$A$1:$A$1000,".tsv"),"")),0)),"notfound")</f>
        <v>10.1002%2Fcne.902530408_Table1.tsv</v>
      </c>
      <c r="M485" s="4"/>
      <c r="N485" s="5"/>
      <c r="O485" s="4"/>
      <c r="P485" s="4"/>
      <c r="Q485" s="4"/>
      <c r="R485" s="4"/>
      <c r="S485" s="4"/>
      <c r="T485" s="4"/>
      <c r="U485" s="4"/>
      <c r="V485" s="4"/>
      <c r="W485" s="4"/>
      <c r="X485" s="4"/>
      <c r="Y485" s="4"/>
      <c r="Z485" s="4"/>
      <c r="AA485" s="4"/>
      <c r="AB485" s="4"/>
      <c r="AC485" s="4"/>
      <c r="AD485" s="4"/>
      <c r="AE485" s="4"/>
      <c r="AF485" s="4"/>
      <c r="AG485" s="4"/>
    </row>
    <row r="486" spans="1:33" ht="15" customHeight="1">
      <c r="A486" s="4" t="s">
        <v>1715</v>
      </c>
      <c r="B486" s="4"/>
      <c r="C486" s="4"/>
      <c r="D486" s="4" t="s">
        <v>70</v>
      </c>
      <c r="E486" s="12" t="str">
        <f t="shared" si="91"/>
        <v>Zilles</v>
      </c>
      <c r="F486" s="13" t="str">
        <f t="array" ref="F486">_xlfn.LET(
 _xlpm.authors,_xlfn.TEXTBEFORE(A486," ("&amp;G486&amp;")"),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6" s="13" t="str">
        <f t="shared" si="92"/>
        <v>1986</v>
      </c>
      <c r="H486" s="12" t="str">
        <f t="shared" si="93"/>
        <v>Zilles_etal_1986</v>
      </c>
      <c r="I486" s="12" t="str">
        <f t="shared" si="97"/>
        <v>10.1002%2Fcne.902530408</v>
      </c>
      <c r="J486" s="12" t="str">
        <f t="shared" si="94"/>
        <v>Zilles_etal_1986_Table2</v>
      </c>
      <c r="K486" s="13" t="str">
        <f t="shared" si="96"/>
        <v>10.1002%2Fcne.902530408_Table2</v>
      </c>
      <c r="L486" s="13" t="str">
        <f t="array" ref="L486">IFERROR(INDEX(AUTO_Public_TSV_FileList!$A$1:$A$1000,MATCH(TRUE(),EXACT(K486,IFERROR(_xlfn.TEXTBEFORE(AUTO_Public_TSV_FileList!$A$1:$A$1000,".tsv"),"")),0)),"notfound")</f>
        <v>10.1002%2Fcne.902530408_Table2.tsv</v>
      </c>
      <c r="M486" s="4"/>
      <c r="N486" s="5"/>
      <c r="O486" s="4"/>
      <c r="P486" s="4"/>
      <c r="Q486" s="4"/>
      <c r="R486" s="4"/>
      <c r="S486" s="4"/>
      <c r="T486" s="4"/>
      <c r="U486" s="4"/>
      <c r="V486" s="4"/>
      <c r="W486" s="4"/>
      <c r="X486" s="4"/>
      <c r="Y486" s="4"/>
      <c r="Z486" s="4"/>
      <c r="AA486" s="4"/>
      <c r="AB486" s="4"/>
      <c r="AC486" s="4"/>
      <c r="AD486" s="4"/>
      <c r="AE486" s="4"/>
      <c r="AF486" s="4"/>
      <c r="AG486" s="4"/>
    </row>
    <row r="487" spans="1:33" ht="15" customHeight="1">
      <c r="A487" s="5" t="s">
        <v>1716</v>
      </c>
      <c r="B487" s="4"/>
      <c r="C487" s="4"/>
      <c r="D487" s="5" t="s">
        <v>81</v>
      </c>
      <c r="E487" s="12" t="str">
        <f t="shared" ref="E487:E550" si="98">SUBSTITUTE(SUBSTITUTE(_xlfn.TEXTBEFORE(A487,","), "-", ""), " ", "")</f>
        <v>Zilles</v>
      </c>
      <c r="F487" s="13" t="str">
        <f t="array" ref="F487">_xlfn.LET(
 _xlpm.authors,_xlfn.TEXTBEFORE(A487," ("&amp;G487&amp;")"),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7" s="13" t="str">
        <f t="shared" ref="G487:G550" si="99">_xlfn.TEXTBEFORE(_xlfn.TEXTAFTER(A487, "("), ")")</f>
        <v>2013</v>
      </c>
      <c r="H487" s="12" t="str">
        <f t="shared" ref="H487:H550" si="100">E487 &amp; IF(F487&lt;&gt;"", "_" &amp; F487, "_") &amp; IF(G487&lt;&gt;"", "_" &amp; G487, "_") &amp; IF(B487&lt;&gt;"", "_" &amp; B487, "")</f>
        <v>Zilles_etal_2013</v>
      </c>
      <c r="I487" s="12" t="str">
        <f t="shared" ref="I487:I550" si="101">_xlfn.LET(_xlpm.doi,IF(C487&lt;&gt;"",C487,_xlfn.TEXTAFTER(A487,"https://doi.org/")),SUBSTITUTE(SUBSTITUTE(SUBSTITUTE(SUBSTITUTE(_xlpm.doi,"/","%2F"),":","%3A"),"&lt;","%3C"),"&gt;","%3E"))</f>
        <v>10.1016%2Fj.tins.2013.01.006</v>
      </c>
      <c r="J487" s="12" t="str">
        <f t="shared" ref="J487:J550" si="102">TRIM(_xlfn.TEXTJOIN("_",FALSE(),H487,(SUBSTITUTE(SUBSTITUTE(D487," ",""), "_", ""))))</f>
        <v>Zilles_etal_2013_Table1</v>
      </c>
      <c r="K487" s="13" t="str">
        <f t="shared" ref="K487:K550" si="103">I487 &amp; "_" &amp; SUBSTITUTE(SUBSTITUTE(SUBSTITUTE(D487,CHAR(160),"")," ",""),"_","")</f>
        <v>10.1016%2Fj.tins.2013.01.006_Table1</v>
      </c>
      <c r="L487" s="13" t="str">
        <f t="array" ref="L487">IFERROR(INDEX(AUTO_Public_TSV_FileList!$A$1:$A$1000,MATCH(TRUE(),EXACT(K487,IFERROR(_xlfn.TEXTBEFORE(AUTO_Public_TSV_FileList!$A$1:$A$1000,".tsv"),"")),0)),"notfound")</f>
        <v>10.1016%2Fj.tins.2013.01.006_Table1.tsv</v>
      </c>
      <c r="M487" s="5" t="s">
        <v>1717</v>
      </c>
      <c r="N487" s="5" t="s">
        <v>35</v>
      </c>
      <c r="O487" s="4"/>
      <c r="P487" s="4" t="s">
        <v>36</v>
      </c>
      <c r="Q487" s="4"/>
      <c r="R487" s="4"/>
      <c r="S487" s="4"/>
      <c r="T487" s="4"/>
      <c r="U487" s="4"/>
      <c r="V487" s="4"/>
      <c r="W487" s="4"/>
      <c r="X487" s="4"/>
      <c r="Y487" s="4"/>
      <c r="Z487" s="4"/>
      <c r="AA487" s="4"/>
      <c r="AB487" s="4"/>
      <c r="AC487" s="4"/>
      <c r="AD487" s="4"/>
      <c r="AE487" s="4"/>
      <c r="AF487" s="4"/>
      <c r="AG487" s="4"/>
    </row>
    <row r="488" spans="1:33" ht="15" customHeight="1">
      <c r="A488" s="4" t="s">
        <v>1716</v>
      </c>
      <c r="B488" s="4"/>
      <c r="C488" s="4"/>
      <c r="D488" s="4" t="s">
        <v>81</v>
      </c>
      <c r="E488" s="12" t="str">
        <f t="shared" si="98"/>
        <v>Zilles</v>
      </c>
      <c r="F488" s="13" t="str">
        <f t="array" ref="F488">_xlfn.LET(
 _xlpm.authors,_xlfn.TEXTBEFORE(A488," ("&amp;G488&amp;")"),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8" s="13" t="str">
        <f t="shared" si="99"/>
        <v>2013</v>
      </c>
      <c r="H488" s="12" t="str">
        <f t="shared" si="100"/>
        <v>Zilles_etal_2013</v>
      </c>
      <c r="I488" s="12" t="str">
        <f t="shared" si="101"/>
        <v>10.1016%2Fj.tins.2013.01.006</v>
      </c>
      <c r="J488" s="12" t="str">
        <f t="shared" si="102"/>
        <v>Zilles_etal_2013_Table1</v>
      </c>
      <c r="K488" s="13" t="str">
        <f t="shared" si="103"/>
        <v>10.1016%2Fj.tins.2013.01.006_Table1</v>
      </c>
      <c r="L488" s="13" t="str">
        <f t="array" ref="L488">IFERROR(INDEX(AUTO_Public_TSV_FileList!$A$1:$A$1000,MATCH(TRUE(),EXACT(K488,IFERROR(_xlfn.TEXTBEFORE(AUTO_Public_TSV_FileList!$A$1:$A$1000,".tsv"),"")),0)),"notfound")</f>
        <v>10.1016%2Fj.tins.2013.01.006_Table1.tsv</v>
      </c>
      <c r="M488" s="4" t="s">
        <v>1717</v>
      </c>
      <c r="N488" s="5" t="s">
        <v>35</v>
      </c>
      <c r="O488" s="4"/>
      <c r="P488" s="4" t="s">
        <v>36</v>
      </c>
      <c r="Q488" s="4"/>
      <c r="R488" s="4"/>
      <c r="S488" s="4"/>
      <c r="T488" s="4"/>
      <c r="U488" s="4"/>
      <c r="V488" s="4"/>
      <c r="W488" s="4"/>
      <c r="X488" s="4"/>
      <c r="Y488" s="4"/>
      <c r="Z488" s="4"/>
      <c r="AA488" s="4"/>
      <c r="AB488" s="4"/>
      <c r="AC488" s="4"/>
      <c r="AD488" s="4"/>
      <c r="AE488" s="4"/>
      <c r="AF488" s="4"/>
      <c r="AG488" s="4"/>
    </row>
    <row r="489" spans="1:33" ht="15" customHeight="1">
      <c r="A489" t="s">
        <v>1718</v>
      </c>
      <c r="C489" t="s">
        <v>1719</v>
      </c>
      <c r="D489" t="s">
        <v>81</v>
      </c>
      <c r="E489" s="12" t="str">
        <f t="shared" si="98"/>
        <v>Jacobs</v>
      </c>
      <c r="F489" s="13" t="str">
        <f t="array" ref="F489">_xlfn.LET(
 _xlpm.authors,_xlfn.TEXTBEFORE(A489," ("&amp;G489&amp;")"),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89" s="13" t="str">
        <f t="shared" si="99"/>
        <v>1997</v>
      </c>
      <c r="H489" s="12" t="str">
        <f t="shared" si="100"/>
        <v>Jacobs_etal_1997</v>
      </c>
      <c r="I489" s="12" t="str">
        <f t="shared" si="101"/>
        <v>10.1002%2F(sici)1096-9861(19971006)386%3A4%3C661%3A%3AAid-cne11%3E3.0.Co;2-n</v>
      </c>
      <c r="J489" s="12" t="str">
        <f t="shared" si="102"/>
        <v>Jacobs_etal_1997_Table1</v>
      </c>
      <c r="K489" s="13" t="str">
        <f t="shared" si="103"/>
        <v>10.1002%2F(sici)1096-9861(19971006)386%3A4%3C661%3A%3AAid-cne11%3E3.0.Co;2-n_Table1</v>
      </c>
      <c r="L489" s="13" t="str">
        <f t="array" ref="L489">IFERROR(INDEX(AUTO_Public_TSV_FileList!$A$1:$A$1000,MATCH(TRUE(),EXACT(K489,IFERROR(_xlfn.TEXTBEFORE(AUTO_Public_TSV_FileList!$A$1:$A$1000,".tsv"),"")),0)),"notfound")</f>
        <v>10.1002%2F(sici)1096-9861(19971006)386%3A4%3C661%3A%3AAid-cne11%3E3.0.Co;2-n_Table1.tsv</v>
      </c>
      <c r="N489" t="s">
        <v>215</v>
      </c>
      <c r="O489" t="s">
        <v>1720</v>
      </c>
      <c r="P489" t="s">
        <v>36</v>
      </c>
    </row>
    <row r="490" spans="1:33" ht="15" customHeight="1">
      <c r="A490" t="s">
        <v>1718</v>
      </c>
      <c r="C490" t="s">
        <v>1719</v>
      </c>
      <c r="D490" t="s">
        <v>70</v>
      </c>
      <c r="E490" s="12" t="str">
        <f t="shared" si="98"/>
        <v>Jacobs</v>
      </c>
      <c r="F490" s="13" t="str">
        <f t="array" ref="F490">_xlfn.LET(
 _xlpm.authors,_xlfn.TEXTBEFORE(A490," ("&amp;G490&amp;")"),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0" s="13" t="str">
        <f t="shared" si="99"/>
        <v>1997</v>
      </c>
      <c r="H490" s="12" t="str">
        <f t="shared" si="100"/>
        <v>Jacobs_etal_1997</v>
      </c>
      <c r="I490" s="12" t="str">
        <f t="shared" si="101"/>
        <v>10.1002%2F(sici)1096-9861(19971006)386%3A4%3C661%3A%3AAid-cne11%3E3.0.Co;2-n</v>
      </c>
      <c r="J490" s="12" t="str">
        <f t="shared" si="102"/>
        <v>Jacobs_etal_1997_Table2</v>
      </c>
      <c r="K490" s="13" t="str">
        <f t="shared" si="103"/>
        <v>10.1002%2F(sici)1096-9861(19971006)386%3A4%3C661%3A%3AAid-cne11%3E3.0.Co;2-n_Table2</v>
      </c>
      <c r="L490" s="13" t="str">
        <f t="array" ref="L490">IFERROR(INDEX(AUTO_Public_TSV_FileList!$A$1:$A$1000,MATCH(TRUE(),EXACT(K490,IFERROR(_xlfn.TEXTBEFORE(AUTO_Public_TSV_FileList!$A$1:$A$1000,".tsv"),"")),0)),"notfound")</f>
        <v>10.1002%2F(sici)1096-9861(19971006)386%3A4%3C661%3A%3AAid-cne11%3E3.0.Co;2-n_Table2.tsv</v>
      </c>
      <c r="N490" t="s">
        <v>215</v>
      </c>
      <c r="O490" t="s">
        <v>1720</v>
      </c>
      <c r="P490" t="s">
        <v>36</v>
      </c>
    </row>
    <row r="491" spans="1:33" ht="15" customHeight="1">
      <c r="A491" t="s">
        <v>1721</v>
      </c>
      <c r="D491" t="s">
        <v>72</v>
      </c>
      <c r="E491" s="12" t="str">
        <f t="shared" si="98"/>
        <v>Jacobs</v>
      </c>
      <c r="F491" s="13" t="str">
        <f t="array" ref="F491">_xlfn.LET(
 _xlpm.authors,_xlfn.TEXTBEFORE(A491," ("&amp;G491&amp;")"),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1" s="13" t="str">
        <f t="shared" si="99"/>
        <v>2018</v>
      </c>
      <c r="H491" s="12" t="str">
        <f t="shared" si="100"/>
        <v>Jacobs_etal_2018</v>
      </c>
      <c r="I491" s="12" t="str">
        <f t="shared" si="101"/>
        <v>10.1002%2Fcne.24349</v>
      </c>
      <c r="J491" s="12" t="str">
        <f t="shared" si="102"/>
        <v>Jacobs_etal_2018_Table3</v>
      </c>
      <c r="K491" s="13" t="str">
        <f t="shared" si="103"/>
        <v>10.1002%2Fcne.24349_Table3</v>
      </c>
      <c r="L491" s="13" t="str">
        <f t="array" ref="L491">IFERROR(INDEX(AUTO_Public_TSV_FileList!$A$1:$A$1000,MATCH(TRUE(),EXACT(K491,IFERROR(_xlfn.TEXTBEFORE(AUTO_Public_TSV_FileList!$A$1:$A$1000,".tsv"),"")),0)),"notfound")</f>
        <v>10.1002%2Fcne.24349_Table3.tsv</v>
      </c>
      <c r="N491" t="s">
        <v>215</v>
      </c>
      <c r="O491" t="s">
        <v>1722</v>
      </c>
      <c r="P491" t="s">
        <v>36</v>
      </c>
    </row>
    <row r="492" spans="1:33" ht="15" customHeight="1">
      <c r="A492" t="s">
        <v>1721</v>
      </c>
      <c r="D492" t="s">
        <v>74</v>
      </c>
      <c r="E492" s="12" t="str">
        <f t="shared" si="98"/>
        <v>Jacobs</v>
      </c>
      <c r="F492" s="13" t="str">
        <f t="array" ref="F492">_xlfn.LET(
 _xlpm.authors,_xlfn.TEXTBEFORE(A492," ("&amp;G492&amp;")"),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2" s="13" t="str">
        <f t="shared" si="99"/>
        <v>2018</v>
      </c>
      <c r="H492" s="12" t="str">
        <f t="shared" si="100"/>
        <v>Jacobs_etal_2018</v>
      </c>
      <c r="I492" s="12" t="str">
        <f t="shared" si="101"/>
        <v>10.1002%2Fcne.24349</v>
      </c>
      <c r="J492" s="12" t="str">
        <f t="shared" si="102"/>
        <v>Jacobs_etal_2018_Table5</v>
      </c>
      <c r="K492" s="13" t="str">
        <f t="shared" si="103"/>
        <v>10.1002%2Fcne.24349_Table5</v>
      </c>
      <c r="L492" s="13" t="str">
        <f t="array" ref="L492">IFERROR(INDEX(AUTO_Public_TSV_FileList!$A$1:$A$1000,MATCH(TRUE(),EXACT(K492,IFERROR(_xlfn.TEXTBEFORE(AUTO_Public_TSV_FileList!$A$1:$A$1000,".tsv"),"")),0)),"notfound")</f>
        <v>10.1002%2Fcne.24349_Table5.tsv</v>
      </c>
      <c r="N492" t="s">
        <v>215</v>
      </c>
      <c r="O492" t="s">
        <v>1722</v>
      </c>
      <c r="P492" t="s">
        <v>36</v>
      </c>
    </row>
    <row r="493" spans="1:33" ht="15" customHeight="1">
      <c r="A493" t="s">
        <v>1723</v>
      </c>
      <c r="D493" t="s">
        <v>568</v>
      </c>
      <c r="E493" s="12" t="str">
        <f t="shared" si="98"/>
        <v>Branstetter</v>
      </c>
      <c r="F493" s="13" t="str">
        <f t="array" ref="F493">_xlfn.LET(
 _xlpm.authors,_xlfn.TEXTBEFORE(A493," ("&amp;G493&amp;")"),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3" s="13" t="str">
        <f t="shared" si="99"/>
        <v>2017</v>
      </c>
      <c r="H493" s="12" t="str">
        <f t="shared" si="100"/>
        <v>Branstetter_etal_2017</v>
      </c>
      <c r="I493" s="12" t="str">
        <f t="shared" si="101"/>
        <v>10.1121%2F1.4979116</v>
      </c>
      <c r="J493" s="12" t="str">
        <f t="shared" si="102"/>
        <v>Branstetter_etal_2017_TableI</v>
      </c>
      <c r="K493" s="13" t="str">
        <f t="shared" si="103"/>
        <v>10.1121%2F1.4979116_TableI</v>
      </c>
      <c r="L493" s="13" t="str">
        <f t="array" ref="L493">IFERROR(INDEX(AUTO_Public_TSV_FileList!$A$1:$A$1000,MATCH(TRUE(),EXACT(K493,IFERROR(_xlfn.TEXTBEFORE(AUTO_Public_TSV_FileList!$A$1:$A$1000,".tsv"),"")),0)),"notfound")</f>
        <v>notfound</v>
      </c>
      <c r="M493" t="s">
        <v>1724</v>
      </c>
      <c r="N493" t="s">
        <v>660</v>
      </c>
      <c r="O493" t="s">
        <v>1725</v>
      </c>
      <c r="P493" t="s">
        <v>1726</v>
      </c>
      <c r="R493" s="10" t="s">
        <v>1727</v>
      </c>
      <c r="V493" t="s">
        <v>664</v>
      </c>
      <c r="W493" t="s">
        <v>1728</v>
      </c>
      <c r="X493" t="s">
        <v>1729</v>
      </c>
      <c r="Z493" t="s">
        <v>879</v>
      </c>
      <c r="AA493" t="s">
        <v>1730</v>
      </c>
      <c r="AB493" t="s">
        <v>1731</v>
      </c>
      <c r="AC493" t="s">
        <v>1732</v>
      </c>
      <c r="AE493" t="s">
        <v>66</v>
      </c>
      <c r="AG493" t="s">
        <v>1733</v>
      </c>
    </row>
    <row r="494" spans="1:33" ht="15" customHeight="1">
      <c r="A494" t="s">
        <v>1723</v>
      </c>
      <c r="D494" t="s">
        <v>1607</v>
      </c>
      <c r="E494" s="12" t="str">
        <f t="shared" si="98"/>
        <v>Branstetter</v>
      </c>
      <c r="F494" s="13" t="str">
        <f t="array" ref="F494">_xlfn.LET(
 _xlpm.authors,_xlfn.TEXTBEFORE(A494," ("&amp;G494&amp;")"),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494" s="13" t="str">
        <f t="shared" si="99"/>
        <v>2017</v>
      </c>
      <c r="H494" s="12" t="str">
        <f t="shared" si="100"/>
        <v>Branstetter_etal_2017</v>
      </c>
      <c r="I494" s="12" t="str">
        <f t="shared" si="101"/>
        <v>10.1121%2F1.4979116</v>
      </c>
      <c r="J494" s="12" t="str">
        <f t="shared" si="102"/>
        <v>Branstetter_etal_2017_TableIV</v>
      </c>
      <c r="K494" s="13" t="str">
        <f t="shared" si="103"/>
        <v>10.1121%2F1.4979116_TableIV</v>
      </c>
      <c r="L494" s="13" t="str">
        <f t="array" ref="L494">IFERROR(INDEX(AUTO_Public_TSV_FileList!$A$1:$A$1000,MATCH(TRUE(),EXACT(K494,IFERROR(_xlfn.TEXTBEFORE(AUTO_Public_TSV_FileList!$A$1:$A$1000,".tsv"),"")),0)),"notfound")</f>
        <v>notfound</v>
      </c>
      <c r="M494" t="s">
        <v>1734</v>
      </c>
      <c r="N494" t="s">
        <v>660</v>
      </c>
      <c r="O494" t="s">
        <v>1735</v>
      </c>
      <c r="P494" t="s">
        <v>36</v>
      </c>
      <c r="R494" s="10" t="s">
        <v>1727</v>
      </c>
      <c r="V494" t="s">
        <v>664</v>
      </c>
      <c r="W494" t="s">
        <v>1736</v>
      </c>
      <c r="X494" t="s">
        <v>1737</v>
      </c>
      <c r="Z494" t="s">
        <v>879</v>
      </c>
      <c r="AA494" t="s">
        <v>1738</v>
      </c>
      <c r="AB494" t="s">
        <v>1739</v>
      </c>
      <c r="AC494" t="s">
        <v>1732</v>
      </c>
      <c r="AE494" t="s">
        <v>51</v>
      </c>
      <c r="AF494" t="s">
        <v>1740</v>
      </c>
      <c r="AG494" t="s">
        <v>1733</v>
      </c>
    </row>
    <row r="495" spans="1:33" ht="15" customHeight="1">
      <c r="A495" t="s">
        <v>1741</v>
      </c>
      <c r="D495" t="s">
        <v>330</v>
      </c>
      <c r="E495" s="12" t="str">
        <f t="shared" si="98"/>
        <v>Frost</v>
      </c>
      <c r="F495" s="13" t="str">
        <f t="array" ref="F495">_xlfn.LET(
 _xlpm.authors,_xlfn.TEXTBEFORE(A495," ("&amp;G495&amp;")"),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495" s="13" t="str">
        <f t="shared" si="99"/>
        <v>1994</v>
      </c>
      <c r="H495" s="12" t="str">
        <f t="shared" si="100"/>
        <v>Frost_Masterton_1994</v>
      </c>
      <c r="I495" s="12" t="str">
        <f t="shared" si="101"/>
        <v>10.1016%2F0378-5955(94)90088-4</v>
      </c>
      <c r="J495" s="12" t="str">
        <f t="shared" si="102"/>
        <v>Frost_Masterton_1994_Figure3</v>
      </c>
      <c r="K495" s="13" t="str">
        <f t="shared" si="103"/>
        <v>10.1016%2F0378-5955(94)90088-4_Figure3</v>
      </c>
      <c r="L495" s="13" t="str">
        <f t="array" ref="L495">IFERROR(INDEX(AUTO_Public_TSV_FileList!$A$1:$A$1000,MATCH(TRUE(),EXACT(K495,IFERROR(_xlfn.TEXTBEFORE(AUTO_Public_TSV_FileList!$A$1:$A$1000,".tsv"),"")),0)),"notfound")</f>
        <v>notfound</v>
      </c>
      <c r="M495" t="s">
        <v>1742</v>
      </c>
      <c r="N495" t="s">
        <v>630</v>
      </c>
      <c r="O495" t="s">
        <v>1743</v>
      </c>
      <c r="P495" t="s">
        <v>1726</v>
      </c>
      <c r="R495" s="10" t="s">
        <v>1744</v>
      </c>
      <c r="V495" t="s">
        <v>664</v>
      </c>
      <c r="W495" t="s">
        <v>1745</v>
      </c>
      <c r="X495" t="s">
        <v>1746</v>
      </c>
      <c r="Z495" t="s">
        <v>879</v>
      </c>
      <c r="AA495" t="s">
        <v>725</v>
      </c>
      <c r="AB495" t="s">
        <v>1747</v>
      </c>
      <c r="AC495" t="s">
        <v>1748</v>
      </c>
      <c r="AE495" t="s">
        <v>51</v>
      </c>
      <c r="AF495" t="s">
        <v>1749</v>
      </c>
      <c r="AG495" t="s">
        <v>1733</v>
      </c>
    </row>
    <row r="496" spans="1:33" ht="15" customHeight="1">
      <c r="A496" t="s">
        <v>1741</v>
      </c>
      <c r="D496" t="s">
        <v>1750</v>
      </c>
      <c r="E496" s="12" t="str">
        <f t="shared" si="98"/>
        <v>Frost</v>
      </c>
      <c r="F496" s="13" t="str">
        <f t="array" ref="F496">_xlfn.LET(
 _xlpm.authors,_xlfn.TEXTBEFORE(A496," ("&amp;G496&amp;")"),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496" s="13" t="str">
        <f t="shared" si="99"/>
        <v>1994</v>
      </c>
      <c r="H496" s="12" t="str">
        <f t="shared" si="100"/>
        <v>Frost_Masterton_1994</v>
      </c>
      <c r="I496" s="12" t="str">
        <f t="shared" si="101"/>
        <v>10.1016%2F0378-5955(94)90088-4</v>
      </c>
      <c r="J496" s="12" t="str">
        <f t="shared" si="102"/>
        <v>Frost_Masterton_1994_Resultstext</v>
      </c>
      <c r="K496" s="13" t="str">
        <f t="shared" si="103"/>
        <v>10.1016%2F0378-5955(94)90088-4_Resultstext</v>
      </c>
      <c r="L496" s="13" t="str">
        <f t="array" ref="L496">IFERROR(INDEX(AUTO_Public_TSV_FileList!$A$1:$A$1000,MATCH(TRUE(),EXACT(K496,IFERROR(_xlfn.TEXTBEFORE(AUTO_Public_TSV_FileList!$A$1:$A$1000,".tsv"),"")),0)),"notfound")</f>
        <v>notfound</v>
      </c>
      <c r="M496" t="s">
        <v>1751</v>
      </c>
      <c r="N496" t="s">
        <v>364</v>
      </c>
      <c r="O496" t="s">
        <v>1752</v>
      </c>
      <c r="P496" t="s">
        <v>36</v>
      </c>
      <c r="R496" s="10" t="s">
        <v>1744</v>
      </c>
      <c r="V496" t="s">
        <v>664</v>
      </c>
      <c r="W496" t="s">
        <v>1753</v>
      </c>
      <c r="X496" t="s">
        <v>1754</v>
      </c>
      <c r="Z496" t="s">
        <v>879</v>
      </c>
      <c r="AA496" t="s">
        <v>725</v>
      </c>
      <c r="AB496" t="s">
        <v>736</v>
      </c>
      <c r="AC496" t="s">
        <v>1748</v>
      </c>
      <c r="AE496" t="s">
        <v>66</v>
      </c>
      <c r="AG496" t="s">
        <v>1733</v>
      </c>
    </row>
    <row r="497" spans="1:33" ht="15" customHeight="1">
      <c r="A497" t="s">
        <v>1755</v>
      </c>
      <c r="D497" t="s">
        <v>330</v>
      </c>
      <c r="E497" s="12" t="str">
        <f t="shared" si="98"/>
        <v>Heffner</v>
      </c>
      <c r="F497" s="13" t="str">
        <f t="array" ref="F497">_xlfn.LET(
 _xlpm.authors,_xlfn.TEXTBEFORE(A497," ("&amp;G497&amp;")"),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497" s="13" t="str">
        <f t="shared" si="99"/>
        <v>1985</v>
      </c>
      <c r="H497" s="12" t="str">
        <f t="shared" si="100"/>
        <v>Heffner_Heffner_1985</v>
      </c>
      <c r="I497" s="12" t="str">
        <f t="shared" si="101"/>
        <v>10.2307%2F1380801</v>
      </c>
      <c r="J497" s="12" t="str">
        <f t="shared" si="102"/>
        <v>Heffner_Heffner_1985_Figure3</v>
      </c>
      <c r="K497" s="13" t="str">
        <f t="shared" si="103"/>
        <v>10.2307%2F1380801_Figure3</v>
      </c>
      <c r="L497" s="13" t="str">
        <f t="array" ref="L497">IFERROR(INDEX(AUTO_Public_TSV_FileList!$A$1:$A$1000,MATCH(TRUE(),EXACT(K497,IFERROR(_xlfn.TEXTBEFORE(AUTO_Public_TSV_FileList!$A$1:$A$1000,".tsv"),"")),0)),"notfound")</f>
        <v>notfound</v>
      </c>
      <c r="M497" t="s">
        <v>1756</v>
      </c>
      <c r="N497" t="s">
        <v>630</v>
      </c>
      <c r="O497" t="s">
        <v>1757</v>
      </c>
      <c r="P497" t="s">
        <v>1726</v>
      </c>
      <c r="R497" s="10" t="s">
        <v>1758</v>
      </c>
      <c r="V497" t="s">
        <v>664</v>
      </c>
      <c r="W497" t="s">
        <v>1759</v>
      </c>
      <c r="X497" t="s">
        <v>1746</v>
      </c>
      <c r="Z497" t="s">
        <v>879</v>
      </c>
      <c r="AA497" t="s">
        <v>1760</v>
      </c>
      <c r="AB497" t="s">
        <v>1747</v>
      </c>
      <c r="AC497" t="s">
        <v>669</v>
      </c>
      <c r="AE497" t="s">
        <v>66</v>
      </c>
      <c r="AG497" t="s">
        <v>1761</v>
      </c>
    </row>
    <row r="498" spans="1:33" ht="15" customHeight="1">
      <c r="A498" t="s">
        <v>1755</v>
      </c>
      <c r="D498" t="s">
        <v>1750</v>
      </c>
      <c r="E498" s="12" t="str">
        <f t="shared" si="98"/>
        <v>Heffner</v>
      </c>
      <c r="F498" s="13" t="str">
        <f t="array" ref="F498">_xlfn.LET(
 _xlpm.authors,_xlfn.TEXTBEFORE(A498," ("&amp;G498&amp;")"),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498" s="13" t="str">
        <f t="shared" si="99"/>
        <v>1985</v>
      </c>
      <c r="H498" s="12" t="str">
        <f t="shared" si="100"/>
        <v>Heffner_Heffner_1985</v>
      </c>
      <c r="I498" s="12" t="str">
        <f t="shared" si="101"/>
        <v>10.2307%2F1380801</v>
      </c>
      <c r="J498" s="12" t="str">
        <f t="shared" si="102"/>
        <v>Heffner_Heffner_1985_Resultstext</v>
      </c>
      <c r="K498" s="13" t="str">
        <f t="shared" si="103"/>
        <v>10.2307%2F1380801_Resultstext</v>
      </c>
      <c r="L498" s="13" t="str">
        <f t="array" ref="L498">IFERROR(INDEX(AUTO_Public_TSV_FileList!$A$1:$A$1000,MATCH(TRUE(),EXACT(K498,IFERROR(_xlfn.TEXTBEFORE(AUTO_Public_TSV_FileList!$A$1:$A$1000,".tsv"),"")),0)),"notfound")</f>
        <v>notfound</v>
      </c>
      <c r="M498" t="s">
        <v>1762</v>
      </c>
      <c r="N498" t="s">
        <v>364</v>
      </c>
      <c r="O498" t="s">
        <v>1763</v>
      </c>
      <c r="P498" t="s">
        <v>36</v>
      </c>
      <c r="R498" s="10" t="s">
        <v>1758</v>
      </c>
      <c r="V498" t="s">
        <v>664</v>
      </c>
      <c r="W498" t="s">
        <v>1764</v>
      </c>
      <c r="X498" t="s">
        <v>1754</v>
      </c>
      <c r="Z498" t="s">
        <v>879</v>
      </c>
      <c r="AA498" t="s">
        <v>1760</v>
      </c>
      <c r="AB498" t="s">
        <v>1765</v>
      </c>
      <c r="AC498" t="s">
        <v>669</v>
      </c>
      <c r="AE498" t="s">
        <v>66</v>
      </c>
      <c r="AG498" t="s">
        <v>1733</v>
      </c>
    </row>
    <row r="499" spans="1:33" ht="15" customHeight="1">
      <c r="A499" t="s">
        <v>1755</v>
      </c>
      <c r="D499" t="s">
        <v>1130</v>
      </c>
      <c r="E499" s="12" t="str">
        <f t="shared" si="98"/>
        <v>Heffner</v>
      </c>
      <c r="F499" s="13" t="str">
        <f t="array" ref="F499">_xlfn.LET(
 _xlpm.authors,_xlfn.TEXTBEFORE(A499," ("&amp;G499&amp;")"),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499" s="13" t="str">
        <f t="shared" si="99"/>
        <v>1985</v>
      </c>
      <c r="H499" s="12" t="str">
        <f t="shared" si="100"/>
        <v>Heffner_Heffner_1985</v>
      </c>
      <c r="I499" s="12" t="str">
        <f t="shared" si="101"/>
        <v>10.2307%2F1380801</v>
      </c>
      <c r="J499" s="12" t="str">
        <f t="shared" si="102"/>
        <v>Heffner_Heffner_1985_Figure6</v>
      </c>
      <c r="K499" s="13" t="str">
        <f t="shared" si="103"/>
        <v>10.2307%2F1380801_Figure6</v>
      </c>
      <c r="L499" s="13" t="str">
        <f t="array" ref="L499">IFERROR(INDEX(AUTO_Public_TSV_FileList!$A$1:$A$1000,MATCH(TRUE(),EXACT(K499,IFERROR(_xlfn.TEXTBEFORE(AUTO_Public_TSV_FileList!$A$1:$A$1000,".tsv"),"")),0)),"notfound")</f>
        <v>notfound</v>
      </c>
      <c r="M499" t="s">
        <v>1766</v>
      </c>
      <c r="N499" t="s">
        <v>630</v>
      </c>
      <c r="O499" t="s">
        <v>1757</v>
      </c>
      <c r="P499" t="s">
        <v>1726</v>
      </c>
      <c r="R499" s="10" t="s">
        <v>1758</v>
      </c>
      <c r="V499" t="s">
        <v>664</v>
      </c>
      <c r="W499" t="s">
        <v>1767</v>
      </c>
      <c r="X499" t="s">
        <v>1768</v>
      </c>
      <c r="Z499" t="s">
        <v>902</v>
      </c>
      <c r="AA499" t="s">
        <v>1769</v>
      </c>
      <c r="AB499" t="s">
        <v>1138</v>
      </c>
      <c r="AC499" t="s">
        <v>669</v>
      </c>
      <c r="AE499" t="s">
        <v>179</v>
      </c>
      <c r="AF499" t="s">
        <v>1770</v>
      </c>
      <c r="AG499" t="s">
        <v>1771</v>
      </c>
    </row>
    <row r="500" spans="1:33" ht="15" customHeight="1">
      <c r="A500" t="s">
        <v>1772</v>
      </c>
      <c r="B500" t="s">
        <v>283</v>
      </c>
      <c r="D500" t="s">
        <v>81</v>
      </c>
      <c r="E500" s="12" t="str">
        <f t="shared" si="98"/>
        <v>Heffner</v>
      </c>
      <c r="F500" s="13" t="str">
        <f t="array" ref="F500">_xlfn.LET(
 _xlpm.authors,_xlfn.TEXTBEFORE(A500," ("&amp;G500&amp;")"),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500" s="13" t="str">
        <f t="shared" si="99"/>
        <v>2010</v>
      </c>
      <c r="H500" s="12" t="str">
        <f t="shared" si="100"/>
        <v>Heffner_Heffner_2010_b</v>
      </c>
      <c r="I500" s="12" t="str">
        <f t="shared" si="101"/>
        <v>10.1002%2Far.21292</v>
      </c>
      <c r="J500" s="12" t="str">
        <f t="shared" si="102"/>
        <v>Heffner_Heffner_2010_b_Table1</v>
      </c>
      <c r="K500" s="13" t="str">
        <f t="shared" si="103"/>
        <v>10.1002%2Far.21292_Table1</v>
      </c>
      <c r="L500" s="13" t="str">
        <f t="array" ref="L500">IFERROR(INDEX(AUTO_Public_TSV_FileList!$A$1:$A$1000,MATCH(TRUE(),EXACT(K500,IFERROR(_xlfn.TEXTBEFORE(AUTO_Public_TSV_FileList!$A$1:$A$1000,".tsv"),"")),0)),"notfound")</f>
        <v>notfound</v>
      </c>
      <c r="M500" t="s">
        <v>1773</v>
      </c>
      <c r="N500" t="s">
        <v>660</v>
      </c>
      <c r="O500" t="s">
        <v>1774</v>
      </c>
      <c r="P500" t="s">
        <v>36</v>
      </c>
      <c r="R500" s="10" t="s">
        <v>1775</v>
      </c>
      <c r="V500" t="s">
        <v>664</v>
      </c>
      <c r="W500" t="s">
        <v>1776</v>
      </c>
      <c r="X500" t="s">
        <v>1777</v>
      </c>
      <c r="Z500" t="s">
        <v>902</v>
      </c>
      <c r="AA500" t="s">
        <v>1778</v>
      </c>
      <c r="AB500" t="s">
        <v>1779</v>
      </c>
      <c r="AC500" t="s">
        <v>669</v>
      </c>
      <c r="AE500" t="s">
        <v>179</v>
      </c>
      <c r="AF500" t="s">
        <v>1780</v>
      </c>
      <c r="AG500" t="s">
        <v>1733</v>
      </c>
    </row>
    <row r="501" spans="1:33" ht="15" customHeight="1">
      <c r="A501" t="s">
        <v>1781</v>
      </c>
      <c r="B501" t="s">
        <v>278</v>
      </c>
      <c r="D501" t="s">
        <v>529</v>
      </c>
      <c r="E501" s="12" t="str">
        <f t="shared" si="98"/>
        <v>Heffner</v>
      </c>
      <c r="F501" s="13" t="str">
        <f t="array" ref="F501">_xlfn.LET(
 _xlpm.authors,_xlfn.TEXTBEFORE(A501," ("&amp;G501&amp;")"),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1" s="13" t="str">
        <f t="shared" si="99"/>
        <v>1994</v>
      </c>
      <c r="H501" s="12" t="str">
        <f t="shared" si="100"/>
        <v>Heffner_etal_1994_a</v>
      </c>
      <c r="I501" s="12" t="str">
        <f t="shared" si="101"/>
        <v>10.1016%2F0378-5955(94)90233-x</v>
      </c>
      <c r="J501" s="12" t="str">
        <f t="shared" si="102"/>
        <v>Heffner_etal_1994_a_Figure2</v>
      </c>
      <c r="K501" s="13" t="str">
        <f t="shared" si="103"/>
        <v>10.1016%2F0378-5955(94)90233-x_Figure2</v>
      </c>
      <c r="L501" s="13" t="str">
        <f t="array" ref="L501">IFERROR(INDEX(AUTO_Public_TSV_FileList!$A$1:$A$1000,MATCH(TRUE(),EXACT(K501,IFERROR(_xlfn.TEXTBEFORE(AUTO_Public_TSV_FileList!$A$1:$A$1000,".tsv"),"")),0)),"notfound")</f>
        <v>notfound</v>
      </c>
      <c r="M501" t="s">
        <v>1782</v>
      </c>
      <c r="N501" t="s">
        <v>630</v>
      </c>
      <c r="O501" t="s">
        <v>1783</v>
      </c>
      <c r="P501" t="s">
        <v>36</v>
      </c>
      <c r="R501" s="10" t="s">
        <v>1784</v>
      </c>
      <c r="V501" t="s">
        <v>664</v>
      </c>
      <c r="W501" t="s">
        <v>1785</v>
      </c>
      <c r="X501" t="s">
        <v>1746</v>
      </c>
      <c r="Z501" t="s">
        <v>879</v>
      </c>
      <c r="AA501" t="s">
        <v>1760</v>
      </c>
      <c r="AB501" t="s">
        <v>1747</v>
      </c>
      <c r="AC501" t="s">
        <v>669</v>
      </c>
      <c r="AE501" t="s">
        <v>66</v>
      </c>
      <c r="AG501" t="s">
        <v>1733</v>
      </c>
    </row>
    <row r="502" spans="1:33" ht="15" customHeight="1">
      <c r="A502" t="s">
        <v>1781</v>
      </c>
      <c r="B502" t="s">
        <v>278</v>
      </c>
      <c r="D502" t="s">
        <v>628</v>
      </c>
      <c r="E502" s="12" t="str">
        <f t="shared" si="98"/>
        <v>Heffner</v>
      </c>
      <c r="F502" s="13" t="str">
        <f t="array" ref="F502">_xlfn.LET(
 _xlpm.authors,_xlfn.TEXTBEFORE(A502," ("&amp;G502&amp;")"),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2" s="13" t="str">
        <f t="shared" si="99"/>
        <v>1994</v>
      </c>
      <c r="H502" s="12" t="str">
        <f t="shared" si="100"/>
        <v>Heffner_etal_1994_a</v>
      </c>
      <c r="I502" s="12" t="str">
        <f t="shared" si="101"/>
        <v>10.1016%2F0378-5955(94)90233-x</v>
      </c>
      <c r="J502" s="12" t="str">
        <f t="shared" si="102"/>
        <v>Heffner_etal_1994_a_Figure1</v>
      </c>
      <c r="K502" s="13" t="str">
        <f t="shared" si="103"/>
        <v>10.1016%2F0378-5955(94)90233-x_Figure1</v>
      </c>
      <c r="L502" s="13" t="str">
        <f t="array" ref="L502">IFERROR(INDEX(AUTO_Public_TSV_FileList!$A$1:$A$1000,MATCH(TRUE(),EXACT(K502,IFERROR(_xlfn.TEXTBEFORE(AUTO_Public_TSV_FileList!$A$1:$A$1000,".tsv"),"")),0)),"notfound")</f>
        <v>notfound</v>
      </c>
      <c r="M502" t="s">
        <v>1786</v>
      </c>
      <c r="N502" t="s">
        <v>630</v>
      </c>
      <c r="O502" t="s">
        <v>1787</v>
      </c>
      <c r="P502" t="s">
        <v>36</v>
      </c>
      <c r="R502" s="10" t="s">
        <v>1784</v>
      </c>
      <c r="V502" t="s">
        <v>664</v>
      </c>
      <c r="W502" t="s">
        <v>1788</v>
      </c>
      <c r="X502" t="s">
        <v>1746</v>
      </c>
      <c r="Z502" t="s">
        <v>879</v>
      </c>
      <c r="AA502" t="s">
        <v>1760</v>
      </c>
      <c r="AB502" t="s">
        <v>1747</v>
      </c>
      <c r="AC502" t="s">
        <v>669</v>
      </c>
      <c r="AE502" t="s">
        <v>66</v>
      </c>
      <c r="AG502" t="s">
        <v>1761</v>
      </c>
    </row>
    <row r="503" spans="1:33" ht="15" customHeight="1">
      <c r="A503" t="s">
        <v>1789</v>
      </c>
      <c r="B503" t="s">
        <v>283</v>
      </c>
      <c r="D503" t="s">
        <v>330</v>
      </c>
      <c r="E503" s="12" t="str">
        <f t="shared" si="98"/>
        <v>Heffner</v>
      </c>
      <c r="F503" s="13" t="str">
        <f t="array" ref="F503">_xlfn.LET(
 _xlpm.authors,_xlfn.TEXTBEFORE(A503," ("&amp;G503&amp;")"),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3" s="13" t="str">
        <f t="shared" si="99"/>
        <v>1994</v>
      </c>
      <c r="H503" s="12" t="str">
        <f t="shared" si="100"/>
        <v>Heffner_etal_1994_b</v>
      </c>
      <c r="I503" s="12" t="str">
        <f t="shared" si="101"/>
        <v>10.1016%2F0378-5955(94)90240-2</v>
      </c>
      <c r="J503" s="12" t="str">
        <f t="shared" si="102"/>
        <v>Heffner_etal_1994_b_Figure3</v>
      </c>
      <c r="K503" s="13" t="str">
        <f t="shared" si="103"/>
        <v>10.1016%2F0378-5955(94)90240-2_Figure3</v>
      </c>
      <c r="L503" s="13" t="str">
        <f t="array" ref="L503">IFERROR(INDEX(AUTO_Public_TSV_FileList!$A$1:$A$1000,MATCH(TRUE(),EXACT(K503,IFERROR(_xlfn.TEXTBEFORE(AUTO_Public_TSV_FileList!$A$1:$A$1000,".tsv"),"")),0)),"notfound")</f>
        <v>notfound</v>
      </c>
      <c r="M503" t="s">
        <v>1790</v>
      </c>
      <c r="N503" t="s">
        <v>630</v>
      </c>
      <c r="O503" t="s">
        <v>1791</v>
      </c>
      <c r="P503" t="s">
        <v>36</v>
      </c>
      <c r="R503" s="10" t="s">
        <v>1792</v>
      </c>
      <c r="T503" t="s">
        <v>1793</v>
      </c>
      <c r="V503" t="s">
        <v>664</v>
      </c>
      <c r="W503" t="s">
        <v>1794</v>
      </c>
      <c r="X503" t="s">
        <v>1746</v>
      </c>
      <c r="Z503" t="s">
        <v>879</v>
      </c>
      <c r="AA503" t="s">
        <v>1760</v>
      </c>
      <c r="AB503" t="s">
        <v>1747</v>
      </c>
      <c r="AC503" t="s">
        <v>669</v>
      </c>
      <c r="AE503" t="s">
        <v>51</v>
      </c>
      <c r="AF503" t="s">
        <v>1795</v>
      </c>
      <c r="AG503" t="s">
        <v>1733</v>
      </c>
    </row>
    <row r="504" spans="1:33" ht="15" customHeight="1">
      <c r="A504" t="s">
        <v>1796</v>
      </c>
      <c r="B504" t="s">
        <v>695</v>
      </c>
      <c r="D504" t="s">
        <v>81</v>
      </c>
      <c r="E504" s="12" t="str">
        <f t="shared" si="98"/>
        <v>Heffner</v>
      </c>
      <c r="F504" s="13" t="str">
        <f t="array" ref="F504">_xlfn.LET(
 _xlpm.authors,_xlfn.TEXTBEFORE(A504," ("&amp;G504&amp;")"),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4" s="13" t="str">
        <f t="shared" si="99"/>
        <v>1994</v>
      </c>
      <c r="H504" s="12" t="str">
        <f t="shared" si="100"/>
        <v>Heffner_etal_1994_c</v>
      </c>
      <c r="I504" s="12" t="str">
        <f t="shared" si="101"/>
        <v>10.1016%2F0378-5955(94)90116-3</v>
      </c>
      <c r="J504" s="12" t="str">
        <f t="shared" si="102"/>
        <v>Heffner_etal_1994_c_Table1</v>
      </c>
      <c r="K504" s="13" t="str">
        <f t="shared" si="103"/>
        <v>10.1016%2F0378-5955(94)90116-3_Table1</v>
      </c>
      <c r="L504" s="13" t="str">
        <f t="array" ref="L504">IFERROR(INDEX(AUTO_Public_TSV_FileList!$A$1:$A$1000,MATCH(TRUE(),EXACT(K504,IFERROR(_xlfn.TEXTBEFORE(AUTO_Public_TSV_FileList!$A$1:$A$1000,".tsv"),"")),0)),"notfound")</f>
        <v>notfound</v>
      </c>
      <c r="M504" t="s">
        <v>1797</v>
      </c>
      <c r="N504" t="s">
        <v>660</v>
      </c>
      <c r="O504" t="s">
        <v>1798</v>
      </c>
      <c r="P504" t="s">
        <v>36</v>
      </c>
      <c r="R504" s="10" t="s">
        <v>1799</v>
      </c>
      <c r="T504" t="s">
        <v>1793</v>
      </c>
      <c r="V504" t="s">
        <v>664</v>
      </c>
      <c r="W504" t="s">
        <v>1800</v>
      </c>
      <c r="X504" t="s">
        <v>1801</v>
      </c>
      <c r="Z504" t="s">
        <v>879</v>
      </c>
      <c r="AA504" t="s">
        <v>1802</v>
      </c>
      <c r="AB504" t="s">
        <v>681</v>
      </c>
      <c r="AC504" t="s">
        <v>669</v>
      </c>
      <c r="AE504" t="s">
        <v>51</v>
      </c>
      <c r="AF504" t="s">
        <v>1803</v>
      </c>
      <c r="AG504" t="s">
        <v>1733</v>
      </c>
    </row>
    <row r="505" spans="1:33" ht="15" customHeight="1">
      <c r="A505" t="s">
        <v>1796</v>
      </c>
      <c r="B505" t="s">
        <v>695</v>
      </c>
      <c r="D505" t="s">
        <v>1131</v>
      </c>
      <c r="E505" s="12" t="str">
        <f t="shared" si="98"/>
        <v>Heffner</v>
      </c>
      <c r="F505" s="13" t="str">
        <f t="array" ref="F505">_xlfn.LET(
 _xlpm.authors,_xlfn.TEXTBEFORE(A505," ("&amp;G505&amp;")"),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5" s="13" t="str">
        <f t="shared" si="99"/>
        <v>1994</v>
      </c>
      <c r="H505" s="12" t="str">
        <f t="shared" si="100"/>
        <v>Heffner_etal_1994_c</v>
      </c>
      <c r="I505" s="12" t="str">
        <f t="shared" si="101"/>
        <v>10.1016%2F0378-5955(94)90116-3</v>
      </c>
      <c r="J505" s="12" t="str">
        <f t="shared" si="102"/>
        <v>Heffner_etal_1994_c_Figure7</v>
      </c>
      <c r="K505" s="13" t="str">
        <f t="shared" si="103"/>
        <v>10.1016%2F0378-5955(94)90116-3_Figure7</v>
      </c>
      <c r="L505" s="13" t="str">
        <f t="array" ref="L505">IFERROR(INDEX(AUTO_Public_TSV_FileList!$A$1:$A$1000,MATCH(TRUE(),EXACT(K505,IFERROR(_xlfn.TEXTBEFORE(AUTO_Public_TSV_FileList!$A$1:$A$1000,".tsv"),"")),0)),"notfound")</f>
        <v>notfound</v>
      </c>
      <c r="M505" t="s">
        <v>1804</v>
      </c>
      <c r="N505" t="s">
        <v>630</v>
      </c>
      <c r="O505" t="s">
        <v>1805</v>
      </c>
      <c r="P505" t="s">
        <v>1726</v>
      </c>
      <c r="R505" s="10" t="s">
        <v>1799</v>
      </c>
      <c r="T505" t="s">
        <v>1793</v>
      </c>
      <c r="V505" t="s">
        <v>664</v>
      </c>
      <c r="W505" t="s">
        <v>1806</v>
      </c>
      <c r="X505" t="s">
        <v>1807</v>
      </c>
      <c r="Z505" t="s">
        <v>902</v>
      </c>
      <c r="AA505" t="s">
        <v>1778</v>
      </c>
      <c r="AB505" t="s">
        <v>1808</v>
      </c>
      <c r="AC505" t="s">
        <v>669</v>
      </c>
      <c r="AE505" t="s">
        <v>179</v>
      </c>
      <c r="AF505" t="s">
        <v>1809</v>
      </c>
      <c r="AG505" t="s">
        <v>1771</v>
      </c>
    </row>
    <row r="506" spans="1:33" ht="15" customHeight="1">
      <c r="A506" t="s">
        <v>1810</v>
      </c>
      <c r="D506" t="s">
        <v>1811</v>
      </c>
      <c r="E506" s="12" t="str">
        <f t="shared" si="98"/>
        <v>Heffner</v>
      </c>
      <c r="F506" s="13" t="str">
        <f t="array" ref="F506">_xlfn.LET(
 _xlpm.authors,_xlfn.TEXTBEFORE(A506," ("&amp;G506&amp;")"),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6" s="13" t="str">
        <f t="shared" si="99"/>
        <v>2003</v>
      </c>
      <c r="H506" s="12" t="str">
        <f t="shared" si="100"/>
        <v>Heffner_etal_2003</v>
      </c>
      <c r="I506" s="12" t="str">
        <f t="shared" si="101"/>
        <v>10.1016%2Fs0378-5955(03)00233-8</v>
      </c>
      <c r="J506" s="12" t="str">
        <f t="shared" si="102"/>
        <v>Heffner_etal_2003_Figure4</v>
      </c>
      <c r="K506" s="13" t="str">
        <f t="shared" si="103"/>
        <v>10.1016%2Fs0378-5955(03)00233-8_Figure4</v>
      </c>
      <c r="L506" s="13" t="str">
        <f t="array" ref="L506">IFERROR(INDEX(AUTO_Public_TSV_FileList!$A$1:$A$1000,MATCH(TRUE(),EXACT(K506,IFERROR(_xlfn.TEXTBEFORE(AUTO_Public_TSV_FileList!$A$1:$A$1000,".tsv"),"")),0)),"notfound")</f>
        <v>notfound</v>
      </c>
      <c r="M506" t="s">
        <v>1812</v>
      </c>
      <c r="N506" t="s">
        <v>630</v>
      </c>
      <c r="O506" t="s">
        <v>1757</v>
      </c>
      <c r="P506" t="s">
        <v>1726</v>
      </c>
      <c r="R506" s="10" t="s">
        <v>1813</v>
      </c>
      <c r="V506" t="s">
        <v>664</v>
      </c>
      <c r="W506" t="s">
        <v>1814</v>
      </c>
      <c r="X506" t="s">
        <v>1815</v>
      </c>
      <c r="Z506" t="s">
        <v>879</v>
      </c>
      <c r="AA506" t="s">
        <v>1760</v>
      </c>
      <c r="AB506" t="s">
        <v>1747</v>
      </c>
      <c r="AC506" t="s">
        <v>669</v>
      </c>
      <c r="AE506" t="s">
        <v>51</v>
      </c>
      <c r="AF506" t="s">
        <v>1816</v>
      </c>
      <c r="AG506" t="s">
        <v>1761</v>
      </c>
    </row>
    <row r="507" spans="1:33" ht="15" customHeight="1">
      <c r="A507" t="s">
        <v>1810</v>
      </c>
      <c r="D507" t="s">
        <v>1750</v>
      </c>
      <c r="E507" s="12" t="str">
        <f t="shared" si="98"/>
        <v>Heffner</v>
      </c>
      <c r="F507" s="13" t="str">
        <f t="array" ref="F507">_xlfn.LET(
 _xlpm.authors,_xlfn.TEXTBEFORE(A507," ("&amp;G507&amp;")"),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7" s="13" t="str">
        <f t="shared" si="99"/>
        <v>2003</v>
      </c>
      <c r="H507" s="12" t="str">
        <f t="shared" si="100"/>
        <v>Heffner_etal_2003</v>
      </c>
      <c r="I507" s="12" t="str">
        <f t="shared" si="101"/>
        <v>10.1016%2Fs0378-5955(03)00233-8</v>
      </c>
      <c r="J507" s="12" t="str">
        <f t="shared" si="102"/>
        <v>Heffner_etal_2003_Resultstext</v>
      </c>
      <c r="K507" s="13" t="str">
        <f t="shared" si="103"/>
        <v>10.1016%2Fs0378-5955(03)00233-8_Resultstext</v>
      </c>
      <c r="L507" s="13" t="str">
        <f t="array" ref="L507">IFERROR(INDEX(AUTO_Public_TSV_FileList!$A$1:$A$1000,MATCH(TRUE(),EXACT(K507,IFERROR(_xlfn.TEXTBEFORE(AUTO_Public_TSV_FileList!$A$1:$A$1000,".tsv"),"")),0)),"notfound")</f>
        <v>notfound</v>
      </c>
      <c r="M507" t="s">
        <v>1817</v>
      </c>
      <c r="N507" t="s">
        <v>364</v>
      </c>
      <c r="O507" t="s">
        <v>1818</v>
      </c>
      <c r="P507" t="s">
        <v>36</v>
      </c>
      <c r="R507" s="10" t="s">
        <v>1813</v>
      </c>
      <c r="V507" t="s">
        <v>664</v>
      </c>
      <c r="W507" t="s">
        <v>1819</v>
      </c>
      <c r="X507" t="s">
        <v>1820</v>
      </c>
      <c r="Z507" t="s">
        <v>879</v>
      </c>
      <c r="AA507" t="s">
        <v>1760</v>
      </c>
      <c r="AB507" t="s">
        <v>1821</v>
      </c>
      <c r="AC507" t="s">
        <v>669</v>
      </c>
      <c r="AE507" t="s">
        <v>66</v>
      </c>
      <c r="AG507" t="s">
        <v>1733</v>
      </c>
    </row>
    <row r="508" spans="1:33" ht="15" customHeight="1">
      <c r="A508" t="s">
        <v>1810</v>
      </c>
      <c r="D508" t="s">
        <v>1822</v>
      </c>
      <c r="E508" s="12" t="str">
        <f t="shared" si="98"/>
        <v>Heffner</v>
      </c>
      <c r="F508" s="13" t="str">
        <f t="array" ref="F508">_xlfn.LET(
 _xlpm.authors,_xlfn.TEXTBEFORE(A508," ("&amp;G508&amp;")"),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8" s="13" t="str">
        <f t="shared" si="99"/>
        <v>2003</v>
      </c>
      <c r="H508" s="12" t="str">
        <f t="shared" si="100"/>
        <v>Heffner_etal_2003</v>
      </c>
      <c r="I508" s="12" t="str">
        <f t="shared" si="101"/>
        <v>10.1016%2Fs0378-5955(03)00233-8</v>
      </c>
      <c r="J508" s="12" t="str">
        <f t="shared" si="102"/>
        <v>Heffner_etal_2003_Figure5</v>
      </c>
      <c r="K508" s="13" t="str">
        <f t="shared" si="103"/>
        <v>10.1016%2Fs0378-5955(03)00233-8_Figure5</v>
      </c>
      <c r="L508" s="13" t="str">
        <f t="array" ref="L508">IFERROR(INDEX(AUTO_Public_TSV_FileList!$A$1:$A$1000,MATCH(TRUE(),EXACT(K508,IFERROR(_xlfn.TEXTBEFORE(AUTO_Public_TSV_FileList!$A$1:$A$1000,".tsv"),"")),0)),"notfound")</f>
        <v>notfound</v>
      </c>
      <c r="M508" t="s">
        <v>1823</v>
      </c>
      <c r="N508" t="s">
        <v>630</v>
      </c>
      <c r="O508" t="s">
        <v>1757</v>
      </c>
      <c r="P508" t="s">
        <v>1726</v>
      </c>
      <c r="R508" s="10" t="s">
        <v>1813</v>
      </c>
      <c r="V508" t="s">
        <v>664</v>
      </c>
      <c r="W508" t="s">
        <v>1824</v>
      </c>
      <c r="X508" t="s">
        <v>1825</v>
      </c>
      <c r="Z508" t="s">
        <v>902</v>
      </c>
      <c r="AA508" t="s">
        <v>1778</v>
      </c>
      <c r="AB508" t="s">
        <v>1826</v>
      </c>
      <c r="AC508" t="s">
        <v>669</v>
      </c>
      <c r="AE508" t="s">
        <v>179</v>
      </c>
      <c r="AF508" t="s">
        <v>1809</v>
      </c>
      <c r="AG508" t="s">
        <v>1771</v>
      </c>
    </row>
    <row r="509" spans="1:33" ht="15" customHeight="1">
      <c r="A509" t="s">
        <v>1827</v>
      </c>
      <c r="D509" t="s">
        <v>1130</v>
      </c>
      <c r="E509" s="12" t="str">
        <f t="shared" si="98"/>
        <v>Heffner</v>
      </c>
      <c r="F509" s="13" t="str">
        <f t="array" ref="F509">_xlfn.LET(
 _xlpm.authors,_xlfn.TEXTBEFORE(A509," ("&amp;G509&amp;")"),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09" s="13" t="str">
        <f t="shared" si="99"/>
        <v>2007</v>
      </c>
      <c r="H509" s="12" t="str">
        <f t="shared" si="100"/>
        <v>Heffner_etal_2007</v>
      </c>
      <c r="I509" s="12" t="str">
        <f t="shared" si="101"/>
        <v>10.1016%2Fj.heares.2007.06.001</v>
      </c>
      <c r="J509" s="12" t="str">
        <f t="shared" si="102"/>
        <v>Heffner_etal_2007_Figure6</v>
      </c>
      <c r="K509" s="13" t="str">
        <f t="shared" si="103"/>
        <v>10.1016%2Fj.heares.2007.06.001_Figure6</v>
      </c>
      <c r="L509" s="13" t="str">
        <f t="array" ref="L509">IFERROR(INDEX(AUTO_Public_TSV_FileList!$A$1:$A$1000,MATCH(TRUE(),EXACT(K509,IFERROR(_xlfn.TEXTBEFORE(AUTO_Public_TSV_FileList!$A$1:$A$1000,".tsv"),"")),0)),"notfound")</f>
        <v>notfound</v>
      </c>
      <c r="M509" t="s">
        <v>1828</v>
      </c>
      <c r="N509" t="s">
        <v>630</v>
      </c>
      <c r="O509" t="s">
        <v>1829</v>
      </c>
      <c r="P509" t="s">
        <v>36</v>
      </c>
      <c r="R509" s="10" t="s">
        <v>1830</v>
      </c>
      <c r="V509" t="s">
        <v>677</v>
      </c>
      <c r="W509" t="s">
        <v>1831</v>
      </c>
      <c r="X509" t="s">
        <v>1832</v>
      </c>
      <c r="Z509" t="s">
        <v>879</v>
      </c>
      <c r="AA509" t="s">
        <v>1833</v>
      </c>
      <c r="AB509" t="s">
        <v>681</v>
      </c>
      <c r="AC509" t="s">
        <v>669</v>
      </c>
      <c r="AE509" t="s">
        <v>51</v>
      </c>
      <c r="AF509" t="s">
        <v>1834</v>
      </c>
      <c r="AG509" t="s">
        <v>1733</v>
      </c>
    </row>
    <row r="510" spans="1:33" ht="15" customHeight="1">
      <c r="A510" t="s">
        <v>1827</v>
      </c>
      <c r="D510" t="s">
        <v>1811</v>
      </c>
      <c r="E510" s="12" t="str">
        <f t="shared" si="98"/>
        <v>Heffner</v>
      </c>
      <c r="F510" s="13" t="str">
        <f t="array" ref="F510">_xlfn.LET(
 _xlpm.authors,_xlfn.TEXTBEFORE(A510," ("&amp;G510&amp;")"),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0" s="13" t="str">
        <f t="shared" si="99"/>
        <v>2007</v>
      </c>
      <c r="H510" s="12" t="str">
        <f t="shared" si="100"/>
        <v>Heffner_etal_2007</v>
      </c>
      <c r="I510" s="12" t="str">
        <f t="shared" si="101"/>
        <v>10.1016%2Fj.heares.2007.06.001</v>
      </c>
      <c r="J510" s="12" t="str">
        <f t="shared" si="102"/>
        <v>Heffner_etal_2007_Figure4</v>
      </c>
      <c r="K510" s="13" t="str">
        <f t="shared" si="103"/>
        <v>10.1016%2Fj.heares.2007.06.001_Figure4</v>
      </c>
      <c r="L510" s="13" t="str">
        <f t="array" ref="L510">IFERROR(INDEX(AUTO_Public_TSV_FileList!$A$1:$A$1000,MATCH(TRUE(),EXACT(K510,IFERROR(_xlfn.TEXTBEFORE(AUTO_Public_TSV_FileList!$A$1:$A$1000,".tsv"),"")),0)),"notfound")</f>
        <v>notfound</v>
      </c>
      <c r="M510" t="s">
        <v>1835</v>
      </c>
      <c r="N510" t="s">
        <v>630</v>
      </c>
      <c r="O510" t="s">
        <v>1836</v>
      </c>
      <c r="P510" t="s">
        <v>1726</v>
      </c>
      <c r="R510" s="10" t="s">
        <v>1830</v>
      </c>
      <c r="V510" t="s">
        <v>677</v>
      </c>
      <c r="W510" t="s">
        <v>1837</v>
      </c>
      <c r="X510" t="s">
        <v>1838</v>
      </c>
      <c r="Z510" t="s">
        <v>1839</v>
      </c>
      <c r="AA510" t="s">
        <v>1840</v>
      </c>
      <c r="AB510" t="s">
        <v>1841</v>
      </c>
      <c r="AC510" t="s">
        <v>669</v>
      </c>
      <c r="AE510" t="s">
        <v>66</v>
      </c>
      <c r="AG510" t="s">
        <v>1771</v>
      </c>
    </row>
    <row r="511" spans="1:33" ht="15" customHeight="1">
      <c r="A511" t="s">
        <v>1842</v>
      </c>
      <c r="D511" t="s">
        <v>529</v>
      </c>
      <c r="E511" s="12" t="str">
        <f t="shared" si="98"/>
        <v>Heffner</v>
      </c>
      <c r="F511" s="13" t="str">
        <f t="array" ref="F511">_xlfn.LET(
 _xlpm.authors,_xlfn.TEXTBEFORE(A511," ("&amp;G511&amp;")"),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1" s="13" t="str">
        <f t="shared" si="99"/>
        <v>2013</v>
      </c>
      <c r="H511" s="12" t="str">
        <f t="shared" si="100"/>
        <v>Heffner_etal_2013</v>
      </c>
      <c r="I511" s="12" t="str">
        <f t="shared" si="101"/>
        <v>10.1016%2Fj.heares.2012.09.011</v>
      </c>
      <c r="J511" s="12" t="str">
        <f t="shared" si="102"/>
        <v>Heffner_etal_2013_Figure2</v>
      </c>
      <c r="K511" s="13" t="str">
        <f t="shared" si="103"/>
        <v>10.1016%2Fj.heares.2012.09.011_Figure2</v>
      </c>
      <c r="L511" s="13" t="str">
        <f t="array" ref="L511">IFERROR(INDEX(AUTO_Public_TSV_FileList!$A$1:$A$1000,MATCH(TRUE(),EXACT(K511,IFERROR(_xlfn.TEXTBEFORE(AUTO_Public_TSV_FileList!$A$1:$A$1000,".tsv"),"")),0)),"notfound")</f>
        <v>notfound</v>
      </c>
      <c r="M511" t="s">
        <v>1843</v>
      </c>
      <c r="N511" t="s">
        <v>630</v>
      </c>
      <c r="O511" t="s">
        <v>1757</v>
      </c>
      <c r="P511" t="s">
        <v>1726</v>
      </c>
      <c r="R511" s="10" t="s">
        <v>1844</v>
      </c>
      <c r="V511" t="s">
        <v>664</v>
      </c>
      <c r="W511" t="s">
        <v>1845</v>
      </c>
      <c r="X511" t="s">
        <v>1815</v>
      </c>
      <c r="Z511" t="s">
        <v>879</v>
      </c>
      <c r="AA511" t="s">
        <v>1760</v>
      </c>
      <c r="AB511" t="s">
        <v>1747</v>
      </c>
      <c r="AC511" t="s">
        <v>669</v>
      </c>
      <c r="AE511" t="s">
        <v>66</v>
      </c>
      <c r="AG511" t="s">
        <v>1761</v>
      </c>
    </row>
    <row r="512" spans="1:33" ht="15" customHeight="1">
      <c r="A512" t="s">
        <v>1842</v>
      </c>
      <c r="D512" t="s">
        <v>1750</v>
      </c>
      <c r="E512" s="12" t="str">
        <f t="shared" si="98"/>
        <v>Heffner</v>
      </c>
      <c r="F512" s="13" t="str">
        <f t="array" ref="F512">_xlfn.LET(
 _xlpm.authors,_xlfn.TEXTBEFORE(A512," ("&amp;G512&amp;")"),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2" s="13" t="str">
        <f t="shared" si="99"/>
        <v>2013</v>
      </c>
      <c r="H512" s="12" t="str">
        <f t="shared" si="100"/>
        <v>Heffner_etal_2013</v>
      </c>
      <c r="I512" s="12" t="str">
        <f t="shared" si="101"/>
        <v>10.1016%2Fj.heares.2012.09.011</v>
      </c>
      <c r="J512" s="12" t="str">
        <f t="shared" si="102"/>
        <v>Heffner_etal_2013_Resultstext</v>
      </c>
      <c r="K512" s="13" t="str">
        <f t="shared" si="103"/>
        <v>10.1016%2Fj.heares.2012.09.011_Resultstext</v>
      </c>
      <c r="L512" s="13" t="str">
        <f t="array" ref="L512">IFERROR(INDEX(AUTO_Public_TSV_FileList!$A$1:$A$1000,MATCH(TRUE(),EXACT(K512,IFERROR(_xlfn.TEXTBEFORE(AUTO_Public_TSV_FileList!$A$1:$A$1000,".tsv"),"")),0)),"notfound")</f>
        <v>notfound</v>
      </c>
      <c r="M512" t="s">
        <v>1846</v>
      </c>
      <c r="N512" t="s">
        <v>364</v>
      </c>
      <c r="O512" t="s">
        <v>1847</v>
      </c>
      <c r="P512" t="s">
        <v>36</v>
      </c>
      <c r="R512" s="10" t="s">
        <v>1844</v>
      </c>
      <c r="V512" t="s">
        <v>664</v>
      </c>
      <c r="W512" t="s">
        <v>1848</v>
      </c>
      <c r="X512" t="s">
        <v>1849</v>
      </c>
      <c r="Z512" t="s">
        <v>879</v>
      </c>
      <c r="AA512" t="s">
        <v>1760</v>
      </c>
      <c r="AB512" t="s">
        <v>1850</v>
      </c>
      <c r="AC512" t="s">
        <v>669</v>
      </c>
      <c r="AE512" t="s">
        <v>66</v>
      </c>
      <c r="AG512" t="s">
        <v>1733</v>
      </c>
    </row>
    <row r="513" spans="1:33" ht="15" customHeight="1">
      <c r="A513" t="s">
        <v>1842</v>
      </c>
      <c r="D513" t="s">
        <v>81</v>
      </c>
      <c r="E513" s="12" t="str">
        <f t="shared" si="98"/>
        <v>Heffner</v>
      </c>
      <c r="F513" s="13" t="str">
        <f t="array" ref="F513">_xlfn.LET(
 _xlpm.authors,_xlfn.TEXTBEFORE(A513," ("&amp;G513&amp;")"),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3" s="13" t="str">
        <f t="shared" si="99"/>
        <v>2013</v>
      </c>
      <c r="H513" s="12" t="str">
        <f t="shared" si="100"/>
        <v>Heffner_etal_2013</v>
      </c>
      <c r="I513" s="12" t="str">
        <f t="shared" si="101"/>
        <v>10.1016%2Fj.heares.2012.09.011</v>
      </c>
      <c r="J513" s="12" t="str">
        <f t="shared" si="102"/>
        <v>Heffner_etal_2013_Table1</v>
      </c>
      <c r="K513" s="13" t="str">
        <f t="shared" si="103"/>
        <v>10.1016%2Fj.heares.2012.09.011_Table1</v>
      </c>
      <c r="L513" s="13" t="str">
        <f t="array" ref="L513">IFERROR(INDEX(AUTO_Public_TSV_FileList!$A$1:$A$1000,MATCH(TRUE(),EXACT(K513,IFERROR(_xlfn.TEXTBEFORE(AUTO_Public_TSV_FileList!$A$1:$A$1000,".tsv"),"")),0)),"notfound")</f>
        <v>notfound</v>
      </c>
      <c r="M513" t="s">
        <v>1851</v>
      </c>
      <c r="N513" t="s">
        <v>660</v>
      </c>
      <c r="O513" t="s">
        <v>1757</v>
      </c>
      <c r="P513" t="s">
        <v>1726</v>
      </c>
      <c r="R513" s="10" t="s">
        <v>1844</v>
      </c>
      <c r="V513" t="s">
        <v>664</v>
      </c>
      <c r="W513" t="s">
        <v>1852</v>
      </c>
      <c r="X513" t="s">
        <v>1853</v>
      </c>
      <c r="Z513" t="s">
        <v>879</v>
      </c>
      <c r="AA513" t="s">
        <v>1778</v>
      </c>
      <c r="AB513" t="s">
        <v>1854</v>
      </c>
      <c r="AC513" t="s">
        <v>669</v>
      </c>
      <c r="AE513" t="s">
        <v>51</v>
      </c>
      <c r="AF513" t="s">
        <v>1809</v>
      </c>
      <c r="AG513" t="s">
        <v>1761</v>
      </c>
    </row>
    <row r="514" spans="1:33" ht="15" customHeight="1">
      <c r="A514" t="s">
        <v>1855</v>
      </c>
      <c r="D514" t="s">
        <v>330</v>
      </c>
      <c r="E514" s="12" t="str">
        <f t="shared" si="98"/>
        <v>Heffner</v>
      </c>
      <c r="F514" s="13" t="str">
        <f t="array" ref="F514">_xlfn.LET(
 _xlpm.authors,_xlfn.TEXTBEFORE(A514," ("&amp;G514&amp;")"),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4" s="13" t="str">
        <f t="shared" si="99"/>
        <v>2014</v>
      </c>
      <c r="H514" s="12" t="str">
        <f t="shared" si="100"/>
        <v>Heffner_etal_2014</v>
      </c>
      <c r="I514" s="12" t="str">
        <f t="shared" si="101"/>
        <v>10.1121%2F1.4861344</v>
      </c>
      <c r="J514" s="12" t="str">
        <f t="shared" si="102"/>
        <v>Heffner_etal_2014_Figure3</v>
      </c>
      <c r="K514" s="13" t="str">
        <f t="shared" si="103"/>
        <v>10.1121%2F1.4861344_Figure3</v>
      </c>
      <c r="L514" s="13" t="str">
        <f t="array" ref="L514">IFERROR(INDEX(AUTO_Public_TSV_FileList!$A$1:$A$1000,MATCH(TRUE(),EXACT(K514,IFERROR(_xlfn.TEXTBEFORE(AUTO_Public_TSV_FileList!$A$1:$A$1000,".tsv"),"")),0)),"notfound")</f>
        <v>notfound</v>
      </c>
      <c r="M514" t="s">
        <v>1856</v>
      </c>
      <c r="N514" t="s">
        <v>630</v>
      </c>
      <c r="O514" t="s">
        <v>1757</v>
      </c>
      <c r="P514" t="s">
        <v>1726</v>
      </c>
      <c r="R514" s="10" t="s">
        <v>1857</v>
      </c>
      <c r="V514" t="s">
        <v>664</v>
      </c>
      <c r="W514" t="s">
        <v>1858</v>
      </c>
      <c r="X514" t="s">
        <v>1859</v>
      </c>
      <c r="Z514" t="s">
        <v>879</v>
      </c>
      <c r="AA514" t="s">
        <v>1760</v>
      </c>
      <c r="AB514" t="s">
        <v>1747</v>
      </c>
      <c r="AC514" t="s">
        <v>669</v>
      </c>
      <c r="AE514" t="s">
        <v>66</v>
      </c>
      <c r="AG514" t="s">
        <v>1761</v>
      </c>
    </row>
    <row r="515" spans="1:33" ht="15" customHeight="1">
      <c r="A515" t="s">
        <v>1855</v>
      </c>
      <c r="D515" t="s">
        <v>1750</v>
      </c>
      <c r="E515" s="12" t="str">
        <f t="shared" si="98"/>
        <v>Heffner</v>
      </c>
      <c r="F515" s="13" t="str">
        <f t="array" ref="F515">_xlfn.LET(
 _xlpm.authors,_xlfn.TEXTBEFORE(A515," ("&amp;G515&amp;")"),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5" s="13" t="str">
        <f t="shared" si="99"/>
        <v>2014</v>
      </c>
      <c r="H515" s="12" t="str">
        <f t="shared" si="100"/>
        <v>Heffner_etal_2014</v>
      </c>
      <c r="I515" s="12" t="str">
        <f t="shared" si="101"/>
        <v>10.1121%2F1.4861344</v>
      </c>
      <c r="J515" s="12" t="str">
        <f t="shared" si="102"/>
        <v>Heffner_etal_2014_Resultstext</v>
      </c>
      <c r="K515" s="13" t="str">
        <f t="shared" si="103"/>
        <v>10.1121%2F1.4861344_Resultstext</v>
      </c>
      <c r="L515" s="13" t="str">
        <f t="array" ref="L515">IFERROR(INDEX(AUTO_Public_TSV_FileList!$A$1:$A$1000,MATCH(TRUE(),EXACT(K515,IFERROR(_xlfn.TEXTBEFORE(AUTO_Public_TSV_FileList!$A$1:$A$1000,".tsv"),"")),0)),"notfound")</f>
        <v>notfound</v>
      </c>
      <c r="M515" t="s">
        <v>1860</v>
      </c>
      <c r="N515" t="s">
        <v>364</v>
      </c>
      <c r="O515" t="s">
        <v>1861</v>
      </c>
      <c r="P515" t="s">
        <v>1862</v>
      </c>
      <c r="R515" s="10" t="s">
        <v>1857</v>
      </c>
      <c r="V515" t="s">
        <v>664</v>
      </c>
      <c r="W515" t="s">
        <v>1863</v>
      </c>
      <c r="X515" t="s">
        <v>1864</v>
      </c>
      <c r="Z515" t="s">
        <v>879</v>
      </c>
      <c r="AA515" t="s">
        <v>1865</v>
      </c>
      <c r="AB515" t="s">
        <v>1866</v>
      </c>
      <c r="AC515" t="s">
        <v>669</v>
      </c>
      <c r="AE515" t="s">
        <v>66</v>
      </c>
      <c r="AG515" t="s">
        <v>1733</v>
      </c>
    </row>
    <row r="516" spans="1:33" ht="15" customHeight="1">
      <c r="A516" t="s">
        <v>1855</v>
      </c>
      <c r="D516" t="s">
        <v>1867</v>
      </c>
      <c r="E516" s="12" t="str">
        <f t="shared" si="98"/>
        <v>Heffner</v>
      </c>
      <c r="F516" s="13" t="str">
        <f t="array" ref="F516">_xlfn.LET(
 _xlpm.authors,_xlfn.TEXTBEFORE(A516," ("&amp;G516&amp;")"),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6" s="13" t="str">
        <f t="shared" si="99"/>
        <v>2014</v>
      </c>
      <c r="H516" s="12" t="str">
        <f t="shared" si="100"/>
        <v>Heffner_etal_2014</v>
      </c>
      <c r="I516" s="12" t="str">
        <f t="shared" si="101"/>
        <v>10.1121%2F1.4861344</v>
      </c>
      <c r="J516" s="12" t="str">
        <f t="shared" si="102"/>
        <v>Heffner_etal_2014_Figure9</v>
      </c>
      <c r="K516" s="13" t="str">
        <f t="shared" si="103"/>
        <v>10.1121%2F1.4861344_Figure9</v>
      </c>
      <c r="L516" s="13" t="str">
        <f t="array" ref="L516">IFERROR(INDEX(AUTO_Public_TSV_FileList!$A$1:$A$1000,MATCH(TRUE(),EXACT(K516,IFERROR(_xlfn.TEXTBEFORE(AUTO_Public_TSV_FileList!$A$1:$A$1000,".tsv"),"")),0)),"notfound")</f>
        <v>notfound</v>
      </c>
      <c r="M516" t="s">
        <v>1868</v>
      </c>
      <c r="N516" t="s">
        <v>630</v>
      </c>
      <c r="O516" t="s">
        <v>1757</v>
      </c>
      <c r="P516" t="s">
        <v>1726</v>
      </c>
      <c r="R516" s="10" t="s">
        <v>1857</v>
      </c>
      <c r="V516" t="s">
        <v>664</v>
      </c>
      <c r="W516" t="s">
        <v>1824</v>
      </c>
      <c r="X516" t="s">
        <v>1801</v>
      </c>
      <c r="Z516" t="s">
        <v>902</v>
      </c>
      <c r="AA516" t="s">
        <v>1778</v>
      </c>
      <c r="AB516" t="s">
        <v>681</v>
      </c>
      <c r="AC516" t="s">
        <v>669</v>
      </c>
      <c r="AE516" t="s">
        <v>179</v>
      </c>
      <c r="AF516" t="s">
        <v>1809</v>
      </c>
      <c r="AG516" t="s">
        <v>1771</v>
      </c>
    </row>
    <row r="517" spans="1:33" ht="15" customHeight="1">
      <c r="A517" t="s">
        <v>1855</v>
      </c>
      <c r="D517" t="s">
        <v>1869</v>
      </c>
      <c r="E517" s="12" t="str">
        <f t="shared" si="98"/>
        <v>Heffner</v>
      </c>
      <c r="F517" s="13" t="str">
        <f t="array" ref="F517">_xlfn.LET(
 _xlpm.authors,_xlfn.TEXTBEFORE(A517," ("&amp;G517&amp;")"),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7" s="13" t="str">
        <f t="shared" si="99"/>
        <v>2014</v>
      </c>
      <c r="H517" s="12" t="str">
        <f t="shared" si="100"/>
        <v>Heffner_etal_2014</v>
      </c>
      <c r="I517" s="12" t="str">
        <f t="shared" si="101"/>
        <v>10.1121%2F1.4861344</v>
      </c>
      <c r="J517" s="12" t="str">
        <f t="shared" si="102"/>
        <v>Heffner_etal_2014_Figures10-11</v>
      </c>
      <c r="K517" s="13" t="str">
        <f t="shared" si="103"/>
        <v>10.1121%2F1.4861344_Figures10-11</v>
      </c>
      <c r="L517" s="13" t="str">
        <f t="array" ref="L517">IFERROR(INDEX(AUTO_Public_TSV_FileList!$A$1:$A$1000,MATCH(TRUE(),EXACT(K517,IFERROR(_xlfn.TEXTBEFORE(AUTO_Public_TSV_FileList!$A$1:$A$1000,".tsv"),"")),0)),"notfound")</f>
        <v>notfound</v>
      </c>
      <c r="M517" t="s">
        <v>1870</v>
      </c>
      <c r="N517" t="s">
        <v>630</v>
      </c>
      <c r="O517" t="s">
        <v>1757</v>
      </c>
      <c r="P517" t="s">
        <v>1726</v>
      </c>
      <c r="R517" s="10" t="s">
        <v>1857</v>
      </c>
      <c r="V517" t="s">
        <v>664</v>
      </c>
      <c r="W517" t="s">
        <v>1824</v>
      </c>
      <c r="X517" t="s">
        <v>1871</v>
      </c>
      <c r="Z517" t="s">
        <v>902</v>
      </c>
      <c r="AA517" t="s">
        <v>1778</v>
      </c>
      <c r="AB517" t="s">
        <v>1872</v>
      </c>
      <c r="AC517" t="s">
        <v>669</v>
      </c>
      <c r="AE517" t="s">
        <v>179</v>
      </c>
      <c r="AF517" t="s">
        <v>1809</v>
      </c>
      <c r="AG517" t="s">
        <v>1771</v>
      </c>
    </row>
    <row r="518" spans="1:33" ht="15" customHeight="1">
      <c r="A518" t="s">
        <v>1873</v>
      </c>
      <c r="B518" t="s">
        <v>283</v>
      </c>
      <c r="D518" t="s">
        <v>1750</v>
      </c>
      <c r="E518" s="12" t="str">
        <f t="shared" si="98"/>
        <v>Koay</v>
      </c>
      <c r="F518" s="13" t="str">
        <f t="array" ref="F518">_xlfn.LET(
 _xlpm.authors,_xlfn.TEXTBEFORE(A518," ("&amp;G518&amp;")"),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8" s="13" t="str">
        <f t="shared" si="99"/>
        <v>1998</v>
      </c>
      <c r="H518" s="12" t="str">
        <f t="shared" si="100"/>
        <v>Koay_etal_1998_b</v>
      </c>
      <c r="I518" s="12" t="str">
        <f t="shared" si="101"/>
        <v>10.1016%2Fs0378-5955(98)00037-9</v>
      </c>
      <c r="J518" s="12" t="str">
        <f t="shared" si="102"/>
        <v>Koay_etal_1998_b_Resultstext</v>
      </c>
      <c r="K518" s="13" t="str">
        <f t="shared" si="103"/>
        <v>10.1016%2Fs0378-5955(98)00037-9_Resultstext</v>
      </c>
      <c r="L518" s="13" t="str">
        <f t="array" ref="L518">IFERROR(INDEX(AUTO_Public_TSV_FileList!$A$1:$A$1000,MATCH(TRUE(),EXACT(K518,IFERROR(_xlfn.TEXTBEFORE(AUTO_Public_TSV_FileList!$A$1:$A$1000,".tsv"),"")),0)),"notfound")</f>
        <v>notfound</v>
      </c>
      <c r="M518" t="s">
        <v>1874</v>
      </c>
      <c r="N518" t="s">
        <v>364</v>
      </c>
      <c r="O518" t="s">
        <v>1875</v>
      </c>
      <c r="P518" t="s">
        <v>36</v>
      </c>
      <c r="R518" s="10" t="s">
        <v>1876</v>
      </c>
      <c r="T518" t="s">
        <v>1877</v>
      </c>
      <c r="V518" t="s">
        <v>677</v>
      </c>
      <c r="W518" t="s">
        <v>1878</v>
      </c>
      <c r="X518" t="s">
        <v>1879</v>
      </c>
      <c r="Z518" t="s">
        <v>879</v>
      </c>
      <c r="AA518" t="s">
        <v>1880</v>
      </c>
      <c r="AB518" t="s">
        <v>1881</v>
      </c>
      <c r="AC518" t="s">
        <v>669</v>
      </c>
      <c r="AE518" t="s">
        <v>66</v>
      </c>
      <c r="AG518" t="s">
        <v>1733</v>
      </c>
    </row>
    <row r="519" spans="1:33" ht="15" customHeight="1">
      <c r="A519" t="s">
        <v>1873</v>
      </c>
      <c r="B519" t="s">
        <v>283</v>
      </c>
      <c r="D519" t="s">
        <v>1882</v>
      </c>
      <c r="E519" s="12" t="str">
        <f t="shared" si="98"/>
        <v>Koay</v>
      </c>
      <c r="F519" s="13" t="str">
        <f t="array" ref="F519">_xlfn.LET(
 _xlpm.authors,_xlfn.TEXTBEFORE(A519," ("&amp;G519&amp;")"),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19" s="13" t="str">
        <f t="shared" si="99"/>
        <v>1998</v>
      </c>
      <c r="H519" s="12" t="str">
        <f t="shared" si="100"/>
        <v>Koay_etal_1998_b</v>
      </c>
      <c r="I519" s="12" t="str">
        <f t="shared" si="101"/>
        <v>10.1016%2Fs0378-5955(98)00037-9</v>
      </c>
      <c r="J519" s="12" t="str">
        <f t="shared" si="102"/>
        <v>Koay_etal_1998_b_Figure8</v>
      </c>
      <c r="K519" s="13" t="str">
        <f t="shared" si="103"/>
        <v>10.1016%2Fs0378-5955(98)00037-9_Figure8</v>
      </c>
      <c r="L519" s="13" t="str">
        <f t="array" ref="L519">IFERROR(INDEX(AUTO_Public_TSV_FileList!$A$1:$A$1000,MATCH(TRUE(),EXACT(K519,IFERROR(_xlfn.TEXTBEFORE(AUTO_Public_TSV_FileList!$A$1:$A$1000,".tsv"),"")),0)),"notfound")</f>
        <v>notfound</v>
      </c>
      <c r="M519" t="s">
        <v>1883</v>
      </c>
      <c r="N519" t="s">
        <v>630</v>
      </c>
      <c r="O519" t="s">
        <v>1884</v>
      </c>
      <c r="P519" t="s">
        <v>1726</v>
      </c>
      <c r="R519" s="10" t="s">
        <v>1876</v>
      </c>
      <c r="T519" t="s">
        <v>1877</v>
      </c>
      <c r="V519" t="s">
        <v>664</v>
      </c>
      <c r="W519" t="s">
        <v>1806</v>
      </c>
      <c r="X519" t="s">
        <v>1801</v>
      </c>
      <c r="Z519" t="s">
        <v>902</v>
      </c>
      <c r="AA519" t="s">
        <v>1778</v>
      </c>
      <c r="AB519" t="s">
        <v>681</v>
      </c>
      <c r="AC519" t="s">
        <v>669</v>
      </c>
      <c r="AE519" t="s">
        <v>179</v>
      </c>
      <c r="AF519" t="s">
        <v>1809</v>
      </c>
      <c r="AG519" t="s">
        <v>1771</v>
      </c>
    </row>
    <row r="520" spans="1:33" ht="15" customHeight="1">
      <c r="A520" t="s">
        <v>1873</v>
      </c>
      <c r="B520" t="s">
        <v>283</v>
      </c>
      <c r="D520" t="s">
        <v>1867</v>
      </c>
      <c r="E520" s="12" t="str">
        <f t="shared" si="98"/>
        <v>Koay</v>
      </c>
      <c r="F520" s="13" t="str">
        <f t="array" ref="F520">_xlfn.LET(
 _xlpm.authors,_xlfn.TEXTBEFORE(A520," ("&amp;G520&amp;")"),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0" s="13" t="str">
        <f t="shared" si="99"/>
        <v>1998</v>
      </c>
      <c r="H520" s="12" t="str">
        <f t="shared" si="100"/>
        <v>Koay_etal_1998_b</v>
      </c>
      <c r="I520" s="12" t="str">
        <f t="shared" si="101"/>
        <v>10.1016%2Fs0378-5955(98)00037-9</v>
      </c>
      <c r="J520" s="12" t="str">
        <f t="shared" si="102"/>
        <v>Koay_etal_1998_b_Figure9</v>
      </c>
      <c r="K520" s="13" t="str">
        <f t="shared" si="103"/>
        <v>10.1016%2Fs0378-5955(98)00037-9_Figure9</v>
      </c>
      <c r="L520" s="13" t="str">
        <f t="array" ref="L520">IFERROR(INDEX(AUTO_Public_TSV_FileList!$A$1:$A$1000,MATCH(TRUE(),EXACT(K520,IFERROR(_xlfn.TEXTBEFORE(AUTO_Public_TSV_FileList!$A$1:$A$1000,".tsv"),"")),0)),"notfound")</f>
        <v>notfound</v>
      </c>
      <c r="M520" t="s">
        <v>1885</v>
      </c>
      <c r="N520" t="s">
        <v>630</v>
      </c>
      <c r="O520" t="s">
        <v>1884</v>
      </c>
      <c r="P520" t="s">
        <v>1726</v>
      </c>
      <c r="R520" s="10" t="s">
        <v>1876</v>
      </c>
      <c r="T520" t="s">
        <v>1877</v>
      </c>
      <c r="V520" t="s">
        <v>677</v>
      </c>
      <c r="W520" t="s">
        <v>1824</v>
      </c>
      <c r="X520" t="s">
        <v>1886</v>
      </c>
      <c r="Z520" t="s">
        <v>902</v>
      </c>
      <c r="AA520" t="s">
        <v>1778</v>
      </c>
      <c r="AB520" t="s">
        <v>681</v>
      </c>
      <c r="AC520" t="s">
        <v>669</v>
      </c>
      <c r="AE520" t="s">
        <v>179</v>
      </c>
      <c r="AF520" t="s">
        <v>1809</v>
      </c>
      <c r="AG520" t="s">
        <v>1771</v>
      </c>
    </row>
    <row r="521" spans="1:33" ht="15" customHeight="1">
      <c r="A521" t="s">
        <v>1887</v>
      </c>
      <c r="D521" t="s">
        <v>330</v>
      </c>
      <c r="E521" s="12" t="str">
        <f t="shared" si="98"/>
        <v>Koay</v>
      </c>
      <c r="F521" s="13" t="str">
        <f t="array" ref="F521">_xlfn.LET(
 _xlpm.authors,_xlfn.TEXTBEFORE(A521," ("&amp;G521&amp;")"),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1" s="13" t="str">
        <f t="shared" si="99"/>
        <v>2002</v>
      </c>
      <c r="H521" s="12" t="str">
        <f t="shared" si="100"/>
        <v>Koay_etal_2002</v>
      </c>
      <c r="I521" s="12" t="str">
        <f t="shared" si="101"/>
        <v>10.1016%2Fs0378-5955(02)00458-6</v>
      </c>
      <c r="J521" s="12" t="str">
        <f t="shared" si="102"/>
        <v>Koay_etal_2002_Figure3</v>
      </c>
      <c r="K521" s="13" t="str">
        <f t="shared" si="103"/>
        <v>10.1016%2Fs0378-5955(02)00458-6_Figure3</v>
      </c>
      <c r="L521" s="13" t="str">
        <f t="array" ref="L521">IFERROR(INDEX(AUTO_Public_TSV_FileList!$A$1:$A$1000,MATCH(TRUE(),EXACT(K521,IFERROR(_xlfn.TEXTBEFORE(AUTO_Public_TSV_FileList!$A$1:$A$1000,".tsv"),"")),0)),"notfound")</f>
        <v>notfound</v>
      </c>
      <c r="M521" t="s">
        <v>1888</v>
      </c>
      <c r="N521" t="s">
        <v>630</v>
      </c>
      <c r="O521" t="s">
        <v>1757</v>
      </c>
      <c r="P521" t="s">
        <v>1726</v>
      </c>
      <c r="R521" s="10" t="s">
        <v>1889</v>
      </c>
      <c r="V521" t="s">
        <v>664</v>
      </c>
      <c r="W521" t="s">
        <v>1890</v>
      </c>
      <c r="X521" t="s">
        <v>1815</v>
      </c>
      <c r="Z521" t="s">
        <v>879</v>
      </c>
      <c r="AA521" t="s">
        <v>1760</v>
      </c>
      <c r="AB521" t="s">
        <v>1747</v>
      </c>
      <c r="AC521" t="s">
        <v>669</v>
      </c>
      <c r="AE521" t="s">
        <v>66</v>
      </c>
      <c r="AG521" t="s">
        <v>1761</v>
      </c>
    </row>
    <row r="522" spans="1:33" ht="15" customHeight="1">
      <c r="A522" t="s">
        <v>1887</v>
      </c>
      <c r="D522" t="s">
        <v>1750</v>
      </c>
      <c r="E522" s="12" t="str">
        <f t="shared" si="98"/>
        <v>Koay</v>
      </c>
      <c r="F522" s="13" t="str">
        <f t="array" ref="F522">_xlfn.LET(
 _xlpm.authors,_xlfn.TEXTBEFORE(A522," ("&amp;G522&amp;")"),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2" s="13" t="str">
        <f t="shared" si="99"/>
        <v>2002</v>
      </c>
      <c r="H522" s="12" t="str">
        <f t="shared" si="100"/>
        <v>Koay_etal_2002</v>
      </c>
      <c r="I522" s="12" t="str">
        <f t="shared" si="101"/>
        <v>10.1016%2Fs0378-5955(02)00458-6</v>
      </c>
      <c r="J522" s="12" t="str">
        <f t="shared" si="102"/>
        <v>Koay_etal_2002_Resultstext</v>
      </c>
      <c r="K522" s="13" t="str">
        <f t="shared" si="103"/>
        <v>10.1016%2Fs0378-5955(02)00458-6_Resultstext</v>
      </c>
      <c r="L522" s="13" t="str">
        <f t="array" ref="L522">IFERROR(INDEX(AUTO_Public_TSV_FileList!$A$1:$A$1000,MATCH(TRUE(),EXACT(K522,IFERROR(_xlfn.TEXTBEFORE(AUTO_Public_TSV_FileList!$A$1:$A$1000,".tsv"),"")),0)),"notfound")</f>
        <v>notfound</v>
      </c>
      <c r="M522" t="s">
        <v>1891</v>
      </c>
      <c r="N522" t="s">
        <v>364</v>
      </c>
      <c r="O522" t="s">
        <v>1892</v>
      </c>
      <c r="P522" t="s">
        <v>1862</v>
      </c>
      <c r="R522" s="10" t="s">
        <v>1889</v>
      </c>
      <c r="V522" t="s">
        <v>664</v>
      </c>
      <c r="W522" t="s">
        <v>1890</v>
      </c>
      <c r="X522" t="s">
        <v>1754</v>
      </c>
      <c r="Z522" t="s">
        <v>879</v>
      </c>
      <c r="AA522" t="s">
        <v>1760</v>
      </c>
      <c r="AB522" t="s">
        <v>736</v>
      </c>
      <c r="AC522" t="s">
        <v>669</v>
      </c>
      <c r="AE522" t="s">
        <v>66</v>
      </c>
      <c r="AG522" t="s">
        <v>1733</v>
      </c>
    </row>
    <row r="523" spans="1:33" ht="15" customHeight="1">
      <c r="A523" t="s">
        <v>1893</v>
      </c>
      <c r="D523" t="s">
        <v>1894</v>
      </c>
      <c r="E523" s="12" t="str">
        <f t="shared" si="98"/>
        <v>Wenstrup</v>
      </c>
      <c r="F523" s="13" t="str">
        <f t="array" ref="F523">_xlfn.LET(
 _xlpm.authors,_xlfn.TEXTBEFORE(A523," ("&amp;G523&amp;")"),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23" s="13" t="str">
        <f t="shared" si="99"/>
        <v>1984</v>
      </c>
      <c r="H523" s="12" t="str">
        <f t="shared" si="100"/>
        <v>Wenstrup__1984</v>
      </c>
      <c r="I523" s="12" t="str">
        <f t="shared" si="101"/>
        <v>10.1007%2FBf00610934</v>
      </c>
      <c r="J523" s="12" t="str">
        <f t="shared" si="102"/>
        <v>Wenstrup__1984_Figures3-5</v>
      </c>
      <c r="K523" s="13" t="str">
        <f t="shared" si="103"/>
        <v>10.1007%2FBf00610934_Figures3-5</v>
      </c>
      <c r="L523" s="13" t="str">
        <f t="array" ref="L523">IFERROR(INDEX(AUTO_Public_TSV_FileList!$A$1:$A$1000,MATCH(TRUE(),EXACT(K523,IFERROR(_xlfn.TEXTBEFORE(AUTO_Public_TSV_FileList!$A$1:$A$1000,".tsv"),"")),0)),"notfound")</f>
        <v>notfound</v>
      </c>
      <c r="M523" t="s">
        <v>1895</v>
      </c>
      <c r="N523" t="s">
        <v>630</v>
      </c>
      <c r="O523" t="s">
        <v>1896</v>
      </c>
      <c r="P523" t="s">
        <v>1862</v>
      </c>
      <c r="R523" s="10" t="s">
        <v>1897</v>
      </c>
      <c r="V523" t="s">
        <v>664</v>
      </c>
      <c r="W523" t="s">
        <v>1898</v>
      </c>
      <c r="X523" t="s">
        <v>1746</v>
      </c>
      <c r="Z523" t="s">
        <v>879</v>
      </c>
      <c r="AA523" t="s">
        <v>1899</v>
      </c>
      <c r="AB523" t="s">
        <v>1747</v>
      </c>
      <c r="AC523" t="s">
        <v>1900</v>
      </c>
      <c r="AE523" t="s">
        <v>66</v>
      </c>
      <c r="AG523" t="s">
        <v>1733</v>
      </c>
    </row>
    <row r="524" spans="1:33" ht="15" customHeight="1">
      <c r="A524" t="s">
        <v>1893</v>
      </c>
      <c r="D524" t="s">
        <v>1882</v>
      </c>
      <c r="E524" s="12" t="str">
        <f t="shared" si="98"/>
        <v>Wenstrup</v>
      </c>
      <c r="F524" s="13" t="str">
        <f t="array" ref="F524">_xlfn.LET(
 _xlpm.authors,_xlfn.TEXTBEFORE(A524," ("&amp;G524&amp;")"),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24" s="13" t="str">
        <f t="shared" si="99"/>
        <v>1984</v>
      </c>
      <c r="H524" s="12" t="str">
        <f t="shared" si="100"/>
        <v>Wenstrup__1984</v>
      </c>
      <c r="I524" s="12" t="str">
        <f t="shared" si="101"/>
        <v>10.1007%2FBf00610934</v>
      </c>
      <c r="J524" s="12" t="str">
        <f t="shared" si="102"/>
        <v>Wenstrup__1984_Figure8</v>
      </c>
      <c r="K524" s="13" t="str">
        <f t="shared" si="103"/>
        <v>10.1007%2FBf00610934_Figure8</v>
      </c>
      <c r="L524" s="13" t="str">
        <f t="array" ref="L524">IFERROR(INDEX(AUTO_Public_TSV_FileList!$A$1:$A$1000,MATCH(TRUE(),EXACT(K524,IFERROR(_xlfn.TEXTBEFORE(AUTO_Public_TSV_FileList!$A$1:$A$1000,".tsv"),"")),0)),"notfound")</f>
        <v>notfound</v>
      </c>
      <c r="M524" t="s">
        <v>1901</v>
      </c>
      <c r="N524" t="s">
        <v>630</v>
      </c>
      <c r="O524" t="s">
        <v>1902</v>
      </c>
      <c r="P524" t="s">
        <v>1726</v>
      </c>
      <c r="R524" s="10" t="s">
        <v>1897</v>
      </c>
      <c r="V524" t="s">
        <v>664</v>
      </c>
      <c r="W524" t="s">
        <v>1903</v>
      </c>
      <c r="X524" t="s">
        <v>1746</v>
      </c>
      <c r="Z524" t="s">
        <v>902</v>
      </c>
      <c r="AA524" t="s">
        <v>1778</v>
      </c>
      <c r="AB524" t="s">
        <v>1904</v>
      </c>
      <c r="AC524" t="s">
        <v>1900</v>
      </c>
      <c r="AE524" t="s">
        <v>179</v>
      </c>
      <c r="AF524" t="s">
        <v>1905</v>
      </c>
      <c r="AG524" t="s">
        <v>1771</v>
      </c>
    </row>
    <row r="525" spans="1:33" ht="15">
      <c r="A525" t="s">
        <v>1906</v>
      </c>
      <c r="D525" t="s">
        <v>81</v>
      </c>
      <c r="E525" s="12" t="str">
        <f t="shared" si="98"/>
        <v>Awbrey</v>
      </c>
      <c r="F525" s="13" t="str">
        <f t="array" ref="F525">_xlfn.LET(
 _xlpm.authors,_xlfn.TEXTBEFORE(A525," ("&amp;G525&amp;")"),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5" s="13" t="str">
        <f t="shared" si="99"/>
        <v>1988</v>
      </c>
      <c r="H525" s="12" t="str">
        <f t="shared" si="100"/>
        <v>Awbrey_etal_1988</v>
      </c>
      <c r="I525" s="12" t="str">
        <f t="shared" si="101"/>
        <v>10.1121%2F1.397022</v>
      </c>
      <c r="J525" s="12" t="str">
        <f t="shared" si="102"/>
        <v>Awbrey_etal_1988_Table1</v>
      </c>
      <c r="K525" s="13" t="str">
        <f t="shared" si="103"/>
        <v>10.1121%2F1.397022_Table1</v>
      </c>
      <c r="L525" s="13" t="str">
        <f t="array" ref="L525">IFERROR(INDEX(AUTO_Public_TSV_FileList!$A$1:$A$1000,MATCH(TRUE(),EXACT(K525,IFERROR(_xlfn.TEXTBEFORE(AUTO_Public_TSV_FileList!$A$1:$A$1000,".tsv"),"")),0)),"notfound")</f>
        <v>notfound</v>
      </c>
      <c r="M525" t="s">
        <v>1907</v>
      </c>
      <c r="N525" t="s">
        <v>660</v>
      </c>
      <c r="O525" t="s">
        <v>1908</v>
      </c>
      <c r="P525" t="s">
        <v>1862</v>
      </c>
    </row>
    <row r="526" spans="1:33" ht="15">
      <c r="A526" t="s">
        <v>1909</v>
      </c>
      <c r="D526" t="s">
        <v>362</v>
      </c>
      <c r="E526" s="12" t="str">
        <f t="shared" si="98"/>
        <v>Dalland</v>
      </c>
      <c r="F526" s="13" t="str">
        <f t="array" ref="F526">_xlfn.LET(
 _xlpm.authors,_xlfn.TEXTBEFORE(A526," ("&amp;G526&amp;")"),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26" s="13" t="str">
        <f t="shared" si="99"/>
        <v>1965</v>
      </c>
      <c r="H526" s="12" t="str">
        <f t="shared" si="100"/>
        <v>Dalland__1965</v>
      </c>
      <c r="I526" s="12" t="str">
        <f t="shared" si="101"/>
        <v>10.1126%2Fscience.150.3700.1185</v>
      </c>
      <c r="J526" s="12" t="str">
        <f t="shared" si="102"/>
        <v>Dalland__1965_ResultsText</v>
      </c>
      <c r="K526" s="13" t="str">
        <f t="shared" si="103"/>
        <v>10.1126%2Fscience.150.3700.1185_ResultsText</v>
      </c>
      <c r="L526" s="13" t="str">
        <f t="array" ref="L526">IFERROR(INDEX(AUTO_Public_TSV_FileList!$A$1:$A$1000,MATCH(TRUE(),EXACT(K526,IFERROR(_xlfn.TEXTBEFORE(AUTO_Public_TSV_FileList!$A$1:$A$1000,".tsv"),"")),0)),"notfound")</f>
        <v>notfound</v>
      </c>
      <c r="M526" t="s">
        <v>1910</v>
      </c>
      <c r="N526" t="s">
        <v>364</v>
      </c>
      <c r="O526" t="s">
        <v>1911</v>
      </c>
      <c r="P526" t="s">
        <v>1862</v>
      </c>
    </row>
    <row r="527" spans="1:33" ht="15">
      <c r="A527" t="s">
        <v>1912</v>
      </c>
      <c r="D527" t="s">
        <v>70</v>
      </c>
      <c r="E527" s="12" t="str">
        <f t="shared" si="98"/>
        <v>Flydal</v>
      </c>
      <c r="F527" s="13" t="str">
        <f t="array" ref="F527">_xlfn.LET(
 _xlpm.authors,_xlfn.TEXTBEFORE(A527," ("&amp;G527&amp;")"),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7" s="13" t="str">
        <f t="shared" si="99"/>
        <v>2001</v>
      </c>
      <c r="H527" s="12" t="str">
        <f t="shared" si="100"/>
        <v>Flydal_etal_2001</v>
      </c>
      <c r="I527" s="12" t="str">
        <f t="shared" si="101"/>
        <v>10.1007%2Fs003590100198</v>
      </c>
      <c r="J527" s="12" t="str">
        <f t="shared" si="102"/>
        <v>Flydal_etal_2001_Table2</v>
      </c>
      <c r="K527" s="13" t="str">
        <f t="shared" si="103"/>
        <v>10.1007%2Fs003590100198_Table2</v>
      </c>
      <c r="L527" s="13" t="str">
        <f t="array" ref="L527">IFERROR(INDEX(AUTO_Public_TSV_FileList!$A$1:$A$1000,MATCH(TRUE(),EXACT(K527,IFERROR(_xlfn.TEXTBEFORE(AUTO_Public_TSV_FileList!$A$1:$A$1000,".tsv"),"")),0)),"notfound")</f>
        <v>notfound</v>
      </c>
      <c r="M527" t="s">
        <v>1913</v>
      </c>
      <c r="N527" t="s">
        <v>660</v>
      </c>
      <c r="O527" t="s">
        <v>1911</v>
      </c>
      <c r="P527" t="s">
        <v>1862</v>
      </c>
    </row>
    <row r="528" spans="1:33" ht="15">
      <c r="A528" t="s">
        <v>1914</v>
      </c>
      <c r="C528" t="s">
        <v>1915</v>
      </c>
      <c r="D528" t="s">
        <v>362</v>
      </c>
      <c r="E528" s="12" t="str">
        <f t="shared" si="98"/>
        <v>Gillette</v>
      </c>
      <c r="F528" s="13" t="str">
        <f t="array" ref="F528">_xlfn.LET(
 _xlpm.authors,_xlfn.TEXTBEFORE(A528," ("&amp;G528&amp;")"),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8" s="13" t="str">
        <f t="shared" si="99"/>
        <v>1973</v>
      </c>
      <c r="H528" s="12" t="str">
        <f t="shared" si="100"/>
        <v>Gillette_etal_1973</v>
      </c>
      <c r="I528" s="12" t="str">
        <f t="shared" si="101"/>
        <v>PMID%3A4689764</v>
      </c>
      <c r="J528" s="12" t="str">
        <f t="shared" si="102"/>
        <v>Gillette_etal_1973_ResultsText</v>
      </c>
      <c r="K528" s="13" t="str">
        <f t="shared" si="103"/>
        <v>PMID%3A4689764_ResultsText</v>
      </c>
      <c r="L528" s="13" t="str">
        <f t="array" ref="L528">IFERROR(INDEX(AUTO_Public_TSV_FileList!$A$1:$A$1000,MATCH(TRUE(),EXACT(K528,IFERROR(_xlfn.TEXTBEFORE(AUTO_Public_TSV_FileList!$A$1:$A$1000,".tsv"),"")),0)),"notfound")</f>
        <v>notfound</v>
      </c>
      <c r="M528" t="s">
        <v>1916</v>
      </c>
      <c r="N528" t="s">
        <v>364</v>
      </c>
      <c r="O528" t="s">
        <v>1917</v>
      </c>
      <c r="P528" t="s">
        <v>1862</v>
      </c>
    </row>
    <row r="529" spans="1:31" ht="15">
      <c r="A529" t="s">
        <v>1918</v>
      </c>
      <c r="C529" t="s">
        <v>1919</v>
      </c>
      <c r="D529" t="s">
        <v>362</v>
      </c>
      <c r="E529" s="12" t="str">
        <f t="shared" si="98"/>
        <v>Heffner</v>
      </c>
      <c r="F529" s="13" t="str">
        <f t="array" ref="F529">_xlfn.LET(
 _xlpm.authors,_xlfn.TEXTBEFORE(A529," ("&amp;G529&amp;")"),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29" s="13" t="str">
        <f t="shared" si="99"/>
        <v>1969</v>
      </c>
      <c r="H529" s="12" t="str">
        <f t="shared" si="100"/>
        <v>Heffner_etal_1969</v>
      </c>
      <c r="I529" s="12" t="str">
        <f t="shared" si="101"/>
        <v>AN%3A1970-12222-001</v>
      </c>
      <c r="J529" s="12" t="str">
        <f t="shared" si="102"/>
        <v>Heffner_etal_1969_ResultsText</v>
      </c>
      <c r="K529" s="13" t="str">
        <f t="shared" si="103"/>
        <v>AN%3A1970-12222-001_ResultsText</v>
      </c>
      <c r="L529" s="13" t="str">
        <f t="array" ref="L529">IFERROR(INDEX(AUTO_Public_TSV_FileList!$A$1:$A$1000,MATCH(TRUE(),EXACT(K529,IFERROR(_xlfn.TEXTBEFORE(AUTO_Public_TSV_FileList!$A$1:$A$1000,".tsv"),"")),0)),"notfound")</f>
        <v>notfound</v>
      </c>
      <c r="M529" t="s">
        <v>1920</v>
      </c>
      <c r="N529" t="s">
        <v>364</v>
      </c>
      <c r="O529" t="s">
        <v>1921</v>
      </c>
      <c r="P529" t="s">
        <v>1862</v>
      </c>
    </row>
    <row r="530" spans="1:31" ht="15">
      <c r="A530" t="s">
        <v>1922</v>
      </c>
      <c r="D530" t="s">
        <v>362</v>
      </c>
      <c r="E530" s="12" t="str">
        <f t="shared" si="98"/>
        <v>Heffner</v>
      </c>
      <c r="F530" s="13" t="str">
        <f t="array" ref="F530">_xlfn.LET(
 _xlpm.authors,_xlfn.TEXTBEFORE(A530," ("&amp;G530&amp;")"),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0" s="13" t="str">
        <f t="shared" si="99"/>
        <v>2001</v>
      </c>
      <c r="H530" s="12" t="str">
        <f t="shared" si="100"/>
        <v>Heffner_etal_2001</v>
      </c>
      <c r="I530" s="12" t="str">
        <f t="shared" si="101"/>
        <v>10.1016%2FS0378-5955(01)00298-2</v>
      </c>
      <c r="J530" s="12" t="str">
        <f t="shared" si="102"/>
        <v>Heffner_etal_2001_ResultsText</v>
      </c>
      <c r="K530" s="13" t="str">
        <f t="shared" si="103"/>
        <v>10.1016%2FS0378-5955(01)00298-2_ResultsText</v>
      </c>
      <c r="L530" s="13" t="str">
        <f t="array" ref="L530">IFERROR(INDEX(AUTO_Public_TSV_FileList!$A$1:$A$1000,MATCH(TRUE(),EXACT(K530,IFERROR(_xlfn.TEXTBEFORE(AUTO_Public_TSV_FileList!$A$1:$A$1000,".tsv"),"")),0)),"notfound")</f>
        <v>notfound</v>
      </c>
      <c r="M530" t="s">
        <v>1923</v>
      </c>
      <c r="N530" t="s">
        <v>364</v>
      </c>
      <c r="O530" t="s">
        <v>1911</v>
      </c>
      <c r="P530" t="s">
        <v>1862</v>
      </c>
    </row>
    <row r="531" spans="1:31" ht="15">
      <c r="A531" t="s">
        <v>1924</v>
      </c>
      <c r="D531" t="s">
        <v>362</v>
      </c>
      <c r="E531" s="12" t="str">
        <f t="shared" si="98"/>
        <v>Heffner</v>
      </c>
      <c r="F531" s="13" t="str">
        <f t="array" ref="F531">_xlfn.LET(
 _xlpm.authors,_xlfn.TEXTBEFORE(A531," ("&amp;G531&amp;")"),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1" s="13" t="str">
        <f t="shared" si="99"/>
        <v>2006</v>
      </c>
      <c r="H531" s="12" t="str">
        <f t="shared" si="100"/>
        <v>Heffner_etal_2006</v>
      </c>
      <c r="I531" s="12" t="str">
        <f t="shared" si="101"/>
        <v>10.1016%2Fj.heares.2006.06.008</v>
      </c>
      <c r="J531" s="12" t="str">
        <f t="shared" si="102"/>
        <v>Heffner_etal_2006_ResultsText</v>
      </c>
      <c r="K531" s="13" t="str">
        <f t="shared" si="103"/>
        <v>10.1016%2Fj.heares.2006.06.008_ResultsText</v>
      </c>
      <c r="L531" s="13" t="str">
        <f t="array" ref="L531">IFERROR(INDEX(AUTO_Public_TSV_FileList!$A$1:$A$1000,MATCH(TRUE(),EXACT(K531,IFERROR(_xlfn.TEXTBEFORE(AUTO_Public_TSV_FileList!$A$1:$A$1000,".tsv"),"")),0)),"notfound")</f>
        <v>notfound</v>
      </c>
      <c r="M531" t="s">
        <v>1925</v>
      </c>
      <c r="N531" t="s">
        <v>364</v>
      </c>
      <c r="O531" t="s">
        <v>1926</v>
      </c>
      <c r="P531" t="s">
        <v>36</v>
      </c>
    </row>
    <row r="532" spans="1:31" ht="15">
      <c r="A532" t="s">
        <v>1927</v>
      </c>
      <c r="D532" t="s">
        <v>568</v>
      </c>
      <c r="E532" s="12" t="str">
        <f t="shared" si="98"/>
        <v>Heffner</v>
      </c>
      <c r="F532" s="13" t="str">
        <f t="array" ref="F532">_xlfn.LET(
 _xlpm.authors,_xlfn.TEXTBEFORE(A532," ("&amp;G532&amp;")"),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2" s="13" t="str">
        <f t="shared" si="99"/>
        <v>2010</v>
      </c>
      <c r="H532" s="12" t="str">
        <f t="shared" si="100"/>
        <v>Heffner_etal_2010</v>
      </c>
      <c r="I532" s="12" t="str">
        <f t="shared" si="101"/>
        <v>10.1121%2F1.3372717</v>
      </c>
      <c r="J532" s="12" t="str">
        <f t="shared" si="102"/>
        <v>Heffner_etal_2010_TableI</v>
      </c>
      <c r="K532" s="13" t="str">
        <f t="shared" si="103"/>
        <v>10.1121%2F1.3372717_TableI</v>
      </c>
      <c r="L532" s="13" t="str">
        <f t="array" ref="L532">IFERROR(INDEX(AUTO_Public_TSV_FileList!$A$1:$A$1000,MATCH(TRUE(),EXACT(K532,IFERROR(_xlfn.TEXTBEFORE(AUTO_Public_TSV_FileList!$A$1:$A$1000,".tsv"),"")),0)),"notfound")</f>
        <v>notfound</v>
      </c>
      <c r="M532" t="s">
        <v>1928</v>
      </c>
      <c r="N532" t="s">
        <v>35</v>
      </c>
      <c r="O532" t="s">
        <v>1929</v>
      </c>
      <c r="P532" t="s">
        <v>36</v>
      </c>
    </row>
    <row r="533" spans="1:31" ht="15">
      <c r="A533" t="s">
        <v>1930</v>
      </c>
      <c r="D533" t="s">
        <v>81</v>
      </c>
      <c r="E533" s="12" t="str">
        <f t="shared" si="98"/>
        <v>Heffner</v>
      </c>
      <c r="F533" s="13" t="str">
        <f t="array" ref="F533">_xlfn.LET(
 _xlpm.authors,_xlfn.TEXTBEFORE(A533," ("&amp;G533&amp;")"),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3" s="13" t="str">
        <f t="shared" si="99"/>
        <v>2016</v>
      </c>
      <c r="H533" s="12" t="str">
        <f t="shared" si="100"/>
        <v>Heffner_etal_2016</v>
      </c>
      <c r="I533" s="12" t="str">
        <f t="shared" si="101"/>
        <v>10.1007%2Fs00359-016-1125-9</v>
      </c>
      <c r="J533" s="12" t="str">
        <f t="shared" si="102"/>
        <v>Heffner_etal_2016_Table1</v>
      </c>
      <c r="K533" s="13" t="str">
        <f t="shared" si="103"/>
        <v>10.1007%2Fs00359-016-1125-9_Table1</v>
      </c>
      <c r="L533" s="13" t="str">
        <f t="array" ref="L533">IFERROR(INDEX(AUTO_Public_TSV_FileList!$A$1:$A$1000,MATCH(TRUE(),EXACT(K533,IFERROR(_xlfn.TEXTBEFORE(AUTO_Public_TSV_FileList!$A$1:$A$1000,".tsv"),"")),0)),"notfound")</f>
        <v>notfound</v>
      </c>
      <c r="M533" t="s">
        <v>1931</v>
      </c>
      <c r="N533" t="s">
        <v>35</v>
      </c>
      <c r="O533" t="s">
        <v>1932</v>
      </c>
      <c r="P533" t="s">
        <v>36</v>
      </c>
    </row>
    <row r="534" spans="1:31" ht="15">
      <c r="A534" t="s">
        <v>1933</v>
      </c>
      <c r="D534" t="s">
        <v>362</v>
      </c>
      <c r="E534" s="12" t="str">
        <f t="shared" si="98"/>
        <v>Heffner</v>
      </c>
      <c r="F534" s="13" t="str">
        <f t="array" ref="F534">_xlfn.LET(
 _xlpm.authors,_xlfn.TEXTBEFORE(A534," ("&amp;G534&amp;")"),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534" s="13" t="str">
        <f t="shared" si="99"/>
        <v>1982</v>
      </c>
      <c r="H534" s="12" t="str">
        <f t="shared" si="100"/>
        <v>Heffner_Heffner_1982</v>
      </c>
      <c r="I534" s="12" t="str">
        <f t="shared" si="101"/>
        <v>10.1037%2F0735-7036.96.6.926</v>
      </c>
      <c r="J534" s="12" t="str">
        <f t="shared" si="102"/>
        <v>Heffner_Heffner_1982_ResultsText</v>
      </c>
      <c r="K534" s="13" t="str">
        <f t="shared" si="103"/>
        <v>10.1037%2F0735-7036.96.6.926_ResultsText</v>
      </c>
      <c r="L534" s="13" t="str">
        <f t="array" ref="L534">IFERROR(INDEX(AUTO_Public_TSV_FileList!$A$1:$A$1000,MATCH(TRUE(),EXACT(K534,IFERROR(_xlfn.TEXTBEFORE(AUTO_Public_TSV_FileList!$A$1:$A$1000,".tsv"),"")),0)),"notfound")</f>
        <v>notfound</v>
      </c>
      <c r="M534" t="s">
        <v>1934</v>
      </c>
      <c r="N534" t="s">
        <v>364</v>
      </c>
      <c r="O534" t="s">
        <v>1935</v>
      </c>
      <c r="P534" t="s">
        <v>36</v>
      </c>
    </row>
    <row r="535" spans="1:31" ht="15">
      <c r="A535" t="s">
        <v>1936</v>
      </c>
      <c r="D535" t="s">
        <v>1750</v>
      </c>
      <c r="E535" s="12" t="str">
        <f t="shared" si="98"/>
        <v>Heffner</v>
      </c>
      <c r="F535" s="13" t="str">
        <f t="array" ref="F535">_xlfn.LET(
 _xlpm.authors,_xlfn.TEXTBEFORE(A535," ("&amp;G535&amp;")"),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Heffner</v>
      </c>
      <c r="G535" s="13" t="str">
        <f t="shared" si="99"/>
        <v>2008</v>
      </c>
      <c r="H535" s="12" t="str">
        <f t="shared" si="100"/>
        <v>Heffner_Heffner_2008</v>
      </c>
      <c r="I535" s="12" t="str">
        <f t="shared" si="101"/>
        <v>10.1016%2FB978-012370880-9.00004-9</v>
      </c>
      <c r="J535" s="12" t="str">
        <f t="shared" si="102"/>
        <v>Heffner_Heffner_2008_Resultstext</v>
      </c>
      <c r="K535" s="13" t="str">
        <f t="shared" si="103"/>
        <v>10.1016%2FB978-012370880-9.00004-9_Resultstext</v>
      </c>
      <c r="L535" s="13" t="str">
        <f t="array" ref="L535">IFERROR(INDEX(AUTO_Public_TSV_FileList!$A$1:$A$1000,MATCH(TRUE(),EXACT(K535,IFERROR(_xlfn.TEXTBEFORE(AUTO_Public_TSV_FileList!$A$1:$A$1000,".tsv"),"")),0)),"notfound")</f>
        <v>notfound</v>
      </c>
      <c r="M535" t="s">
        <v>1937</v>
      </c>
      <c r="N535" t="s">
        <v>1938</v>
      </c>
      <c r="O535" t="s">
        <v>1939</v>
      </c>
      <c r="P535" t="s">
        <v>36</v>
      </c>
    </row>
    <row r="536" spans="1:31" ht="15">
      <c r="A536" t="s">
        <v>1940</v>
      </c>
      <c r="D536" t="s">
        <v>1750</v>
      </c>
      <c r="E536" s="12" t="str">
        <f t="shared" si="98"/>
        <v>Heffner</v>
      </c>
      <c r="F536" s="13" t="str">
        <f t="array" ref="F536">_xlfn.LET(
 _xlpm.authors,_xlfn.TEXTBEFORE(A536," ("&amp;G536&amp;")"),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6" s="13" t="str">
        <f t="shared" si="99"/>
        <v>2010</v>
      </c>
      <c r="H536" s="12" t="str">
        <f t="shared" si="100"/>
        <v>Heffner_etal_2010</v>
      </c>
      <c r="I536" s="12" t="str">
        <f t="shared" si="101"/>
        <v>10.1121%2F1.3284546</v>
      </c>
      <c r="J536" s="12" t="str">
        <f t="shared" si="102"/>
        <v>Heffner_etal_2010_Resultstext</v>
      </c>
      <c r="K536" s="13" t="str">
        <f t="shared" si="103"/>
        <v>10.1121%2F1.3284546_Resultstext</v>
      </c>
      <c r="L536" s="13" t="str">
        <f t="array" ref="L536">IFERROR(INDEX(AUTO_Public_TSV_FileList!$A$1:$A$1000,MATCH(TRUE(),EXACT(K536,IFERROR(_xlfn.TEXTBEFORE(AUTO_Public_TSV_FileList!$A$1:$A$1000,".tsv"),"")),0)),"notfound")</f>
        <v>notfound</v>
      </c>
      <c r="M536" t="s">
        <v>1941</v>
      </c>
      <c r="N536" t="s">
        <v>364</v>
      </c>
      <c r="O536" t="s">
        <v>1942</v>
      </c>
      <c r="P536" t="s">
        <v>36</v>
      </c>
    </row>
    <row r="537" spans="1:31" ht="15.95" customHeight="1">
      <c r="A537" s="14" t="s">
        <v>1943</v>
      </c>
      <c r="D537" s="14" t="s">
        <v>362</v>
      </c>
      <c r="E537" s="12" t="str">
        <f t="shared" si="98"/>
        <v>Jackson</v>
      </c>
      <c r="F537" s="13" t="str">
        <f t="array" ref="F537">_xlfn.LET(
 _xlpm.authors,_xlfn.TEXTBEFORE(A537," ("&amp;G537&amp;")"),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37" s="13" t="str">
        <f t="shared" si="99"/>
        <v>1997</v>
      </c>
      <c r="H537" s="12" t="str">
        <f t="shared" si="100"/>
        <v>Jackson_etal_1997</v>
      </c>
      <c r="I537" s="12" t="str">
        <f t="shared" si="101"/>
        <v>10.1037%2F0735-7036.111.1.100</v>
      </c>
      <c r="J537" s="12" t="str">
        <f t="shared" si="102"/>
        <v>Jackson_etal_1997_ResultsText</v>
      </c>
      <c r="K537" s="13" t="str">
        <f t="shared" si="103"/>
        <v>10.1037%2F0735-7036.111.1.100_ResultsText</v>
      </c>
      <c r="L537" s="13" t="str">
        <f t="array" ref="L537">IFERROR(INDEX(AUTO_Public_TSV_FileList!$A$1:$A$1000,MATCH(TRUE(),EXACT(K537,IFERROR(_xlfn.TEXTBEFORE(AUTO_Public_TSV_FileList!$A$1:$A$1000,".tsv"),"")),0)),"notfound")</f>
        <v>notfound</v>
      </c>
      <c r="M537" t="s">
        <v>1944</v>
      </c>
      <c r="N537" s="17" t="s">
        <v>364</v>
      </c>
      <c r="O537" s="17" t="s">
        <v>1945</v>
      </c>
      <c r="P537" s="17" t="s">
        <v>1862</v>
      </c>
      <c r="Q537" s="17" t="s">
        <v>1222</v>
      </c>
      <c r="W537" s="17" t="s">
        <v>644</v>
      </c>
      <c r="AA537" s="17" t="s">
        <v>1224</v>
      </c>
      <c r="AB537" s="17" t="s">
        <v>90</v>
      </c>
      <c r="AC537" s="17" t="s">
        <v>1219</v>
      </c>
      <c r="AE537" s="17" t="s">
        <v>66</v>
      </c>
    </row>
    <row r="538" spans="1:31" ht="15">
      <c r="A538" t="s">
        <v>1946</v>
      </c>
      <c r="D538" t="s">
        <v>1947</v>
      </c>
      <c r="E538" s="12" t="str">
        <f t="shared" si="98"/>
        <v>Kastak</v>
      </c>
      <c r="F538" s="13" t="str">
        <f t="array" ref="F538">_xlfn.LET(
 _xlpm.authors,_xlfn.TEXTBEFORE(A538," ("&amp;G538&amp;")"),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Schusterman</v>
      </c>
      <c r="G538" s="13" t="str">
        <f t="shared" si="99"/>
        <v>1998</v>
      </c>
      <c r="H538" s="12" t="str">
        <f t="shared" si="100"/>
        <v>Kastak_Schusterman_1998</v>
      </c>
      <c r="I538" s="12" t="str">
        <f t="shared" si="101"/>
        <v>10.1121%2F1.421367</v>
      </c>
      <c r="J538" s="12" t="str">
        <f t="shared" si="102"/>
        <v>Kastak_Schusterman_1998_TablesI-II</v>
      </c>
      <c r="K538" s="13" t="str">
        <f t="shared" si="103"/>
        <v>10.1121%2F1.421367_TablesI-II</v>
      </c>
      <c r="L538" s="13" t="str">
        <f t="array" ref="L538">IFERROR(INDEX(AUTO_Public_TSV_FileList!$A$1:$A$1000,MATCH(TRUE(),EXACT(K538,IFERROR(_xlfn.TEXTBEFORE(AUTO_Public_TSV_FileList!$A$1:$A$1000,".tsv"),"")),0)),"notfound")</f>
        <v>notfound</v>
      </c>
      <c r="M538" t="s">
        <v>1948</v>
      </c>
      <c r="N538" t="s">
        <v>660</v>
      </c>
      <c r="O538" t="s">
        <v>1945</v>
      </c>
      <c r="P538" t="s">
        <v>1862</v>
      </c>
    </row>
    <row r="539" spans="1:31" ht="15">
      <c r="A539" t="s">
        <v>1949</v>
      </c>
      <c r="D539" t="s">
        <v>362</v>
      </c>
      <c r="E539" s="12" t="str">
        <f t="shared" si="98"/>
        <v>Kastak</v>
      </c>
      <c r="F539" s="13" t="str">
        <f t="array" ref="F539">_xlfn.LET(
 _xlpm.authors,_xlfn.TEXTBEFORE(A539," ("&amp;G539&amp;")"),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Schusterman</v>
      </c>
      <c r="G539" s="13" t="str">
        <f t="shared" si="99"/>
        <v>1999</v>
      </c>
      <c r="H539" s="12" t="str">
        <f t="shared" si="100"/>
        <v>Kastak_Schusterman_1999</v>
      </c>
      <c r="I539" s="12" t="str">
        <f t="shared" si="101"/>
        <v>10.1139%2Fz99-151</v>
      </c>
      <c r="J539" s="12" t="str">
        <f t="shared" si="102"/>
        <v>Kastak_Schusterman_1999_ResultsText</v>
      </c>
      <c r="K539" s="13" t="str">
        <f t="shared" si="103"/>
        <v>10.1139%2Fz99-151_ResultsText</v>
      </c>
      <c r="L539" s="13" t="str">
        <f t="array" ref="L539">IFERROR(INDEX(AUTO_Public_TSV_FileList!$A$1:$A$1000,MATCH(TRUE(),EXACT(K539,IFERROR(_xlfn.TEXTBEFORE(AUTO_Public_TSV_FileList!$A$1:$A$1000,".tsv"),"")),0)),"notfound")</f>
        <v>notfound</v>
      </c>
      <c r="M539" t="s">
        <v>1950</v>
      </c>
      <c r="N539" t="s">
        <v>364</v>
      </c>
      <c r="O539" t="s">
        <v>1945</v>
      </c>
      <c r="P539" t="s">
        <v>1862</v>
      </c>
    </row>
    <row r="540" spans="1:31" ht="15">
      <c r="A540" t="s">
        <v>1951</v>
      </c>
      <c r="B540" t="s">
        <v>283</v>
      </c>
      <c r="D540" t="s">
        <v>568</v>
      </c>
      <c r="E540" s="12" t="str">
        <f t="shared" si="98"/>
        <v>Kastelein</v>
      </c>
      <c r="F540" s="13" t="str">
        <f t="array" ref="F540">_xlfn.LET(
 _xlpm.authors,_xlfn.TEXTBEFORE(A540," ("&amp;G540&amp;")"),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0" s="13" t="str">
        <f t="shared" si="99"/>
        <v>2010</v>
      </c>
      <c r="H540" s="12" t="str">
        <f t="shared" si="100"/>
        <v>Kastelein_etal_2010_b</v>
      </c>
      <c r="I540" s="12" t="str">
        <f t="shared" si="101"/>
        <v>10.1121%2F1.3493435</v>
      </c>
      <c r="J540" s="12" t="str">
        <f t="shared" si="102"/>
        <v>Kastelein_etal_2010_b_TableI</v>
      </c>
      <c r="K540" s="13" t="str">
        <f t="shared" si="103"/>
        <v>10.1121%2F1.3493435_TableI</v>
      </c>
      <c r="L540" s="13" t="str">
        <f t="array" ref="L540">IFERROR(INDEX(AUTO_Public_TSV_FileList!$A$1:$A$1000,MATCH(TRUE(),EXACT(K540,IFERROR(_xlfn.TEXTBEFORE(AUTO_Public_TSV_FileList!$A$1:$A$1000,".tsv"),"")),0)),"notfound")</f>
        <v>notfound</v>
      </c>
      <c r="M540" t="s">
        <v>1952</v>
      </c>
      <c r="N540" t="s">
        <v>660</v>
      </c>
      <c r="O540" t="s">
        <v>1945</v>
      </c>
      <c r="P540" t="s">
        <v>1862</v>
      </c>
    </row>
    <row r="541" spans="1:31" ht="15">
      <c r="A541" t="s">
        <v>1953</v>
      </c>
      <c r="D541" t="s">
        <v>362</v>
      </c>
      <c r="E541" s="12" t="str">
        <f t="shared" si="98"/>
        <v>Kelly</v>
      </c>
      <c r="F541" s="13" t="str">
        <f t="array" ref="F541">_xlfn.LET(
 _xlpm.authors,_xlfn.TEXTBEFORE(A541," ("&amp;G541&amp;")"),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1" s="13" t="str">
        <f t="shared" si="99"/>
        <v>1986</v>
      </c>
      <c r="H541" s="12" t="str">
        <f t="shared" si="100"/>
        <v>Kelly_etal_1986</v>
      </c>
      <c r="I541" s="12" t="str">
        <f t="shared" si="101"/>
        <v>10.1016%2F0378-5955(86)90025-0</v>
      </c>
      <c r="J541" s="12" t="str">
        <f t="shared" si="102"/>
        <v>Kelly_etal_1986_ResultsText</v>
      </c>
      <c r="K541" s="13" t="str">
        <f t="shared" si="103"/>
        <v>10.1016%2F0378-5955(86)90025-0_ResultsText</v>
      </c>
      <c r="L541" s="13" t="str">
        <f t="array" ref="L541">IFERROR(INDEX(AUTO_Public_TSV_FileList!$A$1:$A$1000,MATCH(TRUE(),EXACT(K541,IFERROR(_xlfn.TEXTBEFORE(AUTO_Public_TSV_FileList!$A$1:$A$1000,".tsv"),"")),0)),"notfound")</f>
        <v>notfound</v>
      </c>
      <c r="M541" t="s">
        <v>1954</v>
      </c>
      <c r="N541" t="s">
        <v>364</v>
      </c>
      <c r="O541" t="s">
        <v>1945</v>
      </c>
      <c r="P541" t="s">
        <v>1862</v>
      </c>
    </row>
    <row r="542" spans="1:31" ht="15">
      <c r="A542" t="s">
        <v>1955</v>
      </c>
      <c r="D542" t="s">
        <v>362</v>
      </c>
      <c r="E542" s="12" t="str">
        <f t="shared" si="98"/>
        <v>Koay</v>
      </c>
      <c r="F542" s="13" t="str">
        <f t="array" ref="F542">_xlfn.LET(
 _xlpm.authors,_xlfn.TEXTBEFORE(A542," ("&amp;G542&amp;")"),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2" s="13" t="str">
        <f t="shared" si="99"/>
        <v>2003</v>
      </c>
      <c r="H542" s="12" t="str">
        <f t="shared" si="100"/>
        <v>Koay_etal_2003</v>
      </c>
      <c r="I542" s="12" t="str">
        <f t="shared" si="101"/>
        <v>10.1016%2FS0378-5955(03)00025-X</v>
      </c>
      <c r="J542" s="12" t="str">
        <f t="shared" si="102"/>
        <v>Koay_etal_2003_ResultsText</v>
      </c>
      <c r="K542" s="13" t="str">
        <f t="shared" si="103"/>
        <v>10.1016%2FS0378-5955(03)00025-X_ResultsText</v>
      </c>
      <c r="L542" s="13" t="str">
        <f t="array" ref="L542">IFERROR(INDEX(AUTO_Public_TSV_FileList!$A$1:$A$1000,MATCH(TRUE(),EXACT(K542,IFERROR(_xlfn.TEXTBEFORE(AUTO_Public_TSV_FileList!$A$1:$A$1000,".tsv"),"")),0)),"notfound")</f>
        <v>notfound</v>
      </c>
      <c r="M542" t="s">
        <v>1956</v>
      </c>
      <c r="N542" t="s">
        <v>364</v>
      </c>
      <c r="O542" t="s">
        <v>1945</v>
      </c>
      <c r="P542" t="s">
        <v>1862</v>
      </c>
    </row>
    <row r="543" spans="1:31" ht="15">
      <c r="A543" t="s">
        <v>1957</v>
      </c>
      <c r="C543" t="s">
        <v>1958</v>
      </c>
      <c r="D543" t="s">
        <v>1603</v>
      </c>
      <c r="E543" s="12" t="str">
        <f t="shared" si="98"/>
        <v>Møhl</v>
      </c>
      <c r="F543" s="13" t="str">
        <f t="array" ref="F543">_xlfn.LET(
 _xlpm.authors,_xlfn.TEXTBEFORE(A543," ("&amp;G543&amp;")"),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43" s="13" t="str">
        <f t="shared" si="99"/>
        <v>1968</v>
      </c>
      <c r="H543" s="12" t="str">
        <f t="shared" si="100"/>
        <v>Møhl__1968</v>
      </c>
      <c r="I543" s="12" t="str">
        <f t="shared" si="101"/>
        <v>AN%3A1969-15508-001</v>
      </c>
      <c r="J543" s="12" t="str">
        <f t="shared" si="102"/>
        <v>Møhl__1968_TableII</v>
      </c>
      <c r="K543" s="13" t="str">
        <f t="shared" si="103"/>
        <v>AN%3A1969-15508-001_TableII</v>
      </c>
      <c r="L543" s="13" t="str">
        <f t="array" ref="L543">IFERROR(INDEX(AUTO_Public_TSV_FileList!$A$1:$A$1000,MATCH(TRUE(),EXACT(K543,IFERROR(_xlfn.TEXTBEFORE(AUTO_Public_TSV_FileList!$A$1:$A$1000,".tsv"),"")),0)),"notfound")</f>
        <v>notfound</v>
      </c>
      <c r="M543" t="s">
        <v>1959</v>
      </c>
      <c r="N543" t="s">
        <v>660</v>
      </c>
      <c r="O543" t="s">
        <v>1960</v>
      </c>
      <c r="P543" t="s">
        <v>36</v>
      </c>
    </row>
    <row r="544" spans="1:31" ht="15">
      <c r="A544" t="s">
        <v>1961</v>
      </c>
      <c r="D544" t="s">
        <v>1962</v>
      </c>
      <c r="E544" s="12" t="str">
        <f t="shared" si="98"/>
        <v>Owren</v>
      </c>
      <c r="F544" s="13" t="str">
        <f t="array" ref="F544">_xlfn.LET(
 _xlpm.authors,_xlfn.TEXTBEFORE(A544," ("&amp;G544&amp;")"),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4" s="13" t="str">
        <f t="shared" si="99"/>
        <v>1988</v>
      </c>
      <c r="H544" s="12" t="str">
        <f t="shared" si="100"/>
        <v>Owren_etal_1988</v>
      </c>
      <c r="I544" s="12" t="str">
        <f t="shared" si="101"/>
        <v>10.1037%2F0735-7036.102.2.99</v>
      </c>
      <c r="J544" s="12" t="str">
        <f t="shared" si="102"/>
        <v>Owren_etal_1988_Table1+Table3</v>
      </c>
      <c r="K544" s="13" t="str">
        <f t="shared" si="103"/>
        <v>10.1037%2F0735-7036.102.2.99_Table1+Table3</v>
      </c>
      <c r="L544" s="13" t="str">
        <f t="array" ref="L544">IFERROR(INDEX(AUTO_Public_TSV_FileList!$A$1:$A$1000,MATCH(TRUE(),EXACT(K544,IFERROR(_xlfn.TEXTBEFORE(AUTO_Public_TSV_FileList!$A$1:$A$1000,".tsv"),"")),0)),"notfound")</f>
        <v>notfound</v>
      </c>
      <c r="M544" t="s">
        <v>1963</v>
      </c>
      <c r="N544" t="s">
        <v>660</v>
      </c>
      <c r="O544" t="s">
        <v>1964</v>
      </c>
      <c r="P544" t="s">
        <v>36</v>
      </c>
    </row>
    <row r="545" spans="1:16" ht="15">
      <c r="A545" t="s">
        <v>1965</v>
      </c>
      <c r="C545" t="s">
        <v>1966</v>
      </c>
      <c r="D545" t="s">
        <v>362</v>
      </c>
      <c r="E545" s="12" t="str">
        <f t="shared" si="98"/>
        <v>Ravizza</v>
      </c>
      <c r="F545" s="13" t="str">
        <f t="array" ref="F545">_xlfn.LET(
 _xlpm.authors,_xlfn.TEXTBEFORE(A545," ("&amp;G545&amp;")"),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45" s="13" t="str">
        <f t="shared" si="99"/>
        <v>1969</v>
      </c>
      <c r="H545" s="12" t="str">
        <f t="shared" si="100"/>
        <v>Ravizza_etal_1969</v>
      </c>
      <c r="I545" s="12" t="str">
        <f t="shared" si="101"/>
        <v>AN%3A1970-12227-001</v>
      </c>
      <c r="J545" s="12" t="str">
        <f t="shared" si="102"/>
        <v>Ravizza_etal_1969_ResultsText</v>
      </c>
      <c r="K545" s="13" t="str">
        <f t="shared" si="103"/>
        <v>AN%3A1970-12227-001_ResultsText</v>
      </c>
      <c r="L545" s="13" t="str">
        <f t="array" ref="L545">IFERROR(INDEX(AUTO_Public_TSV_FileList!$A$1:$A$1000,MATCH(TRUE(),EXACT(K545,IFERROR(_xlfn.TEXTBEFORE(AUTO_Public_TSV_FileList!$A$1:$A$1000,".tsv"),"")),0)),"notfound")</f>
        <v>notfound</v>
      </c>
      <c r="M545" t="s">
        <v>1967</v>
      </c>
      <c r="N545" t="s">
        <v>364</v>
      </c>
      <c r="O545" t="s">
        <v>1968</v>
      </c>
      <c r="P545" t="s">
        <v>36</v>
      </c>
    </row>
    <row r="546" spans="1:16" ht="15">
      <c r="A546" t="s">
        <v>1969</v>
      </c>
      <c r="D546" t="s">
        <v>362</v>
      </c>
      <c r="E546" s="12" t="str">
        <f t="shared" si="98"/>
        <v>Ravizza</v>
      </c>
      <c r="F546" s="13" t="str">
        <f t="array" ref="F546">_xlfn.LET(
 _xlpm.authors,_xlfn.TEXTBEFORE(A546," ("&amp;G546&amp;")"),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Masterton</v>
      </c>
      <c r="G546" s="13" t="str">
        <f t="shared" si="99"/>
        <v>1972</v>
      </c>
      <c r="H546" s="12" t="str">
        <f t="shared" si="100"/>
        <v>Ravizza_Masterton_1972</v>
      </c>
      <c r="I546" s="12" t="str">
        <f t="shared" si="101"/>
        <v>10.1152%2Fjn.1972.35.3.344</v>
      </c>
      <c r="J546" s="12" t="str">
        <f t="shared" si="102"/>
        <v>Ravizza_Masterton_1972_ResultsText</v>
      </c>
      <c r="K546" s="13" t="str">
        <f t="shared" si="103"/>
        <v>10.1152%2Fjn.1972.35.3.344_ResultsText</v>
      </c>
      <c r="L546" s="13" t="str">
        <f t="array" ref="L546">IFERROR(INDEX(AUTO_Public_TSV_FileList!$A$1:$A$1000,MATCH(TRUE(),EXACT(K546,IFERROR(_xlfn.TEXTBEFORE(AUTO_Public_TSV_FileList!$A$1:$A$1000,".tsv"),"")),0)),"notfound")</f>
        <v>notfound</v>
      </c>
      <c r="M546" t="s">
        <v>1970</v>
      </c>
      <c r="N546" t="s">
        <v>364</v>
      </c>
      <c r="O546" t="s">
        <v>1971</v>
      </c>
      <c r="P546" t="s">
        <v>36</v>
      </c>
    </row>
    <row r="547" spans="1:16" ht="15">
      <c r="A547" t="s">
        <v>1972</v>
      </c>
      <c r="D547" t="s">
        <v>568</v>
      </c>
      <c r="E547" s="12" t="str">
        <f t="shared" si="98"/>
        <v>Schusterman</v>
      </c>
      <c r="F547" s="13" t="str">
        <f t="array" ref="F547">_xlfn.LET(
 _xlpm.authors,_xlfn.TEXTBEFORE(A547," ("&amp;G547&amp;")"),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47" s="13" t="str">
        <f t="shared" si="99"/>
        <v>1974</v>
      </c>
      <c r="H547" s="12" t="str">
        <f t="shared" si="100"/>
        <v>Schusterman__1974</v>
      </c>
      <c r="I547" s="12" t="str">
        <f t="shared" si="101"/>
        <v>10.1121%2F1.1903415</v>
      </c>
      <c r="J547" s="12" t="str">
        <f t="shared" si="102"/>
        <v>Schusterman__1974_TableI</v>
      </c>
      <c r="K547" s="13" t="str">
        <f t="shared" si="103"/>
        <v>10.1121%2F1.1903415_TableI</v>
      </c>
      <c r="L547" s="13" t="str">
        <f t="array" ref="L547">IFERROR(INDEX(AUTO_Public_TSV_FileList!$A$1:$A$1000,MATCH(TRUE(),EXACT(K547,IFERROR(_xlfn.TEXTBEFORE(AUTO_Public_TSV_FileList!$A$1:$A$1000,".tsv"),"")),0)),"notfound")</f>
        <v>notfound</v>
      </c>
      <c r="M547" t="s">
        <v>1973</v>
      </c>
      <c r="N547" t="s">
        <v>660</v>
      </c>
      <c r="O547" t="s">
        <v>1964</v>
      </c>
      <c r="P547" t="s">
        <v>36</v>
      </c>
    </row>
    <row r="548" spans="1:16" ht="15">
      <c r="A548" t="s">
        <v>1974</v>
      </c>
      <c r="D548" t="s">
        <v>81</v>
      </c>
      <c r="E548" s="12" t="str">
        <f t="shared" si="98"/>
        <v>Schusterman</v>
      </c>
      <c r="F548" s="13" t="str">
        <f t="array" ref="F548">_xlfn.LET(
 _xlpm.authors,_xlfn.TEXTBEFORE(A548," ("&amp;G548&amp;")"),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
      </c>
      <c r="G548" s="13" t="str">
        <f t="shared" si="99"/>
        <v>1981</v>
      </c>
      <c r="H548" s="12" t="str">
        <f t="shared" si="100"/>
        <v>Schusterman__1981</v>
      </c>
      <c r="I548" s="12" t="str">
        <f t="shared" si="101"/>
        <v>10.1007%2FBF03394729</v>
      </c>
      <c r="J548" s="12" t="str">
        <f t="shared" si="102"/>
        <v>Schusterman__1981_Table1</v>
      </c>
      <c r="K548" s="13" t="str">
        <f t="shared" si="103"/>
        <v>10.1007%2FBF03394729_Table1</v>
      </c>
      <c r="L548" s="13" t="str">
        <f t="array" ref="L548">IFERROR(INDEX(AUTO_Public_TSV_FileList!$A$1:$A$1000,MATCH(TRUE(),EXACT(K548,IFERROR(_xlfn.TEXTBEFORE(AUTO_Public_TSV_FileList!$A$1:$A$1000,".tsv"),"")),0)),"notfound")</f>
        <v>notfound</v>
      </c>
      <c r="M548" t="s">
        <v>1975</v>
      </c>
      <c r="N548" t="s">
        <v>660</v>
      </c>
      <c r="O548" t="s">
        <v>1976</v>
      </c>
      <c r="P548" t="s">
        <v>36</v>
      </c>
    </row>
    <row r="549" spans="1:16" ht="15">
      <c r="A549" t="s">
        <v>1977</v>
      </c>
      <c r="D549" t="s">
        <v>362</v>
      </c>
      <c r="E549" s="12" t="str">
        <f t="shared" si="98"/>
        <v>Schusterman</v>
      </c>
      <c r="F549" s="13" t="str">
        <f t="array" ref="F549">_xlfn.LET(
 _xlpm.authors,_xlfn.TEXTBEFORE(A549," ("&amp;G549&amp;")"),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Moore</v>
      </c>
      <c r="G549" s="13" t="str">
        <f t="shared" si="99"/>
        <v>1980</v>
      </c>
      <c r="H549" s="12" t="str">
        <f t="shared" si="100"/>
        <v>Schusterman_Moore_1980</v>
      </c>
      <c r="I549" s="12" t="str">
        <f t="shared" si="101"/>
        <v>10.1121%2F1.2004876</v>
      </c>
      <c r="J549" s="12" t="str">
        <f t="shared" si="102"/>
        <v>Schusterman_Moore_1980_ResultsText</v>
      </c>
      <c r="K549" s="13" t="str">
        <f t="shared" si="103"/>
        <v>10.1121%2F1.2004876_ResultsText</v>
      </c>
      <c r="L549" s="13" t="str">
        <f t="array" ref="L549">IFERROR(INDEX(AUTO_Public_TSV_FileList!$A$1:$A$1000,MATCH(TRUE(),EXACT(K549,IFERROR(_xlfn.TEXTBEFORE(AUTO_Public_TSV_FileList!$A$1:$A$1000,".tsv"),"")),0)),"notfound")</f>
        <v>notfound</v>
      </c>
      <c r="M549" t="s">
        <v>1978</v>
      </c>
      <c r="N549" t="s">
        <v>364</v>
      </c>
      <c r="O549" t="s">
        <v>1979</v>
      </c>
      <c r="P549" t="s">
        <v>1862</v>
      </c>
    </row>
    <row r="550" spans="1:16" ht="15">
      <c r="A550" t="s">
        <v>1980</v>
      </c>
      <c r="D550" t="s">
        <v>81</v>
      </c>
      <c r="E550" s="12" t="str">
        <f t="shared" si="98"/>
        <v>Terhune</v>
      </c>
      <c r="F550" s="13" t="str">
        <f t="array" ref="F550">_xlfn.LET(
 _xlpm.authors,_xlfn.TEXTBEFORE(A550," ("&amp;G550&amp;")"),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Ronald</v>
      </c>
      <c r="G550" s="13" t="str">
        <f t="shared" si="99"/>
        <v>1972</v>
      </c>
      <c r="H550" s="12" t="str">
        <f t="shared" si="100"/>
        <v>Terhune_Ronald_1972</v>
      </c>
      <c r="I550" s="12" t="str">
        <f t="shared" si="101"/>
        <v>10.1139%2Fz72-077</v>
      </c>
      <c r="J550" s="12" t="str">
        <f t="shared" si="102"/>
        <v>Terhune_Ronald_1972_Table1</v>
      </c>
      <c r="K550" s="13" t="str">
        <f t="shared" si="103"/>
        <v>10.1139%2Fz72-077_Table1</v>
      </c>
      <c r="L550" s="13" t="str">
        <f t="array" ref="L550">IFERROR(INDEX(AUTO_Public_TSV_FileList!$A$1:$A$1000,MATCH(TRUE(),EXACT(K550,IFERROR(_xlfn.TEXTBEFORE(AUTO_Public_TSV_FileList!$A$1:$A$1000,".tsv"),"")),0)),"notfound")</f>
        <v>notfound</v>
      </c>
      <c r="M550" t="s">
        <v>1981</v>
      </c>
      <c r="N550" t="s">
        <v>660</v>
      </c>
      <c r="O550" t="s">
        <v>1945</v>
      </c>
      <c r="P550" t="s">
        <v>1862</v>
      </c>
    </row>
    <row r="551" spans="1:16" ht="15">
      <c r="A551" t="s">
        <v>1982</v>
      </c>
      <c r="D551" t="s">
        <v>81</v>
      </c>
      <c r="E551" s="12" t="str">
        <f t="shared" ref="E551:E556" si="104">SUBSTITUTE(SUBSTITUTE(_xlfn.TEXTBEFORE(A551,","), "-", ""), " ", "")</f>
        <v>Terhune</v>
      </c>
      <c r="F551" s="13" t="str">
        <f t="array" ref="F551">_xlfn.LET(
 _xlpm.authors,_xlfn.TEXTBEFORE(A551," ("&amp;G551&amp;")"),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Ronald</v>
      </c>
      <c r="G551" s="13" t="str">
        <f t="shared" ref="G551:G556" si="105">_xlfn.TEXTBEFORE(_xlfn.TEXTAFTER(A551, "("), ")")</f>
        <v>1975</v>
      </c>
      <c r="H551" s="12" t="str">
        <f t="shared" ref="H551:H556" si="106">E551 &amp; IF(F551&lt;&gt;"", "_" &amp; F551, "_") &amp; IF(G551&lt;&gt;"", "_" &amp; G551, "_") &amp; IF(B551&lt;&gt;"", "_" &amp; B551, "")</f>
        <v>Terhune_Ronald_1975</v>
      </c>
      <c r="I551" s="12" t="str">
        <f t="shared" ref="I551:I556" si="107">_xlfn.LET(_xlpm.doi,IF(C551&lt;&gt;"",C551,_xlfn.TEXTAFTER(A551,"https://doi.org/")),SUBSTITUTE(SUBSTITUTE(SUBSTITUTE(SUBSTITUTE(_xlpm.doi,"/","%2F"),":","%3A"),"&lt;","%3C"),"&gt;","%3E"))</f>
        <v>10.1139%2Fz75-028</v>
      </c>
      <c r="J551" s="12" t="str">
        <f t="shared" ref="J551:J556" si="108">TRIM(_xlfn.TEXTJOIN("_",FALSE(),H551,(SUBSTITUTE(SUBSTITUTE(D551," ",""), "_", ""))))</f>
        <v>Terhune_Ronald_1975_Table1</v>
      </c>
      <c r="K551" s="13" t="str">
        <f t="shared" ref="K551:K556" si="109">I551 &amp; "_" &amp; SUBSTITUTE(SUBSTITUTE(SUBSTITUTE(D551,CHAR(160),"")," ",""),"_","")</f>
        <v>10.1139%2Fz75-028_Table1</v>
      </c>
      <c r="L551" s="13" t="str">
        <f t="array" ref="L551">IFERROR(INDEX(AUTO_Public_TSV_FileList!$A$1:$A$1000,MATCH(TRUE(),EXACT(K551,IFERROR(_xlfn.TEXTBEFORE(AUTO_Public_TSV_FileList!$A$1:$A$1000,".tsv"),"")),0)),"notfound")</f>
        <v>notfound</v>
      </c>
      <c r="M551" t="s">
        <v>1983</v>
      </c>
      <c r="N551" t="s">
        <v>660</v>
      </c>
      <c r="O551" t="s">
        <v>1984</v>
      </c>
      <c r="P551" t="s">
        <v>1862</v>
      </c>
    </row>
    <row r="552" spans="1:16" ht="15">
      <c r="A552" t="s">
        <v>1985</v>
      </c>
      <c r="D552" t="s">
        <v>568</v>
      </c>
      <c r="E552" s="12" t="str">
        <f t="shared" si="104"/>
        <v>Thomas</v>
      </c>
      <c r="F552" s="13" t="str">
        <f t="array" ref="F552">_xlfn.LET(
 _xlpm.authors,_xlfn.TEXTBEFORE(A552," ("&amp;G552&amp;")"),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2" s="13" t="str">
        <f t="shared" si="105"/>
        <v>1988</v>
      </c>
      <c r="H552" s="12" t="str">
        <f t="shared" si="106"/>
        <v>Thomas_etal_1988</v>
      </c>
      <c r="I552" s="12" t="str">
        <f t="shared" si="107"/>
        <v>10.1121%2F1.396662</v>
      </c>
      <c r="J552" s="12" t="str">
        <f t="shared" si="108"/>
        <v>Thomas_etal_1988_TableI</v>
      </c>
      <c r="K552" s="13" t="str">
        <f t="shared" si="109"/>
        <v>10.1121%2F1.396662_TableI</v>
      </c>
      <c r="L552" s="13" t="str">
        <f t="array" ref="L552">IFERROR(INDEX(AUTO_Public_TSV_FileList!$A$1:$A$1000,MATCH(TRUE(),EXACT(K552,IFERROR(_xlfn.TEXTBEFORE(AUTO_Public_TSV_FileList!$A$1:$A$1000,".tsv"),"")),0)),"notfound")</f>
        <v>notfound</v>
      </c>
      <c r="M552" t="s">
        <v>1986</v>
      </c>
      <c r="N552" t="s">
        <v>660</v>
      </c>
      <c r="O552" t="s">
        <v>1945</v>
      </c>
      <c r="P552" t="s">
        <v>1862</v>
      </c>
    </row>
    <row r="553" spans="1:16" ht="15">
      <c r="A553" t="s">
        <v>1987</v>
      </c>
      <c r="D553" t="s">
        <v>568</v>
      </c>
      <c r="E553" s="12" t="str">
        <f t="shared" si="104"/>
        <v>Yuen</v>
      </c>
      <c r="F553" s="13" t="str">
        <f t="array" ref="F553">_xlfn.LET(
 _xlpm.authors,_xlfn.TEXTBEFORE(A553," ("&amp;G553&amp;")"),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3" s="13" t="str">
        <f t="shared" si="105"/>
        <v>2005</v>
      </c>
      <c r="H553" s="12" t="str">
        <f t="shared" si="106"/>
        <v>Yuen_etal_2005</v>
      </c>
      <c r="I553" s="12" t="str">
        <f t="shared" si="107"/>
        <v>10.1121%2F1.2010350</v>
      </c>
      <c r="J553" s="12" t="str">
        <f t="shared" si="108"/>
        <v>Yuen_etal_2005_TableI</v>
      </c>
      <c r="K553" s="13" t="str">
        <f t="shared" si="109"/>
        <v>10.1121%2F1.2010350_TableI</v>
      </c>
      <c r="L553" s="13" t="str">
        <f t="array" ref="L553">IFERROR(INDEX(AUTO_Public_TSV_FileList!$A$1:$A$1000,MATCH(TRUE(),EXACT(K553,IFERROR(_xlfn.TEXTBEFORE(AUTO_Public_TSV_FileList!$A$1:$A$1000,".tsv"),"")),0)),"notfound")</f>
        <v>notfound</v>
      </c>
      <c r="M553" t="s">
        <v>1988</v>
      </c>
      <c r="N553" t="s">
        <v>660</v>
      </c>
      <c r="O553" t="s">
        <v>1945</v>
      </c>
      <c r="P553" t="s">
        <v>1862</v>
      </c>
    </row>
    <row r="554" spans="1:16" ht="15">
      <c r="A554" t="s">
        <v>872</v>
      </c>
      <c r="D554" t="s">
        <v>58</v>
      </c>
      <c r="E554" s="12" t="str">
        <f t="shared" si="104"/>
        <v>Jacob</v>
      </c>
      <c r="F554" s="13" t="str">
        <f t="array" ref="F554">_xlfn.LET(
 _xlpm.authors,_xlfn.TEXTBEFORE(A554," ("&amp;G554&amp;")"),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4" s="13" t="str">
        <f t="shared" si="105"/>
        <v>2021</v>
      </c>
      <c r="H554" s="12" t="str">
        <f t="shared" si="106"/>
        <v>Jacob_etal_2021</v>
      </c>
      <c r="I554" s="12" t="str">
        <f t="shared" si="107"/>
        <v>10.1002%2Fcne.25197</v>
      </c>
      <c r="J554" s="12" t="str">
        <f t="shared" si="108"/>
        <v>Jacob_etal_2021_TABLE1</v>
      </c>
      <c r="K554" s="13" t="str">
        <f t="shared" si="109"/>
        <v>10.1002%2Fcne.25197_TABLE1</v>
      </c>
      <c r="L554" s="13" t="str">
        <f t="array" ref="L554">IFERROR(INDEX(AUTO_Public_TSV_FileList!$A$1:$A$1000,MATCH(TRUE(),EXACT(K554,IFERROR(_xlfn.TEXTBEFORE(AUTO_Public_TSV_FileList!$A$1:$A$1000,".tsv"),"")),0)),"notfound")</f>
        <v>10.1002%2Fcne.25197_TABLE1.tsv</v>
      </c>
      <c r="M554" t="s">
        <v>1989</v>
      </c>
      <c r="N554" t="s">
        <v>35</v>
      </c>
      <c r="O554" t="s">
        <v>1990</v>
      </c>
      <c r="P554" t="s">
        <v>36</v>
      </c>
    </row>
    <row r="555" spans="1:16" ht="15">
      <c r="A555" t="s">
        <v>872</v>
      </c>
      <c r="D555" t="s">
        <v>110</v>
      </c>
      <c r="E555" s="12" t="str">
        <f t="shared" si="104"/>
        <v>Jacob</v>
      </c>
      <c r="F555" s="13" t="str">
        <f t="array" ref="F555">_xlfn.LET(
 _xlpm.authors,_xlfn.TEXTBEFORE(A555," ("&amp;G555&amp;")"),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5" s="13" t="str">
        <f t="shared" si="105"/>
        <v>2021</v>
      </c>
      <c r="H555" s="12" t="str">
        <f t="shared" si="106"/>
        <v>Jacob_etal_2021</v>
      </c>
      <c r="I555" s="12" t="str">
        <f t="shared" si="107"/>
        <v>10.1002%2Fcne.25197</v>
      </c>
      <c r="J555" s="12" t="str">
        <f t="shared" si="108"/>
        <v>Jacob_etal_2021_TABLE2</v>
      </c>
      <c r="K555" s="13" t="str">
        <f t="shared" si="109"/>
        <v>10.1002%2Fcne.25197_TABLE2</v>
      </c>
      <c r="L555" s="13" t="str">
        <f t="array" ref="L555">IFERROR(INDEX(AUTO_Public_TSV_FileList!$A$1:$A$1000,MATCH(TRUE(),EXACT(K555,IFERROR(_xlfn.TEXTBEFORE(AUTO_Public_TSV_FileList!$A$1:$A$1000,".tsv"),"")),0)),"notfound")</f>
        <v>10.1002%2Fcne.25197_TABLE2.tsv</v>
      </c>
      <c r="M555" t="s">
        <v>1991</v>
      </c>
      <c r="N555" t="s">
        <v>35</v>
      </c>
      <c r="O555" t="s">
        <v>1990</v>
      </c>
      <c r="P555" t="s">
        <v>36</v>
      </c>
    </row>
    <row r="556" spans="1:16" ht="15">
      <c r="A556" t="s">
        <v>872</v>
      </c>
      <c r="D556" t="s">
        <v>287</v>
      </c>
      <c r="E556" s="12" t="str">
        <f t="shared" si="104"/>
        <v>Jacob</v>
      </c>
      <c r="F556" s="13" t="str">
        <f t="array" ref="F556">_xlfn.LET(
 _xlpm.authors,_xlfn.TEXTBEFORE(A556," ("&amp;G556&amp;")"),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56" s="13" t="str">
        <f t="shared" si="105"/>
        <v>2021</v>
      </c>
      <c r="H556" s="12" t="str">
        <f t="shared" si="106"/>
        <v>Jacob_etal_2021</v>
      </c>
      <c r="I556" s="12" t="str">
        <f t="shared" si="107"/>
        <v>10.1002%2Fcne.25197</v>
      </c>
      <c r="J556" s="12" t="str">
        <f t="shared" si="108"/>
        <v>Jacob_etal_2021_TABLE3</v>
      </c>
      <c r="K556" s="13" t="str">
        <f t="shared" si="109"/>
        <v>10.1002%2Fcne.25197_TABLE3</v>
      </c>
      <c r="L556" s="13" t="str">
        <f t="array" ref="L556">IFERROR(INDEX(AUTO_Public_TSV_FileList!$A$1:$A$1000,MATCH(TRUE(),EXACT(K556,IFERROR(_xlfn.TEXTBEFORE(AUTO_Public_TSV_FileList!$A$1:$A$1000,".tsv"),"")),0)),"notfound")</f>
        <v>10.1002%2Fcne.25197_TABLE3.tsv</v>
      </c>
      <c r="M556" t="s">
        <v>1992</v>
      </c>
      <c r="N556" t="s">
        <v>35</v>
      </c>
      <c r="O556" t="s">
        <v>1990</v>
      </c>
      <c r="P556" t="s">
        <v>36</v>
      </c>
    </row>
    <row r="569" spans="1:31" ht="15.95" customHeight="1">
      <c r="A569" s="14" t="s">
        <v>1289</v>
      </c>
      <c r="D569" s="14" t="s">
        <v>1290</v>
      </c>
      <c r="E569" s="14" t="str">
        <f t="shared" ref="E569:E576" si="110">SUBSTITUTE(SUBSTITUTE(_xlfn.TEXTBEFORE(A569,","), "-", ""), " ", "")</f>
        <v>Morgan</v>
      </c>
      <c r="F569" s="14" t="str">
        <f t="array" ref="F569">_xlfn.LET(
 _xlpm.authors,_xlfn.TEXTBEFORE(A569," ("&amp;G569&amp;")"),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69" s="14" t="str">
        <f t="shared" ref="G569:G576" si="111">_xlfn.TEXTBEFORE(_xlfn.TEXTAFTER(A569, "("), ")")</f>
        <v>2014</v>
      </c>
      <c r="H569" s="14" t="str">
        <f t="shared" ref="H569:H576" si="112">E569 &amp; IF(F569&lt;&gt;"", "_" &amp; F569, "_") &amp; IF(G569&lt;&gt;"", "_" &amp; G569, "_") &amp; IF(B569&lt;&gt;"", "_" &amp; B569, "")</f>
        <v>Morgan_etal_2014</v>
      </c>
      <c r="I569" s="14" t="str">
        <f t="shared" ref="I569:I576" si="113">_xlfn.LET(
_xlpm.doi,IF(C569&lt;&gt;"",C569,_xlfn.TEXTAFTER(A569,"https://doi.org/")),
SUBSTITUTE(
SUBSTITUTE(
SUBSTITUTE(
SUBSTITUTE(
_xlpm.doi,
"/","%2F"),
":","%3A"),
"&lt;","%3C"),
"&gt;","%3E")
)</f>
        <v>10.1371%2Fjournal.pone.0110356</v>
      </c>
      <c r="J569" s="14" t="str">
        <f t="shared" ref="J569:J576" si="114">TRIM(_xlfn.TEXTJOIN("_",FALSE(),H569,(SUBSTITUTE(SUBSTITUTE(D569," ",""), "_", ""))))</f>
        <v>Morgan_etal_2014_DataS1</v>
      </c>
      <c r="K569" t="str">
        <f t="shared" ref="K569:K576" si="115">I569 &amp; "_" &amp; SUBSTITUTE(SUBSTITUTE(SUBSTITUTE(D569,CHAR(160),""), " ", ""), "_", "")</f>
        <v>10.1371%2Fjournal.pone.0110356_DataS1</v>
      </c>
      <c r="L569" t="str">
        <f t="array" ref="L569">IFERROR(INDEX(AUTO_Public_TSV_FileList!$A$1:$A$1000,MATCH(TRUE(),EXACT(K569,IFERROR(_xlfn.TEXTBEFORE(AUTO_Public_TSV_FileList!$A$1:$A$1000,".tsv"),"")),0)),"notfound")</f>
        <v>10.1371%2Fjournal.pone.0110356_DataS1.tsv</v>
      </c>
      <c r="N569" s="17" t="s">
        <v>1292</v>
      </c>
      <c r="O569" s="17" t="s">
        <v>1291</v>
      </c>
      <c r="P569" s="17" t="s">
        <v>1993</v>
      </c>
      <c r="Q569" s="17" t="s">
        <v>1293</v>
      </c>
      <c r="W569" s="17" t="s">
        <v>644</v>
      </c>
      <c r="AA569" s="17" t="s">
        <v>1295</v>
      </c>
      <c r="AB569" s="17" t="s">
        <v>1048</v>
      </c>
      <c r="AC569" s="17" t="s">
        <v>1296</v>
      </c>
      <c r="AE569" s="17" t="s">
        <v>66</v>
      </c>
    </row>
    <row r="570" spans="1:31" ht="15.95" customHeight="1">
      <c r="A570" s="14" t="s">
        <v>640</v>
      </c>
      <c r="D570" s="14" t="s">
        <v>70</v>
      </c>
      <c r="E570" s="14" t="str">
        <f t="shared" si="110"/>
        <v>Hanson</v>
      </c>
      <c r="F570" s="14" t="str">
        <f t="array" ref="F570">_xlfn.LET(
 _xlpm.authors,_xlfn.TEXTBEFORE(A570," ("&amp;G570&amp;")"),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0" s="14" t="str">
        <f t="shared" si="111"/>
        <v>2018</v>
      </c>
      <c r="H570" s="14" t="str">
        <f t="shared" si="112"/>
        <v>Hanson_etal_2018</v>
      </c>
      <c r="I570" s="14" t="str">
        <f t="shared" si="113"/>
        <v>10.1002%2Fdneu.22554</v>
      </c>
      <c r="J570" s="14" t="str">
        <f t="shared" si="114"/>
        <v>Hanson_etal_2018_Table2</v>
      </c>
      <c r="K570" t="str">
        <f t="shared" si="115"/>
        <v>10.1002%2Fdneu.22554_Table2</v>
      </c>
      <c r="L570" t="str">
        <f t="array" ref="L570">IFERROR(INDEX(AUTO_Public_TSV_FileList!$A$1:$A$1000,MATCH(TRUE(),EXACT(K570,IFERROR(_xlfn.TEXTBEFORE(AUTO_Public_TSV_FileList!$A$1:$A$1000,".tsv"),"")),0)),"notfound")</f>
        <v>10.1002%2Fdneu.22554_Table2.tsv</v>
      </c>
      <c r="N570" s="17" t="s">
        <v>642</v>
      </c>
      <c r="O570" s="17" t="s">
        <v>641</v>
      </c>
      <c r="P570" s="17" t="s">
        <v>1994</v>
      </c>
      <c r="Q570" s="17" t="s">
        <v>643</v>
      </c>
      <c r="W570" s="17" t="s">
        <v>644</v>
      </c>
      <c r="AA570" s="17" t="s">
        <v>646</v>
      </c>
      <c r="AB570" s="17" t="s">
        <v>77</v>
      </c>
      <c r="AC570" s="17" t="s">
        <v>647</v>
      </c>
      <c r="AE570" s="17" t="s">
        <v>66</v>
      </c>
    </row>
    <row r="571" spans="1:31" ht="15.95" customHeight="1">
      <c r="A571" s="14" t="s">
        <v>640</v>
      </c>
      <c r="D571" s="14" t="s">
        <v>72</v>
      </c>
      <c r="E571" s="14" t="str">
        <f t="shared" si="110"/>
        <v>Hanson</v>
      </c>
      <c r="F571" s="14" t="str">
        <f t="array" ref="F571">_xlfn.LET(
 _xlpm.authors,_xlfn.TEXTBEFORE(A571," ("&amp;G571&amp;")"),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1" s="14" t="str">
        <f t="shared" si="111"/>
        <v>2018</v>
      </c>
      <c r="H571" s="14" t="str">
        <f t="shared" si="112"/>
        <v>Hanson_etal_2018</v>
      </c>
      <c r="I571" s="14" t="str">
        <f t="shared" si="113"/>
        <v>10.1002%2Fdneu.22554</v>
      </c>
      <c r="J571" s="14" t="str">
        <f t="shared" si="114"/>
        <v>Hanson_etal_2018_Table3</v>
      </c>
      <c r="K571" t="str">
        <f t="shared" si="115"/>
        <v>10.1002%2Fdneu.22554_Table3</v>
      </c>
      <c r="L571" t="str">
        <f t="array" ref="L571">IFERROR(INDEX(AUTO_Public_TSV_FileList!$A$1:$A$1000,MATCH(TRUE(),EXACT(K571,IFERROR(_xlfn.TEXTBEFORE(AUTO_Public_TSV_FileList!$A$1:$A$1000,".tsv"),"")),0)),"notfound")</f>
        <v>10.1002%2Fdneu.22554_Table3.tsv</v>
      </c>
      <c r="N571" s="17" t="s">
        <v>642</v>
      </c>
      <c r="O571" s="17" t="s">
        <v>648</v>
      </c>
      <c r="P571" s="17" t="s">
        <v>1994</v>
      </c>
      <c r="Q571" s="17" t="s">
        <v>649</v>
      </c>
      <c r="W571" s="17" t="s">
        <v>644</v>
      </c>
      <c r="AA571" s="17" t="s">
        <v>646</v>
      </c>
      <c r="AB571" s="17" t="s">
        <v>77</v>
      </c>
      <c r="AC571" s="17" t="s">
        <v>647</v>
      </c>
      <c r="AE571" s="17" t="s">
        <v>66</v>
      </c>
    </row>
    <row r="572" spans="1:31" ht="15.95" customHeight="1">
      <c r="A572" s="14" t="s">
        <v>1042</v>
      </c>
      <c r="D572" s="14" t="s">
        <v>70</v>
      </c>
      <c r="E572" s="14" t="str">
        <f t="shared" si="110"/>
        <v>Karlsen</v>
      </c>
      <c r="F572" s="14" t="str">
        <f t="array" ref="F572">_xlfn.LET(
 _xlpm.authors,_xlfn.TEXTBEFORE(A572," ("&amp;G572&amp;")"),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572" s="14" t="str">
        <f t="shared" si="111"/>
        <v>2011</v>
      </c>
      <c r="H572" s="14" t="str">
        <f t="shared" si="112"/>
        <v>Karlsen_Pakkenberg_2011</v>
      </c>
      <c r="I572" s="14" t="str">
        <f t="shared" si="113"/>
        <v>10.1093%2Fcercor%2Fbhr033</v>
      </c>
      <c r="J572" s="14" t="str">
        <f t="shared" si="114"/>
        <v>Karlsen_Pakkenberg_2011_Table2</v>
      </c>
      <c r="K572" t="str">
        <f t="shared" si="115"/>
        <v>10.1093%2Fcercor%2Fbhr033_Table2</v>
      </c>
      <c r="L572" t="str">
        <f t="array" ref="L572">IFERROR(INDEX(AUTO_Public_TSV_FileList!$A$1:$A$1000,MATCH(TRUE(),EXACT(K572,IFERROR(_xlfn.TEXTBEFORE(AUTO_Public_TSV_FileList!$A$1:$A$1000,".tsv"),"")),0)),"notfound")</f>
        <v>10.1093%2Fcercor%2Fbhr033_Table2.tsv</v>
      </c>
      <c r="N572" s="17" t="s">
        <v>1056</v>
      </c>
      <c r="O572" s="17" t="s">
        <v>1055</v>
      </c>
      <c r="P572" s="17" t="s">
        <v>1995</v>
      </c>
      <c r="Q572" s="17" t="s">
        <v>1057</v>
      </c>
      <c r="W572" s="17" t="s">
        <v>644</v>
      </c>
      <c r="AA572" s="17" t="s">
        <v>1059</v>
      </c>
      <c r="AB572" s="17" t="s">
        <v>90</v>
      </c>
      <c r="AC572" s="17" t="s">
        <v>1049</v>
      </c>
      <c r="AE572" s="17" t="s">
        <v>66</v>
      </c>
    </row>
    <row r="573" spans="1:31" ht="15.95" customHeight="1">
      <c r="A573" s="14" t="s">
        <v>1042</v>
      </c>
      <c r="D573" s="14" t="s">
        <v>1043</v>
      </c>
      <c r="E573" s="14" t="str">
        <f t="shared" si="110"/>
        <v>Karlsen</v>
      </c>
      <c r="F573" s="14" t="str">
        <f t="array" ref="F573">_xlfn.LET(
 _xlpm.authors,_xlfn.TEXTBEFORE(A573," ("&amp;G573&amp;")"),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573" s="14" t="str">
        <f t="shared" si="111"/>
        <v>2011</v>
      </c>
      <c r="H573" s="14" t="str">
        <f t="shared" si="112"/>
        <v>Karlsen_Pakkenberg_2011</v>
      </c>
      <c r="I573" s="14" t="str">
        <f t="shared" si="113"/>
        <v>10.1093%2Fcercor%2Fbhr033</v>
      </c>
      <c r="J573" s="14" t="str">
        <f t="shared" si="114"/>
        <v>Karlsen_Pakkenberg_2011_authordata(groupmeans)</v>
      </c>
      <c r="K573" t="str">
        <f t="shared" si="115"/>
        <v>10.1093%2Fcercor%2Fbhr033_authordata(groupmeans)</v>
      </c>
      <c r="L573" t="str">
        <f t="array" ref="L573">IFERROR(INDEX(AUTO_Public_TSV_FileList!$A$1:$A$1000,MATCH(TRUE(),EXACT(K573,IFERROR(_xlfn.TEXTBEFORE(AUTO_Public_TSV_FileList!$A$1:$A$1000,".tsv"),"")),0)),"notfound")</f>
        <v>10.1093%2Fcercor%2Fbhr033_authordata(groupmeans).tsv</v>
      </c>
      <c r="N573" s="17" t="s">
        <v>1045</v>
      </c>
      <c r="O573" s="17" t="s">
        <v>1044</v>
      </c>
      <c r="P573" s="17" t="s">
        <v>1996</v>
      </c>
      <c r="Q573" s="17" t="s">
        <v>1046</v>
      </c>
      <c r="W573" s="17" t="s">
        <v>644</v>
      </c>
      <c r="AA573" s="17" t="s">
        <v>646</v>
      </c>
      <c r="AB573" s="17" t="s">
        <v>1048</v>
      </c>
      <c r="AC573" s="17" t="s">
        <v>1049</v>
      </c>
      <c r="AE573" s="17" t="s">
        <v>66</v>
      </c>
    </row>
    <row r="574" spans="1:31" ht="15.95" customHeight="1">
      <c r="A574" s="14" t="s">
        <v>1042</v>
      </c>
      <c r="D574" s="14" t="s">
        <v>1050</v>
      </c>
      <c r="E574" s="14" t="str">
        <f t="shared" si="110"/>
        <v>Karlsen</v>
      </c>
      <c r="F574" s="14" t="str">
        <f t="array" ref="F574">_xlfn.LET(
 _xlpm.authors,_xlfn.TEXTBEFORE(A574," ("&amp;G574&amp;")"),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Pakkenberg</v>
      </c>
      <c r="G574" s="14" t="str">
        <f t="shared" si="111"/>
        <v>2011</v>
      </c>
      <c r="H574" s="14" t="str">
        <f t="shared" si="112"/>
        <v>Karlsen_Pakkenberg_2011</v>
      </c>
      <c r="I574" s="14" t="str">
        <f t="shared" si="113"/>
        <v>10.1093%2Fcercor%2Fbhr033</v>
      </c>
      <c r="J574" s="14" t="str">
        <f t="shared" si="114"/>
        <v>Karlsen_Pakkenberg_2011_reportedvalues</v>
      </c>
      <c r="K574" t="str">
        <f t="shared" si="115"/>
        <v>10.1093%2Fcercor%2Fbhr033_reportedvalues</v>
      </c>
      <c r="L574" t="str">
        <f t="array" ref="L574">IFERROR(INDEX(AUTO_Public_TSV_FileList!$A$1:$A$1000,MATCH(TRUE(),EXACT(K574,IFERROR(_xlfn.TEXTBEFORE(AUTO_Public_TSV_FileList!$A$1:$A$1000,".tsv"),"")),0)),"notfound")</f>
        <v>10.1093%2Fcercor%2Fbhr033_reportedvalues.tsv</v>
      </c>
      <c r="N574" s="17" t="s">
        <v>1052</v>
      </c>
      <c r="O574" s="17" t="s">
        <v>1051</v>
      </c>
      <c r="P574" s="17" t="s">
        <v>1997</v>
      </c>
      <c r="Q574" s="17" t="s">
        <v>1053</v>
      </c>
      <c r="W574" s="17" t="s">
        <v>644</v>
      </c>
      <c r="AA574" s="17" t="s">
        <v>646</v>
      </c>
      <c r="AB574" s="17" t="s">
        <v>1048</v>
      </c>
      <c r="AC574" s="17" t="s">
        <v>1049</v>
      </c>
      <c r="AE574" s="17" t="s">
        <v>66</v>
      </c>
    </row>
    <row r="575" spans="1:31" ht="15.95" customHeight="1">
      <c r="A575" s="14" t="s">
        <v>1673</v>
      </c>
      <c r="D575" s="14" t="s">
        <v>1674</v>
      </c>
      <c r="E575" s="14" t="str">
        <f t="shared" si="110"/>
        <v>Walhovd</v>
      </c>
      <c r="F575" s="14" t="str">
        <f t="array" ref="F575">_xlfn.LET(
 _xlpm.authors,_xlfn.TEXTBEFORE(A575," ("&amp;G575&amp;")"),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5" s="14" t="str">
        <f t="shared" si="111"/>
        <v>2011</v>
      </c>
      <c r="H575" s="14" t="str">
        <f t="shared" si="112"/>
        <v>Walhovd_etal_2011</v>
      </c>
      <c r="I575" s="14" t="str">
        <f t="shared" si="113"/>
        <v>10.1016%2Fj.neurobiolaging.2009.05.013</v>
      </c>
      <c r="J575" s="14" t="str">
        <f t="shared" si="114"/>
        <v>Walhovd_etal_2011_normativevolumes</v>
      </c>
      <c r="K575" t="str">
        <f t="shared" si="115"/>
        <v>10.1016%2Fj.neurobiolaging.2009.05.013_normativevolumes</v>
      </c>
      <c r="L575" t="str">
        <f t="array" ref="L575">IFERROR(INDEX(AUTO_Public_TSV_FileList!$A$1:$A$1000,MATCH(TRUE(),EXACT(K575,IFERROR(_xlfn.TEXTBEFORE(AUTO_Public_TSV_FileList!$A$1:$A$1000,".tsv"),"")),0)),"notfound")</f>
        <v>10.1016%2Fj.neurobiolaging.2009.05.013_normativevolumes.tsv</v>
      </c>
      <c r="N575" s="17" t="s">
        <v>1676</v>
      </c>
      <c r="O575" s="17" t="s">
        <v>1675</v>
      </c>
      <c r="P575" s="17" t="s">
        <v>1998</v>
      </c>
      <c r="Q575" s="17" t="s">
        <v>1677</v>
      </c>
      <c r="W575" s="17" t="s">
        <v>644</v>
      </c>
      <c r="AA575" s="17" t="s">
        <v>1224</v>
      </c>
      <c r="AB575" s="17" t="s">
        <v>90</v>
      </c>
      <c r="AC575" s="17" t="s">
        <v>1679</v>
      </c>
      <c r="AE575" s="17" t="s">
        <v>179</v>
      </c>
    </row>
    <row r="576" spans="1:31" ht="15.95" customHeight="1">
      <c r="A576" s="14" t="s">
        <v>1213</v>
      </c>
      <c r="D576" s="14" t="s">
        <v>1214</v>
      </c>
      <c r="E576" s="14" t="str">
        <f t="shared" si="110"/>
        <v>Mackes</v>
      </c>
      <c r="F576" s="14" t="str">
        <f t="array" ref="F576">_xlfn.LET(
 _xlpm.authors,_xlfn.TEXTBEFORE(A576," ("&amp;G576&amp;")"),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SUBSTITUTE(TRIM(_xlfn.TEXTBEFORE(_xlfn.TEXTAFTER(_xlpm.authors,"&amp; "),",")),"-","")
     )
   )
 )
)</f>
        <v>etal</v>
      </c>
      <c r="G576" s="14" t="str">
        <f t="shared" si="111"/>
        <v>2020</v>
      </c>
      <c r="H576" s="14" t="str">
        <f t="shared" si="112"/>
        <v>Mackes_etal_2020</v>
      </c>
      <c r="I576" s="14" t="str">
        <f t="shared" si="113"/>
        <v>10.1073%2Fpnas.1911264116</v>
      </c>
      <c r="J576" s="14" t="str">
        <f t="shared" si="114"/>
        <v>Mackes_etal_2020_ERABIS(cortical)</v>
      </c>
      <c r="K576" t="str">
        <f t="shared" si="115"/>
        <v>10.1073%2Fpnas.1911264116_ERABIS(cortical)</v>
      </c>
      <c r="L576" t="str">
        <f t="array" ref="L576">IFERROR(INDEX(AUTO_Public_TSV_FileList!$A$1:$A$1000,MATCH(TRUE(),EXACT(K576,IFERROR(_xlfn.TEXTBEFORE(AUTO_Public_TSV_FileList!$A$1:$A$1000,".tsv"),"")),0)),"notfound")</f>
        <v>10.1073%2Fpnas.1911264116_ERABIS(cortical).tsv</v>
      </c>
      <c r="N576" s="17" t="s">
        <v>1045</v>
      </c>
      <c r="O576" s="17" t="s">
        <v>1215</v>
      </c>
      <c r="P576" s="17" t="s">
        <v>1999</v>
      </c>
      <c r="Q576" s="17" t="s">
        <v>1216</v>
      </c>
      <c r="W576" s="17" t="s">
        <v>644</v>
      </c>
      <c r="AA576" s="17" t="s">
        <v>1218</v>
      </c>
      <c r="AB576" s="17" t="s">
        <v>90</v>
      </c>
      <c r="AC576" s="17" t="s">
        <v>1219</v>
      </c>
      <c r="AE576" s="17" t="s">
        <v>66</v>
      </c>
    </row>
  </sheetData>
  <autoFilter ref="A1:AP556" xr:uid="{00000000-0001-0000-0000-000000000000}"/>
  <hyperlinks>
    <hyperlink ref="R150" r:id="rId1" xr:uid="{00000000-0004-0000-0000-000000000000}"/>
    <hyperlink ref="R294" r:id="rId2" xr:uid="{00000000-0004-0000-0000-000001000000}"/>
    <hyperlink ref="R326" r:id="rId3" xr:uid="{00000000-0004-0000-0000-000002000000}"/>
    <hyperlink ref="R360" r:id="rId4" xr:uid="{00000000-0004-0000-0000-000003000000}"/>
    <hyperlink ref="R48" r:id="rId5" xr:uid="{00000000-0004-0000-0000-000004000000}"/>
    <hyperlink ref="R49" r:id="rId6" xr:uid="{00000000-0004-0000-0000-000005000000}"/>
    <hyperlink ref="R121" r:id="rId7" xr:uid="{00000000-0004-0000-0000-000006000000}"/>
    <hyperlink ref="R122" r:id="rId8" xr:uid="{00000000-0004-0000-0000-000007000000}"/>
    <hyperlink ref="R123" r:id="rId9" xr:uid="{00000000-0004-0000-0000-000008000000}"/>
    <hyperlink ref="R203" r:id="rId10" xr:uid="{00000000-0004-0000-0000-000009000000}"/>
    <hyperlink ref="R204" r:id="rId11" xr:uid="{00000000-0004-0000-0000-00000A000000}"/>
    <hyperlink ref="R212" r:id="rId12" xr:uid="{00000000-0004-0000-0000-00000B000000}"/>
    <hyperlink ref="R213" r:id="rId13" xr:uid="{00000000-0004-0000-0000-00000C000000}"/>
    <hyperlink ref="R295" r:id="rId14" xr:uid="{00000000-0004-0000-0000-00000D000000}"/>
    <hyperlink ref="R493" r:id="rId15" xr:uid="{00000000-0004-0000-0000-00000E000000}"/>
    <hyperlink ref="R494" r:id="rId16" xr:uid="{00000000-0004-0000-0000-00000F000000}"/>
    <hyperlink ref="R495" r:id="rId17" xr:uid="{00000000-0004-0000-0000-000010000000}"/>
    <hyperlink ref="R496" r:id="rId18" xr:uid="{00000000-0004-0000-0000-000011000000}"/>
    <hyperlink ref="R497" r:id="rId19" xr:uid="{00000000-0004-0000-0000-000012000000}"/>
    <hyperlink ref="R498" r:id="rId20" xr:uid="{00000000-0004-0000-0000-000013000000}"/>
    <hyperlink ref="R499" r:id="rId21" xr:uid="{00000000-0004-0000-0000-000014000000}"/>
    <hyperlink ref="R500" r:id="rId22" xr:uid="{00000000-0004-0000-0000-000015000000}"/>
    <hyperlink ref="R501" r:id="rId23" xr:uid="{00000000-0004-0000-0000-000016000000}"/>
    <hyperlink ref="R502" r:id="rId24" xr:uid="{00000000-0004-0000-0000-000017000000}"/>
    <hyperlink ref="R503" r:id="rId25" xr:uid="{00000000-0004-0000-0000-000018000000}"/>
    <hyperlink ref="R504" r:id="rId26" xr:uid="{00000000-0004-0000-0000-000019000000}"/>
    <hyperlink ref="R505" r:id="rId27" xr:uid="{00000000-0004-0000-0000-00001A000000}"/>
    <hyperlink ref="R506" r:id="rId28" xr:uid="{00000000-0004-0000-0000-00001B000000}"/>
    <hyperlink ref="R507" r:id="rId29" xr:uid="{00000000-0004-0000-0000-00001C000000}"/>
    <hyperlink ref="R508" r:id="rId30" xr:uid="{00000000-0004-0000-0000-00001D000000}"/>
    <hyperlink ref="R509" r:id="rId31" xr:uid="{00000000-0004-0000-0000-00001E000000}"/>
    <hyperlink ref="R510" r:id="rId32" xr:uid="{00000000-0004-0000-0000-00001F000000}"/>
    <hyperlink ref="R511" r:id="rId33" xr:uid="{00000000-0004-0000-0000-000020000000}"/>
    <hyperlink ref="R512" r:id="rId34" xr:uid="{00000000-0004-0000-0000-000021000000}"/>
    <hyperlink ref="R513" r:id="rId35" xr:uid="{00000000-0004-0000-0000-000022000000}"/>
    <hyperlink ref="R514" r:id="rId36" xr:uid="{00000000-0004-0000-0000-000023000000}"/>
    <hyperlink ref="R515" r:id="rId37" xr:uid="{00000000-0004-0000-0000-000024000000}"/>
    <hyperlink ref="R516" r:id="rId38" xr:uid="{00000000-0004-0000-0000-000025000000}"/>
    <hyperlink ref="R517" r:id="rId39" xr:uid="{00000000-0004-0000-0000-000026000000}"/>
    <hyperlink ref="R518" r:id="rId40" xr:uid="{00000000-0004-0000-0000-000027000000}"/>
    <hyperlink ref="R519" r:id="rId41" xr:uid="{00000000-0004-0000-0000-000028000000}"/>
    <hyperlink ref="R520" r:id="rId42" xr:uid="{00000000-0004-0000-0000-000029000000}"/>
    <hyperlink ref="R521" r:id="rId43" xr:uid="{00000000-0004-0000-0000-00002A000000}"/>
    <hyperlink ref="R522" r:id="rId44" xr:uid="{00000000-0004-0000-0000-00002B000000}"/>
    <hyperlink ref="R523" r:id="rId45" xr:uid="{00000000-0004-0000-0000-00002C000000}"/>
    <hyperlink ref="R524" r:id="rId46" xr:uid="{00000000-0004-0000-0000-00002D000000}"/>
  </hyperlinks>
  <pageMargins left="0.7" right="0.7" top="0.75" bottom="0.75" header="0.511811023622047" footer="0.511811023622047"/>
  <pageSetup paperSize="9" orientation="portrait" horizontalDpi="300" verticalDpi="300"/>
  <headerFooter scaleWithDoc="0" alignWithMargins="0">
    <oddHeader>&amp;L&amp;C&amp;R</oddHeader>
    <oddFooter>&amp;L&amp;C&amp;R</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23"/>
  <sheetViews>
    <sheetView workbookViewId="0">
      <selection activeCell="E23" sqref="E23:O23"/>
    </sheetView>
  </sheetViews>
  <sheetFormatPr defaultColWidth="11.42578125" defaultRowHeight="12.95"/>
  <cols>
    <col min="1" max="1" width="36.7109375" customWidth="1"/>
    <col min="8" max="8" width="13.28515625" customWidth="1"/>
    <col min="13" max="25" width="10.42578125" customWidth="1"/>
    <col min="26" max="26" width="11.140625" customWidth="1"/>
    <col min="27" max="27" width="10.42578125" customWidth="1"/>
    <col min="28" max="28" width="36.42578125" customWidth="1"/>
    <col min="29" max="30" width="10.42578125" customWidth="1"/>
  </cols>
  <sheetData>
    <row r="1" spans="1:33" ht="17.100000000000001" customHeight="1">
      <c r="A1" s="22" t="s">
        <v>0</v>
      </c>
      <c r="B1" s="22" t="s">
        <v>1</v>
      </c>
      <c r="C1" s="22" t="s">
        <v>2</v>
      </c>
      <c r="D1" s="22" t="s">
        <v>3</v>
      </c>
      <c r="E1" s="20" t="s">
        <v>4</v>
      </c>
      <c r="F1" s="20" t="s">
        <v>5</v>
      </c>
      <c r="G1" s="20" t="s">
        <v>6</v>
      </c>
      <c r="H1" s="20" t="s">
        <v>7</v>
      </c>
      <c r="I1" s="20" t="s">
        <v>8</v>
      </c>
      <c r="J1" s="20" t="s">
        <v>9</v>
      </c>
      <c r="K1" s="20" t="s">
        <v>10</v>
      </c>
      <c r="L1" s="20" t="s">
        <v>11</v>
      </c>
      <c r="M1" s="22" t="s">
        <v>12</v>
      </c>
      <c r="N1" s="22" t="s">
        <v>13</v>
      </c>
      <c r="O1" s="22" t="s">
        <v>14</v>
      </c>
      <c r="P1" s="22" t="s">
        <v>15</v>
      </c>
      <c r="Q1" s="22" t="s">
        <v>16</v>
      </c>
      <c r="R1" s="22" t="s">
        <v>17</v>
      </c>
      <c r="S1" s="22" t="s">
        <v>18</v>
      </c>
      <c r="T1" s="22" t="s">
        <v>19</v>
      </c>
      <c r="U1" s="22" t="s">
        <v>20</v>
      </c>
      <c r="V1" s="22" t="s">
        <v>21</v>
      </c>
      <c r="W1" s="1" t="s">
        <v>22</v>
      </c>
      <c r="X1" s="22" t="s">
        <v>23</v>
      </c>
      <c r="Y1" s="22" t="s">
        <v>24</v>
      </c>
      <c r="Z1" s="1" t="s">
        <v>25</v>
      </c>
      <c r="AA1" s="22" t="s">
        <v>26</v>
      </c>
      <c r="AB1" s="22" t="s">
        <v>27</v>
      </c>
      <c r="AC1" s="22" t="s">
        <v>28</v>
      </c>
      <c r="AD1" s="22" t="s">
        <v>29</v>
      </c>
      <c r="AE1" s="22" t="s">
        <v>30</v>
      </c>
      <c r="AF1" s="1" t="s">
        <v>31</v>
      </c>
      <c r="AG1" s="21" t="s">
        <v>32</v>
      </c>
    </row>
    <row r="2" spans="1:33" ht="15.95" customHeight="1">
      <c r="A2" s="23" t="s">
        <v>2000</v>
      </c>
      <c r="B2" s="18"/>
      <c r="C2" s="18"/>
      <c r="D2" s="23" t="s">
        <v>81</v>
      </c>
      <c r="E2" s="20" t="str">
        <f t="shared" ref="E2:E17" si="0">SUBSTITUTE(SUBSTITUTE(_xlfn.TEXTBEFORE(A2,","), "-", ""), " ", "")</f>
        <v>Changizi</v>
      </c>
      <c r="F2" s="20" t="str">
        <f t="shared" ref="F2:F17" si="1">_xlfn.LET(
_xlpm.authors,_xlfn.TEXTBEFORE(A2," ("&amp;G2&amp;")"),
_xlpm.hasAmp,ISNUMBER(SEARCH("&amp;",_xlpm.authors)),
_xlpm.commasBeforeAmp,IF(_xlpm.hasAmp,LEN(_xlfn.TEXTBEFORE(_xlpm.authors,"&amp;"))-LEN(SUBSTITUTE(_xlfn.TEXTBEFORE(_xlpm.authors,"&amp;"),",","")),0),
IF(NOT(_xlpm.hasAmp),"",IF(_xlpm.commasBeforeAmp&gt;2,"etal",TRIM(_xlfn.TEXTBEFORE(_xlfn.TEXTAFTER(_xlpm.authors,"&amp; "),","))))
)</f>
        <v>He</v>
      </c>
      <c r="G2" s="20" t="str">
        <f t="shared" ref="G2:G17" si="2">_xlfn.TEXTBEFORE(_xlfn.TEXTAFTER(A2, "("), ")")</f>
        <v>2005</v>
      </c>
      <c r="H2" s="20" t="str">
        <f t="shared" ref="H2:H17" si="3">E2 &amp; IF(F2&lt;&gt;"", "_" &amp; F2, "_") &amp; IF(G2&lt;&gt;"", "_" &amp; G2, "_") &amp; IF(B2&lt;&gt;"", "_" &amp; B2, "")</f>
        <v>Changizi_He_2005</v>
      </c>
      <c r="I2" s="20" t="str">
        <f t="shared" ref="I2:I17" si="4">_xlfn.LET(
_xlpm.doi,IF(C2&lt;&gt;"",C2,_xlfn.TEXTAFTER(A2,"https://doi.org/")),
SUBSTITUTE(
SUBSTITUTE(
SUBSTITUTE(
SUBSTITUTE(
_xlpm.doi,
"/","%2F"),
":","%3A"),
"&lt;","%3C"),
"&gt;","%3E")
)</f>
        <v>10.1002%2Fcplx.20085</v>
      </c>
      <c r="J2" s="20" t="str">
        <f t="shared" ref="J2:J17" si="5">TRIM(_xlfn.TEXTJOIN("_",FALSE(),H2,(SUBSTITUTE(SUBSTITUTE(D2," ",""), "_", ""))))</f>
        <v>Changizi_He_2005_Table1</v>
      </c>
      <c r="K2" s="20" t="str">
        <f t="shared" ref="K2:K17" si="6">I2 &amp; "_" &amp; SUBSTITUTE(SUBSTITUTE(SUBSTITUTE(D2,CHAR(160),"")," ",""),"_","")</f>
        <v>10.1002%2Fcplx.20085_Table1</v>
      </c>
      <c r="L2" s="20" t="str">
        <f t="array" ref="L2">IFERROR(INDEX(AUTO_Public_TSV_FileList!$A$1:$A$1000,MATCH(TRUE(),EXACT(K2,IFERROR(_xlfn.TEXTBEFORE(AUTO_Public_TSV_FileList!$A$1:$A$1000,".tsv"),"")),0)),"notfound")</f>
        <v>notfound</v>
      </c>
      <c r="M2" s="18" t="s">
        <v>2001</v>
      </c>
      <c r="N2" s="23" t="s">
        <v>660</v>
      </c>
      <c r="O2" s="18" t="s">
        <v>2002</v>
      </c>
      <c r="Q2" s="18"/>
      <c r="R2" s="18" t="s">
        <v>2003</v>
      </c>
      <c r="S2" s="18" t="s">
        <v>338</v>
      </c>
      <c r="T2" s="18" t="s">
        <v>339</v>
      </c>
      <c r="U2" s="18"/>
      <c r="V2" s="18" t="s">
        <v>954</v>
      </c>
      <c r="W2" s="23"/>
      <c r="X2" s="18" t="s">
        <v>2004</v>
      </c>
      <c r="Y2" s="18" t="s">
        <v>2004</v>
      </c>
      <c r="Z2" s="18"/>
      <c r="AA2" s="18"/>
      <c r="AB2" s="23" t="s">
        <v>2005</v>
      </c>
      <c r="AC2" s="18"/>
      <c r="AD2" s="18"/>
      <c r="AE2" s="23" t="s">
        <v>179</v>
      </c>
      <c r="AF2" s="23"/>
      <c r="AG2" s="21" t="s">
        <v>2006</v>
      </c>
    </row>
    <row r="3" spans="1:33" ht="15.95" customHeight="1">
      <c r="A3" s="23" t="s">
        <v>2000</v>
      </c>
      <c r="B3" s="18"/>
      <c r="C3" s="18"/>
      <c r="D3" s="23" t="s">
        <v>70</v>
      </c>
      <c r="E3" s="20" t="str">
        <f t="shared" si="0"/>
        <v>Changizi</v>
      </c>
      <c r="F3" s="20" t="str">
        <f t="shared" si="1"/>
        <v>He</v>
      </c>
      <c r="G3" s="20" t="str">
        <f t="shared" si="2"/>
        <v>2005</v>
      </c>
      <c r="H3" s="20" t="str">
        <f t="shared" si="3"/>
        <v>Changizi_He_2005</v>
      </c>
      <c r="I3" s="20" t="str">
        <f t="shared" si="4"/>
        <v>10.1002%2Fcplx.20085</v>
      </c>
      <c r="J3" s="20" t="str">
        <f t="shared" si="5"/>
        <v>Changizi_He_2005_Table2</v>
      </c>
      <c r="K3" s="20" t="str">
        <f t="shared" si="6"/>
        <v>10.1002%2Fcplx.20085_Table2</v>
      </c>
      <c r="L3" s="20" t="str">
        <f t="array" ref="L3">IFERROR(INDEX(AUTO_Public_TSV_FileList!$A$1:$A$1000,MATCH(TRUE(),EXACT(K3,IFERROR(_xlfn.TEXTBEFORE(AUTO_Public_TSV_FileList!$A$1:$A$1000,".tsv"),"")),0)),"notfound")</f>
        <v>notfound</v>
      </c>
      <c r="M3" s="18" t="s">
        <v>2007</v>
      </c>
      <c r="N3" s="23" t="s">
        <v>660</v>
      </c>
      <c r="O3" s="18" t="s">
        <v>2008</v>
      </c>
      <c r="Q3" s="18"/>
      <c r="R3" s="18" t="s">
        <v>2003</v>
      </c>
      <c r="S3" s="18" t="s">
        <v>338</v>
      </c>
      <c r="T3" s="18" t="s">
        <v>339</v>
      </c>
      <c r="U3" s="18"/>
      <c r="V3" s="18" t="s">
        <v>954</v>
      </c>
      <c r="W3" s="23"/>
      <c r="X3" s="18" t="s">
        <v>2009</v>
      </c>
      <c r="Y3" s="18" t="s">
        <v>2009</v>
      </c>
      <c r="Z3" s="18"/>
      <c r="AA3" s="18"/>
      <c r="AB3" s="23" t="s">
        <v>2005</v>
      </c>
      <c r="AC3" s="18"/>
      <c r="AD3" s="18"/>
      <c r="AE3" s="23" t="s">
        <v>179</v>
      </c>
      <c r="AF3" s="23"/>
      <c r="AG3" s="21" t="s">
        <v>2010</v>
      </c>
    </row>
    <row r="4" spans="1:33" ht="15.95" customHeight="1">
      <c r="A4" s="23" t="s">
        <v>2011</v>
      </c>
      <c r="B4" s="18"/>
      <c r="C4" s="18"/>
      <c r="D4" s="23" t="s">
        <v>81</v>
      </c>
      <c r="E4" s="19" t="str">
        <f t="shared" si="0"/>
        <v>Deaner</v>
      </c>
      <c r="F4" s="19" t="str">
        <f t="shared" si="1"/>
        <v>etal</v>
      </c>
      <c r="G4" s="19" t="str">
        <f t="shared" si="2"/>
        <v>2007</v>
      </c>
      <c r="H4" s="19" t="str">
        <f t="shared" si="3"/>
        <v>Deaner_etal_2007</v>
      </c>
      <c r="I4" s="19" t="str">
        <f t="shared" si="4"/>
        <v>10.1159%2F000102973</v>
      </c>
      <c r="J4" s="19" t="str">
        <f t="shared" si="5"/>
        <v>Deaner_etal_2007_Table1</v>
      </c>
      <c r="K4" s="19" t="str">
        <f t="shared" si="6"/>
        <v>10.1159%2F000102973_Table1</v>
      </c>
      <c r="L4" s="19" t="str">
        <f t="array" ref="L4">IFERROR(INDEX(AUTO_Public_TSV_FileList!$A$1:$A$1000,MATCH(TRUE(),EXACT(K4,IFERROR(_xlfn.TEXTBEFORE(AUTO_Public_TSV_FileList!$A$1:$A$1000,".tsv"),"")),0)),"notfound")</f>
        <v>notfound</v>
      </c>
      <c r="M4" s="18" t="s">
        <v>2012</v>
      </c>
      <c r="N4" s="23" t="s">
        <v>660</v>
      </c>
      <c r="O4" s="18" t="s">
        <v>2013</v>
      </c>
      <c r="Q4" s="18"/>
      <c r="R4" s="18" t="s">
        <v>2014</v>
      </c>
      <c r="S4" s="18" t="s">
        <v>338</v>
      </c>
      <c r="T4" s="18" t="s">
        <v>339</v>
      </c>
      <c r="U4" s="18"/>
      <c r="V4" s="18" t="s">
        <v>954</v>
      </c>
      <c r="W4" s="23" t="s">
        <v>100</v>
      </c>
      <c r="X4" s="18" t="s">
        <v>2015</v>
      </c>
      <c r="Y4" s="18" t="s">
        <v>2015</v>
      </c>
      <c r="Z4" s="18"/>
      <c r="AA4" s="18"/>
      <c r="AB4" s="23" t="s">
        <v>2016</v>
      </c>
      <c r="AC4" s="18"/>
      <c r="AD4" s="18"/>
      <c r="AE4" s="23" t="s">
        <v>179</v>
      </c>
      <c r="AF4" s="23"/>
      <c r="AG4" s="21" t="s">
        <v>2017</v>
      </c>
    </row>
    <row r="5" spans="1:33" ht="15.95" customHeight="1">
      <c r="A5" s="23" t="s">
        <v>445</v>
      </c>
      <c r="B5" s="18"/>
      <c r="C5" s="18"/>
      <c r="D5" s="23" t="s">
        <v>70</v>
      </c>
      <c r="E5" s="20" t="str">
        <f t="shared" si="0"/>
        <v>Deaner</v>
      </c>
      <c r="F5" s="20" t="str">
        <f t="shared" si="1"/>
        <v>etal</v>
      </c>
      <c r="G5" s="20" t="str">
        <f t="shared" si="2"/>
        <v>2006</v>
      </c>
      <c r="H5" s="20" t="str">
        <f t="shared" si="3"/>
        <v>Deaner_etal_2006</v>
      </c>
      <c r="I5" s="20" t="str">
        <f t="shared" si="4"/>
        <v>10.1177%2F147470490600400114</v>
      </c>
      <c r="J5" s="20" t="str">
        <f t="shared" si="5"/>
        <v>Deaner_etal_2006_Table2</v>
      </c>
      <c r="K5" s="20" t="str">
        <f t="shared" si="6"/>
        <v>10.1177%2F147470490600400114_Table2</v>
      </c>
      <c r="L5" s="20" t="str">
        <f t="array" ref="L5">IFERROR(INDEX(AUTO_Public_TSV_FileList!$A$1:$A$1000,MATCH(TRUE(),EXACT(K5,IFERROR(_xlfn.TEXTBEFORE(AUTO_Public_TSV_FileList!$A$1:$A$1000,".tsv"),"")),0)),"notfound")</f>
        <v>notfound</v>
      </c>
      <c r="M5" s="18" t="s">
        <v>2018</v>
      </c>
      <c r="N5" s="23" t="s">
        <v>660</v>
      </c>
      <c r="O5" s="18" t="s">
        <v>2019</v>
      </c>
      <c r="Q5" s="18"/>
      <c r="R5" s="18"/>
      <c r="S5" s="18" t="s">
        <v>338</v>
      </c>
      <c r="T5" s="18" t="s">
        <v>339</v>
      </c>
      <c r="U5" s="18"/>
      <c r="V5" s="18" t="s">
        <v>954</v>
      </c>
      <c r="W5" s="23" t="s">
        <v>100</v>
      </c>
      <c r="X5" s="18" t="s">
        <v>2020</v>
      </c>
      <c r="Y5" s="18" t="s">
        <v>2020</v>
      </c>
      <c r="Z5" s="18"/>
      <c r="AA5" s="18"/>
      <c r="AB5" s="23" t="s">
        <v>2021</v>
      </c>
      <c r="AC5" s="18"/>
      <c r="AD5" s="18"/>
      <c r="AE5" s="23" t="s">
        <v>179</v>
      </c>
      <c r="AF5" s="23"/>
      <c r="AG5" s="21" t="s">
        <v>2022</v>
      </c>
    </row>
    <row r="6" spans="1:33" ht="15.95" customHeight="1">
      <c r="A6" s="23" t="s">
        <v>445</v>
      </c>
      <c r="B6" s="18"/>
      <c r="C6" s="18"/>
      <c r="D6" s="23" t="s">
        <v>72</v>
      </c>
      <c r="E6" s="20" t="str">
        <f t="shared" si="0"/>
        <v>Deaner</v>
      </c>
      <c r="F6" s="20" t="str">
        <f t="shared" si="1"/>
        <v>etal</v>
      </c>
      <c r="G6" s="20" t="str">
        <f t="shared" si="2"/>
        <v>2006</v>
      </c>
      <c r="H6" s="20" t="str">
        <f t="shared" si="3"/>
        <v>Deaner_etal_2006</v>
      </c>
      <c r="I6" s="20" t="str">
        <f t="shared" si="4"/>
        <v>10.1177%2F147470490600400114</v>
      </c>
      <c r="J6" s="20" t="str">
        <f t="shared" si="5"/>
        <v>Deaner_etal_2006_Table3</v>
      </c>
      <c r="K6" s="20" t="str">
        <f t="shared" si="6"/>
        <v>10.1177%2F147470490600400114_Table3</v>
      </c>
      <c r="L6" s="20" t="str">
        <f t="array" ref="L6">IFERROR(INDEX(AUTO_Public_TSV_FileList!$A$1:$A$1000,MATCH(TRUE(),EXACT(K6,IFERROR(_xlfn.TEXTBEFORE(AUTO_Public_TSV_FileList!$A$1:$A$1000,".tsv"),"")),0)),"notfound")</f>
        <v>notfound</v>
      </c>
      <c r="M6" s="18" t="s">
        <v>2023</v>
      </c>
      <c r="N6" s="23" t="s">
        <v>660</v>
      </c>
      <c r="O6" s="18" t="s">
        <v>2024</v>
      </c>
      <c r="Q6" s="18"/>
      <c r="R6" s="18"/>
      <c r="S6" s="18" t="s">
        <v>338</v>
      </c>
      <c r="T6" s="18" t="s">
        <v>339</v>
      </c>
      <c r="U6" s="18"/>
      <c r="V6" s="18" t="s">
        <v>954</v>
      </c>
      <c r="W6" s="23" t="s">
        <v>100</v>
      </c>
      <c r="X6" s="18" t="s">
        <v>2025</v>
      </c>
      <c r="Y6" s="18" t="s">
        <v>2025</v>
      </c>
      <c r="Z6" s="18"/>
      <c r="AA6" s="18"/>
      <c r="AB6" s="23" t="s">
        <v>2026</v>
      </c>
      <c r="AC6" s="18"/>
      <c r="AD6" s="18"/>
      <c r="AE6" s="23" t="s">
        <v>179</v>
      </c>
      <c r="AF6" s="23"/>
      <c r="AG6" s="21" t="s">
        <v>2027</v>
      </c>
    </row>
    <row r="7" spans="1:33" ht="15.95" customHeight="1">
      <c r="A7" s="23" t="s">
        <v>2028</v>
      </c>
      <c r="B7" s="18"/>
      <c r="C7" s="18"/>
      <c r="D7" s="23" t="s">
        <v>81</v>
      </c>
      <c r="E7" s="20" t="str">
        <f t="shared" si="0"/>
        <v>Reader</v>
      </c>
      <c r="F7" s="20" t="str">
        <f t="shared" si="1"/>
        <v>Laland</v>
      </c>
      <c r="G7" s="20" t="str">
        <f t="shared" si="2"/>
        <v>2002</v>
      </c>
      <c r="H7" s="20" t="str">
        <f t="shared" si="3"/>
        <v>Reader_Laland_2002</v>
      </c>
      <c r="I7" s="20" t="str">
        <f t="shared" si="4"/>
        <v>10.1073%2Fpnas.062041299</v>
      </c>
      <c r="J7" s="20" t="str">
        <f t="shared" si="5"/>
        <v>Reader_Laland_2002_Table1</v>
      </c>
      <c r="K7" s="20" t="str">
        <f t="shared" si="6"/>
        <v>10.1073%2Fpnas.062041299_Table1</v>
      </c>
      <c r="L7" s="20" t="str">
        <f t="array" ref="L7">IFERROR(INDEX(AUTO_Public_TSV_FileList!$A$1:$A$1000,MATCH(TRUE(),EXACT(K7,IFERROR(_xlfn.TEXTBEFORE(AUTO_Public_TSV_FileList!$A$1:$A$1000,".tsv"),"")),0)),"notfound")</f>
        <v>notfound</v>
      </c>
      <c r="M7" s="18" t="s">
        <v>2029</v>
      </c>
      <c r="N7" s="23" t="s">
        <v>660</v>
      </c>
      <c r="O7" s="18" t="s">
        <v>2030</v>
      </c>
      <c r="Q7" s="18"/>
      <c r="R7" s="18" t="s">
        <v>2031</v>
      </c>
      <c r="S7" s="18" t="s">
        <v>338</v>
      </c>
      <c r="T7" s="18" t="s">
        <v>339</v>
      </c>
      <c r="U7" s="18"/>
      <c r="V7" s="18" t="s">
        <v>954</v>
      </c>
      <c r="W7" s="23" t="s">
        <v>100</v>
      </c>
      <c r="X7" s="18" t="s">
        <v>2032</v>
      </c>
      <c r="Y7" s="18" t="s">
        <v>2032</v>
      </c>
      <c r="Z7" s="18"/>
      <c r="AA7" s="18"/>
      <c r="AB7" s="23" t="s">
        <v>2033</v>
      </c>
      <c r="AC7" s="18"/>
      <c r="AD7" s="18"/>
      <c r="AE7" s="23" t="s">
        <v>179</v>
      </c>
      <c r="AF7" s="23"/>
      <c r="AG7" s="21" t="s">
        <v>2034</v>
      </c>
    </row>
    <row r="8" spans="1:33" ht="15.95" customHeight="1">
      <c r="A8" s="23" t="s">
        <v>2035</v>
      </c>
      <c r="B8" s="18"/>
      <c r="C8" s="18"/>
      <c r="D8" s="23" t="s">
        <v>81</v>
      </c>
      <c r="E8" s="20" t="str">
        <f t="shared" si="0"/>
        <v>Reader</v>
      </c>
      <c r="F8" s="20" t="str">
        <f t="shared" si="1"/>
        <v>etal</v>
      </c>
      <c r="G8" s="20" t="str">
        <f t="shared" si="2"/>
        <v>2011</v>
      </c>
      <c r="H8" s="20" t="str">
        <f t="shared" si="3"/>
        <v>Reader_etal_2011</v>
      </c>
      <c r="I8" s="20" t="str">
        <f t="shared" si="4"/>
        <v>10.1098%2Frstb.2010.0342</v>
      </c>
      <c r="J8" s="20" t="str">
        <f t="shared" si="5"/>
        <v>Reader_etal_2011_Table1</v>
      </c>
      <c r="K8" s="20" t="str">
        <f t="shared" si="6"/>
        <v>10.1098%2Frstb.2010.0342_Table1</v>
      </c>
      <c r="L8" s="20" t="str">
        <f t="array" ref="L8">IFERROR(INDEX(AUTO_Public_TSV_FileList!$A$1:$A$1000,MATCH(TRUE(),EXACT(K8,IFERROR(_xlfn.TEXTBEFORE(AUTO_Public_TSV_FileList!$A$1:$A$1000,".tsv"),"")),0)),"notfound")</f>
        <v>notfound</v>
      </c>
      <c r="M8" s="18" t="s">
        <v>2036</v>
      </c>
      <c r="N8" s="23" t="s">
        <v>660</v>
      </c>
      <c r="O8" s="18" t="s">
        <v>2037</v>
      </c>
      <c r="Q8" s="18"/>
      <c r="R8" s="18" t="s">
        <v>2038</v>
      </c>
      <c r="S8" s="18" t="s">
        <v>338</v>
      </c>
      <c r="T8" s="18" t="s">
        <v>339</v>
      </c>
      <c r="U8" s="18"/>
      <c r="V8" s="18" t="s">
        <v>954</v>
      </c>
      <c r="W8" s="23" t="s">
        <v>100</v>
      </c>
      <c r="X8" s="18" t="s">
        <v>2039</v>
      </c>
      <c r="Y8" s="18" t="s">
        <v>2039</v>
      </c>
      <c r="Z8" s="18"/>
      <c r="AA8" s="18"/>
      <c r="AB8" s="23" t="s">
        <v>2040</v>
      </c>
      <c r="AC8" s="18"/>
      <c r="AD8" s="18"/>
      <c r="AE8" s="23" t="s">
        <v>179</v>
      </c>
      <c r="AF8" s="23"/>
      <c r="AG8" s="21" t="s">
        <v>2041</v>
      </c>
    </row>
    <row r="9" spans="1:33" ht="15.95" customHeight="1">
      <c r="A9" s="23" t="s">
        <v>2035</v>
      </c>
      <c r="B9" s="18"/>
      <c r="C9" s="18"/>
      <c r="D9" s="23" t="s">
        <v>70</v>
      </c>
      <c r="E9" s="20" t="str">
        <f t="shared" si="0"/>
        <v>Reader</v>
      </c>
      <c r="F9" s="20" t="str">
        <f t="shared" si="1"/>
        <v>etal</v>
      </c>
      <c r="G9" s="20" t="str">
        <f t="shared" si="2"/>
        <v>2011</v>
      </c>
      <c r="H9" s="20" t="str">
        <f t="shared" si="3"/>
        <v>Reader_etal_2011</v>
      </c>
      <c r="I9" s="20" t="str">
        <f t="shared" si="4"/>
        <v>10.1098%2Frstb.2010.0342</v>
      </c>
      <c r="J9" s="20" t="str">
        <f t="shared" si="5"/>
        <v>Reader_etal_2011_Table2</v>
      </c>
      <c r="K9" s="20" t="str">
        <f t="shared" si="6"/>
        <v>10.1098%2Frstb.2010.0342_Table2</v>
      </c>
      <c r="L9" s="20" t="str">
        <f t="array" ref="L9">IFERROR(INDEX(AUTO_Public_TSV_FileList!$A$1:$A$1000,MATCH(TRUE(),EXACT(K9,IFERROR(_xlfn.TEXTBEFORE(AUTO_Public_TSV_FileList!$A$1:$A$1000,".tsv"),"")),0)),"notfound")</f>
        <v>notfound</v>
      </c>
      <c r="M9" s="18" t="s">
        <v>2042</v>
      </c>
      <c r="N9" s="23" t="s">
        <v>660</v>
      </c>
      <c r="O9" s="18" t="s">
        <v>2043</v>
      </c>
      <c r="Q9" s="18"/>
      <c r="R9" s="18" t="s">
        <v>2038</v>
      </c>
      <c r="S9" s="18" t="s">
        <v>338</v>
      </c>
      <c r="T9" s="18" t="s">
        <v>339</v>
      </c>
      <c r="U9" s="18"/>
      <c r="V9" s="18" t="s">
        <v>954</v>
      </c>
      <c r="W9" s="23" t="s">
        <v>100</v>
      </c>
      <c r="X9" s="18" t="s">
        <v>2044</v>
      </c>
      <c r="Y9" s="18" t="s">
        <v>2044</v>
      </c>
      <c r="Z9" s="18"/>
      <c r="AA9" s="18"/>
      <c r="AB9" s="23" t="s">
        <v>2040</v>
      </c>
      <c r="AC9" s="18"/>
      <c r="AD9" s="18"/>
      <c r="AE9" s="23" t="s">
        <v>179</v>
      </c>
      <c r="AF9" s="23"/>
      <c r="AG9" s="21" t="s">
        <v>2045</v>
      </c>
    </row>
    <row r="10" spans="1:33" ht="15.95" customHeight="1">
      <c r="A10" s="23" t="s">
        <v>2035</v>
      </c>
      <c r="B10" s="18"/>
      <c r="C10" s="18"/>
      <c r="D10" s="23" t="s">
        <v>72</v>
      </c>
      <c r="E10" s="20" t="str">
        <f t="shared" si="0"/>
        <v>Reader</v>
      </c>
      <c r="F10" s="20" t="str">
        <f t="shared" si="1"/>
        <v>etal</v>
      </c>
      <c r="G10" s="20" t="str">
        <f t="shared" si="2"/>
        <v>2011</v>
      </c>
      <c r="H10" s="20" t="str">
        <f t="shared" si="3"/>
        <v>Reader_etal_2011</v>
      </c>
      <c r="I10" s="20" t="str">
        <f t="shared" si="4"/>
        <v>10.1098%2Frstb.2010.0342</v>
      </c>
      <c r="J10" s="20" t="str">
        <f t="shared" si="5"/>
        <v>Reader_etal_2011_Table3</v>
      </c>
      <c r="K10" s="20" t="str">
        <f t="shared" si="6"/>
        <v>10.1098%2Frstb.2010.0342_Table3</v>
      </c>
      <c r="L10" s="20" t="str">
        <f t="array" ref="L10">IFERROR(INDEX(AUTO_Public_TSV_FileList!$A$1:$A$1000,MATCH(TRUE(),EXACT(K10,IFERROR(_xlfn.TEXTBEFORE(AUTO_Public_TSV_FileList!$A$1:$A$1000,".tsv"),"")),0)),"notfound")</f>
        <v>notfound</v>
      </c>
      <c r="M10" s="18" t="s">
        <v>2046</v>
      </c>
      <c r="N10" s="23" t="s">
        <v>660</v>
      </c>
      <c r="O10" s="18" t="s">
        <v>2047</v>
      </c>
      <c r="Q10" s="18"/>
      <c r="R10" s="18" t="s">
        <v>2038</v>
      </c>
      <c r="S10" s="18" t="s">
        <v>338</v>
      </c>
      <c r="T10" s="18" t="s">
        <v>339</v>
      </c>
      <c r="U10" s="18"/>
      <c r="V10" s="18" t="s">
        <v>954</v>
      </c>
      <c r="W10" s="23" t="s">
        <v>100</v>
      </c>
      <c r="X10" s="18" t="s">
        <v>2048</v>
      </c>
      <c r="Y10" s="18" t="s">
        <v>2048</v>
      </c>
      <c r="Z10" s="18"/>
      <c r="AA10" s="18"/>
      <c r="AB10" s="23" t="s">
        <v>2049</v>
      </c>
      <c r="AC10" s="18"/>
      <c r="AD10" s="18"/>
      <c r="AE10" s="23" t="s">
        <v>179</v>
      </c>
      <c r="AF10" s="23"/>
      <c r="AG10" s="21" t="s">
        <v>2050</v>
      </c>
    </row>
    <row r="11" spans="1:33" ht="15.95" customHeight="1">
      <c r="A11" s="23" t="s">
        <v>2035</v>
      </c>
      <c r="B11" s="18"/>
      <c r="C11" s="18"/>
      <c r="D11" s="23" t="s">
        <v>34</v>
      </c>
      <c r="E11" s="20" t="str">
        <f t="shared" si="0"/>
        <v>Reader</v>
      </c>
      <c r="F11" s="20" t="str">
        <f t="shared" si="1"/>
        <v>etal</v>
      </c>
      <c r="G11" s="20" t="str">
        <f t="shared" si="2"/>
        <v>2011</v>
      </c>
      <c r="H11" s="20" t="str">
        <f t="shared" si="3"/>
        <v>Reader_etal_2011</v>
      </c>
      <c r="I11" s="20" t="str">
        <f t="shared" si="4"/>
        <v>10.1098%2Frstb.2010.0342</v>
      </c>
      <c r="J11" s="20" t="str">
        <f t="shared" si="5"/>
        <v>Reader_etal_2011_Table4</v>
      </c>
      <c r="K11" s="20" t="str">
        <f t="shared" si="6"/>
        <v>10.1098%2Frstb.2010.0342_Table4</v>
      </c>
      <c r="L11" s="20" t="str">
        <f t="array" ref="L11">IFERROR(INDEX(AUTO_Public_TSV_FileList!$A$1:$A$1000,MATCH(TRUE(),EXACT(K11,IFERROR(_xlfn.TEXTBEFORE(AUTO_Public_TSV_FileList!$A$1:$A$1000,".tsv"),"")),0)),"notfound")</f>
        <v>notfound</v>
      </c>
      <c r="M11" s="18" t="s">
        <v>2051</v>
      </c>
      <c r="N11" s="23" t="s">
        <v>660</v>
      </c>
      <c r="O11" s="18" t="s">
        <v>2052</v>
      </c>
      <c r="Q11" s="18"/>
      <c r="R11" s="18" t="s">
        <v>2038</v>
      </c>
      <c r="S11" s="18" t="s">
        <v>338</v>
      </c>
      <c r="T11" s="18" t="s">
        <v>339</v>
      </c>
      <c r="U11" s="18"/>
      <c r="V11" s="18" t="s">
        <v>954</v>
      </c>
      <c r="W11" s="23" t="s">
        <v>100</v>
      </c>
      <c r="X11" s="18" t="s">
        <v>2053</v>
      </c>
      <c r="Y11" s="18" t="s">
        <v>2053</v>
      </c>
      <c r="Z11" s="18"/>
      <c r="AA11" s="18"/>
      <c r="AB11" s="23" t="s">
        <v>2016</v>
      </c>
      <c r="AC11" s="18"/>
      <c r="AD11" s="18"/>
      <c r="AE11" s="23" t="s">
        <v>179</v>
      </c>
      <c r="AF11" s="23"/>
      <c r="AG11" s="21" t="s">
        <v>2054</v>
      </c>
    </row>
    <row r="12" spans="1:33" ht="15.95" customHeight="1">
      <c r="A12" s="23" t="s">
        <v>2055</v>
      </c>
      <c r="B12" s="18"/>
      <c r="C12" s="18"/>
      <c r="D12" s="23" t="s">
        <v>81</v>
      </c>
      <c r="E12" s="20" t="str">
        <f t="shared" si="0"/>
        <v>Shultz</v>
      </c>
      <c r="F12" s="20" t="str">
        <f t="shared" si="1"/>
        <v>Dunbar</v>
      </c>
      <c r="G12" s="20" t="str">
        <f t="shared" si="2"/>
        <v>2010</v>
      </c>
      <c r="H12" s="20" t="str">
        <f t="shared" si="3"/>
        <v>Shultz_Dunbar_2010</v>
      </c>
      <c r="I12" s="20" t="str">
        <f t="shared" si="4"/>
        <v>10.1037%2Fa0018894</v>
      </c>
      <c r="J12" s="20" t="str">
        <f t="shared" si="5"/>
        <v>Shultz_Dunbar_2010_Table1</v>
      </c>
      <c r="K12" s="20" t="str">
        <f t="shared" si="6"/>
        <v>10.1037%2Fa0018894_Table1</v>
      </c>
      <c r="L12" s="20" t="str">
        <f t="array" ref="L12">IFERROR(INDEX(AUTO_Public_TSV_FileList!$A$1:$A$1000,MATCH(TRUE(),EXACT(K12,IFERROR(_xlfn.TEXTBEFORE(AUTO_Public_TSV_FileList!$A$1:$A$1000,".tsv"),"")),0)),"notfound")</f>
        <v>notfound</v>
      </c>
      <c r="M12" s="18" t="s">
        <v>2056</v>
      </c>
      <c r="N12" s="23" t="s">
        <v>660</v>
      </c>
      <c r="O12" s="18" t="s">
        <v>2057</v>
      </c>
      <c r="Q12" s="18"/>
      <c r="R12" s="18" t="s">
        <v>2058</v>
      </c>
      <c r="S12" s="18" t="s">
        <v>338</v>
      </c>
      <c r="T12" s="18" t="s">
        <v>339</v>
      </c>
      <c r="U12" s="18"/>
      <c r="V12" s="18" t="s">
        <v>954</v>
      </c>
      <c r="W12" s="23" t="s">
        <v>100</v>
      </c>
      <c r="X12" s="18" t="s">
        <v>2059</v>
      </c>
      <c r="Y12" s="18" t="s">
        <v>2059</v>
      </c>
      <c r="Z12" s="18"/>
      <c r="AA12" s="18"/>
      <c r="AB12" s="23" t="s">
        <v>2060</v>
      </c>
      <c r="AC12" s="18"/>
      <c r="AD12" s="18"/>
      <c r="AE12" s="23" t="s">
        <v>179</v>
      </c>
      <c r="AF12" s="23"/>
      <c r="AG12" s="21" t="s">
        <v>2061</v>
      </c>
    </row>
    <row r="13" spans="1:33" ht="15.95" customHeight="1">
      <c r="A13" s="23" t="s">
        <v>2055</v>
      </c>
      <c r="B13" s="18"/>
      <c r="C13" s="18"/>
      <c r="D13" s="23" t="s">
        <v>70</v>
      </c>
      <c r="E13" s="20" t="str">
        <f t="shared" si="0"/>
        <v>Shultz</v>
      </c>
      <c r="F13" s="20" t="str">
        <f t="shared" si="1"/>
        <v>Dunbar</v>
      </c>
      <c r="G13" s="20" t="str">
        <f t="shared" si="2"/>
        <v>2010</v>
      </c>
      <c r="H13" s="20" t="str">
        <f t="shared" si="3"/>
        <v>Shultz_Dunbar_2010</v>
      </c>
      <c r="I13" s="20" t="str">
        <f t="shared" si="4"/>
        <v>10.1037%2Fa0018894</v>
      </c>
      <c r="J13" s="20" t="str">
        <f t="shared" si="5"/>
        <v>Shultz_Dunbar_2010_Table2</v>
      </c>
      <c r="K13" s="20" t="str">
        <f t="shared" si="6"/>
        <v>10.1037%2Fa0018894_Table2</v>
      </c>
      <c r="L13" s="20" t="str">
        <f t="array" ref="L13">IFERROR(INDEX(AUTO_Public_TSV_FileList!$A$1:$A$1000,MATCH(TRUE(),EXACT(K13,IFERROR(_xlfn.TEXTBEFORE(AUTO_Public_TSV_FileList!$A$1:$A$1000,".tsv"),"")),0)),"notfound")</f>
        <v>notfound</v>
      </c>
      <c r="M13" s="18" t="s">
        <v>2062</v>
      </c>
      <c r="N13" s="23" t="s">
        <v>660</v>
      </c>
      <c r="O13" s="18" t="s">
        <v>2063</v>
      </c>
      <c r="Q13" s="18"/>
      <c r="R13" s="18" t="s">
        <v>2058</v>
      </c>
      <c r="S13" s="18" t="s">
        <v>338</v>
      </c>
      <c r="T13" s="18" t="s">
        <v>339</v>
      </c>
      <c r="U13" s="18"/>
      <c r="V13" s="18" t="s">
        <v>954</v>
      </c>
      <c r="W13" s="23" t="s">
        <v>100</v>
      </c>
      <c r="X13" s="18" t="s">
        <v>2064</v>
      </c>
      <c r="Y13" s="18" t="s">
        <v>2064</v>
      </c>
      <c r="Z13" s="18"/>
      <c r="AA13" s="18"/>
      <c r="AB13" s="23" t="s">
        <v>2065</v>
      </c>
      <c r="AC13" s="18"/>
      <c r="AD13" s="18"/>
      <c r="AE13" s="23" t="s">
        <v>179</v>
      </c>
      <c r="AF13" s="23"/>
      <c r="AG13" s="21" t="s">
        <v>2066</v>
      </c>
    </row>
    <row r="14" spans="1:33" ht="15.95" customHeight="1">
      <c r="A14" s="23" t="s">
        <v>2055</v>
      </c>
      <c r="B14" s="18"/>
      <c r="C14" s="18"/>
      <c r="D14" s="23" t="s">
        <v>72</v>
      </c>
      <c r="E14" s="20" t="str">
        <f t="shared" si="0"/>
        <v>Shultz</v>
      </c>
      <c r="F14" s="20" t="str">
        <f t="shared" si="1"/>
        <v>Dunbar</v>
      </c>
      <c r="G14" s="20" t="str">
        <f t="shared" si="2"/>
        <v>2010</v>
      </c>
      <c r="H14" s="20" t="str">
        <f t="shared" si="3"/>
        <v>Shultz_Dunbar_2010</v>
      </c>
      <c r="I14" s="20" t="str">
        <f t="shared" si="4"/>
        <v>10.1037%2Fa0018894</v>
      </c>
      <c r="J14" s="20" t="str">
        <f t="shared" si="5"/>
        <v>Shultz_Dunbar_2010_Table3</v>
      </c>
      <c r="K14" s="20" t="str">
        <f t="shared" si="6"/>
        <v>10.1037%2Fa0018894_Table3</v>
      </c>
      <c r="L14" s="20" t="str">
        <f t="array" ref="L14">IFERROR(INDEX(AUTO_Public_TSV_FileList!$A$1:$A$1000,MATCH(TRUE(),EXACT(K14,IFERROR(_xlfn.TEXTBEFORE(AUTO_Public_TSV_FileList!$A$1:$A$1000,".tsv"),"")),0)),"notfound")</f>
        <v>notfound</v>
      </c>
      <c r="M14" s="18" t="s">
        <v>2067</v>
      </c>
      <c r="N14" s="23" t="s">
        <v>660</v>
      </c>
      <c r="O14" s="18" t="s">
        <v>2063</v>
      </c>
      <c r="Q14" s="18"/>
      <c r="R14" s="18" t="s">
        <v>2058</v>
      </c>
      <c r="S14" s="18" t="s">
        <v>338</v>
      </c>
      <c r="T14" s="18" t="s">
        <v>339</v>
      </c>
      <c r="U14" s="18"/>
      <c r="V14" s="18" t="s">
        <v>954</v>
      </c>
      <c r="W14" s="23" t="s">
        <v>100</v>
      </c>
      <c r="X14" s="18" t="s">
        <v>2068</v>
      </c>
      <c r="Y14" s="18" t="s">
        <v>2068</v>
      </c>
      <c r="Z14" s="18"/>
      <c r="AA14" s="18"/>
      <c r="AB14" s="23" t="s">
        <v>2069</v>
      </c>
      <c r="AC14" s="18"/>
      <c r="AD14" s="18"/>
      <c r="AE14" s="23" t="s">
        <v>179</v>
      </c>
      <c r="AF14" s="23"/>
      <c r="AG14" s="21" t="s">
        <v>2070</v>
      </c>
    </row>
    <row r="15" spans="1:33" ht="15.95" customHeight="1">
      <c r="A15" s="23" t="s">
        <v>2055</v>
      </c>
      <c r="B15" s="18"/>
      <c r="C15" s="18"/>
      <c r="D15" s="23" t="s">
        <v>34</v>
      </c>
      <c r="E15" s="20" t="str">
        <f t="shared" si="0"/>
        <v>Shultz</v>
      </c>
      <c r="F15" s="20" t="str">
        <f t="shared" si="1"/>
        <v>Dunbar</v>
      </c>
      <c r="G15" s="20" t="str">
        <f t="shared" si="2"/>
        <v>2010</v>
      </c>
      <c r="H15" s="20" t="str">
        <f t="shared" si="3"/>
        <v>Shultz_Dunbar_2010</v>
      </c>
      <c r="I15" s="20" t="str">
        <f t="shared" si="4"/>
        <v>10.1037%2Fa0018894</v>
      </c>
      <c r="J15" s="20" t="str">
        <f t="shared" si="5"/>
        <v>Shultz_Dunbar_2010_Table4</v>
      </c>
      <c r="K15" s="20" t="str">
        <f t="shared" si="6"/>
        <v>10.1037%2Fa0018894_Table4</v>
      </c>
      <c r="L15" s="20" t="str">
        <f t="array" ref="L15">IFERROR(INDEX(AUTO_Public_TSV_FileList!$A$1:$A$1000,MATCH(TRUE(),EXACT(K15,IFERROR(_xlfn.TEXTBEFORE(AUTO_Public_TSV_FileList!$A$1:$A$1000,".tsv"),"")),0)),"notfound")</f>
        <v>notfound</v>
      </c>
      <c r="M15" s="18" t="s">
        <v>2071</v>
      </c>
      <c r="N15" s="23" t="s">
        <v>660</v>
      </c>
      <c r="O15" s="18" t="s">
        <v>2072</v>
      </c>
      <c r="Q15" s="18"/>
      <c r="R15" s="18" t="s">
        <v>2058</v>
      </c>
      <c r="S15" s="18" t="s">
        <v>338</v>
      </c>
      <c r="T15" s="18" t="s">
        <v>339</v>
      </c>
      <c r="U15" s="18"/>
      <c r="V15" s="18" t="s">
        <v>954</v>
      </c>
      <c r="W15" s="23" t="s">
        <v>100</v>
      </c>
      <c r="X15" s="18" t="s">
        <v>2073</v>
      </c>
      <c r="Y15" s="18" t="s">
        <v>2073</v>
      </c>
      <c r="Z15" s="18"/>
      <c r="AA15" s="18"/>
      <c r="AB15" s="23" t="s">
        <v>2049</v>
      </c>
      <c r="AC15" s="18"/>
      <c r="AD15" s="18"/>
      <c r="AE15" s="23" t="s">
        <v>179</v>
      </c>
      <c r="AF15" s="23"/>
      <c r="AG15" s="21" t="s">
        <v>2070</v>
      </c>
    </row>
    <row r="16" spans="1:33" ht="15.95" customHeight="1">
      <c r="A16" s="23" t="s">
        <v>2055</v>
      </c>
      <c r="B16" s="18"/>
      <c r="C16" s="18"/>
      <c r="D16" s="23" t="s">
        <v>74</v>
      </c>
      <c r="E16" s="20" t="str">
        <f t="shared" si="0"/>
        <v>Shultz</v>
      </c>
      <c r="F16" s="20" t="str">
        <f t="shared" si="1"/>
        <v>Dunbar</v>
      </c>
      <c r="G16" s="20" t="str">
        <f t="shared" si="2"/>
        <v>2010</v>
      </c>
      <c r="H16" s="20" t="str">
        <f t="shared" si="3"/>
        <v>Shultz_Dunbar_2010</v>
      </c>
      <c r="I16" s="20" t="str">
        <f t="shared" si="4"/>
        <v>10.1037%2Fa0018894</v>
      </c>
      <c r="J16" s="20" t="str">
        <f t="shared" si="5"/>
        <v>Shultz_Dunbar_2010_Table5</v>
      </c>
      <c r="K16" s="20" t="str">
        <f t="shared" si="6"/>
        <v>10.1037%2Fa0018894_Table5</v>
      </c>
      <c r="L16" s="20" t="str">
        <f t="array" ref="L16">IFERROR(INDEX(AUTO_Public_TSV_FileList!$A$1:$A$1000,MATCH(TRUE(),EXACT(K16,IFERROR(_xlfn.TEXTBEFORE(AUTO_Public_TSV_FileList!$A$1:$A$1000,".tsv"),"")),0)),"notfound")</f>
        <v>notfound</v>
      </c>
      <c r="M16" s="18" t="s">
        <v>2074</v>
      </c>
      <c r="N16" s="23" t="s">
        <v>660</v>
      </c>
      <c r="O16" s="18" t="s">
        <v>2075</v>
      </c>
      <c r="Q16" s="18"/>
      <c r="R16" s="18" t="s">
        <v>2058</v>
      </c>
      <c r="S16" s="18" t="s">
        <v>338</v>
      </c>
      <c r="T16" s="18" t="s">
        <v>339</v>
      </c>
      <c r="U16" s="18"/>
      <c r="V16" s="18" t="s">
        <v>954</v>
      </c>
      <c r="W16" s="23" t="s">
        <v>100</v>
      </c>
      <c r="X16" s="18" t="s">
        <v>2073</v>
      </c>
      <c r="Y16" s="18" t="s">
        <v>2073</v>
      </c>
      <c r="Z16" s="18"/>
      <c r="AA16" s="18"/>
      <c r="AB16" s="23" t="s">
        <v>2076</v>
      </c>
      <c r="AC16" s="18"/>
      <c r="AD16" s="18"/>
      <c r="AE16" s="23" t="s">
        <v>179</v>
      </c>
      <c r="AF16" s="23"/>
      <c r="AG16" s="21" t="s">
        <v>2077</v>
      </c>
    </row>
    <row r="17" spans="1:16" ht="15.95" customHeight="1">
      <c r="A17" s="22" t="s">
        <v>2078</v>
      </c>
      <c r="C17" s="22"/>
      <c r="D17" s="22"/>
      <c r="E17" s="13" t="str">
        <f t="shared" si="0"/>
        <v>Weaver</v>
      </c>
      <c r="F17" s="13" t="str">
        <f t="shared" si="1"/>
        <v/>
      </c>
      <c r="G17" s="13" t="str">
        <f t="shared" si="2"/>
        <v>2005</v>
      </c>
      <c r="H17" s="13" t="str">
        <f t="shared" si="3"/>
        <v>Weaver__2005</v>
      </c>
      <c r="I17" s="13" t="str">
        <f t="shared" si="4"/>
        <v>10.1073%2Fpnas.0500692102</v>
      </c>
      <c r="J17" s="13" t="str">
        <f t="shared" si="5"/>
        <v>Weaver__2005_</v>
      </c>
      <c r="K17" s="13" t="str">
        <f t="shared" si="6"/>
        <v>10.1073%2Fpnas.0500692102_</v>
      </c>
      <c r="L17" s="13" t="str">
        <f t="array" ref="L17">IFERROR(INDEX(AUTO_Public_TSV_FileList!$A$1:$A$1000,MATCH(TRUE(),EXACT(K17,IFERROR(_xlfn.TEXTBEFORE(AUTO_Public_TSV_FileList!$A$1:$A$1000,".tsv"),"")),0)),"notfound")</f>
        <v>notfound</v>
      </c>
      <c r="M17" s="22"/>
      <c r="O17" s="22" t="s">
        <v>2079</v>
      </c>
      <c r="P17" s="21"/>
    </row>
    <row r="18" spans="1:16" ht="15.95" customHeight="1">
      <c r="A18" t="s">
        <v>2080</v>
      </c>
      <c r="E18" s="13" t="str">
        <f t="shared" ref="E18:E20" si="7">SUBSTITUTE(SUBSTITUTE(_xlfn.TEXTBEFORE(A18,","), "-", ""), " ", "")</f>
        <v>Smaers</v>
      </c>
      <c r="F18" s="13" t="str">
        <f t="shared" ref="F18:F20" si="8">_xlfn.LET(
_xlpm.authors,_xlfn.TEXTBEFORE(A18," ("&amp;G18&amp;")"),
_xlpm.hasAmp,ISNUMBER(SEARCH("&amp;",_xlpm.authors)),
_xlpm.commasBeforeAmp,IF(_xlpm.hasAmp,LEN(_xlfn.TEXTBEFORE(_xlpm.authors,"&amp;"))-LEN(SUBSTITUTE(_xlfn.TEXTBEFORE(_xlpm.authors,"&amp;"),",","")),0),
IF(NOT(_xlpm.hasAmp),"",IF(_xlpm.commasBeforeAmp&gt;2,"etal",TRIM(_xlfn.TEXTBEFORE(_xlfn.TEXTAFTER(_xlpm.authors,"&amp; "),","))))
)</f>
        <v>etal</v>
      </c>
      <c r="G18" s="13" t="str">
        <f t="shared" ref="G18:G20" si="9">_xlfn.TEXTBEFORE(_xlfn.TEXTAFTER(A18, "("), ")")</f>
        <v>2012</v>
      </c>
      <c r="H18" s="13" t="str">
        <f t="shared" ref="H18:H20" si="10">E18 &amp; IF(F18&lt;&gt;"", "_" &amp; F18, "_") &amp; IF(G18&lt;&gt;"", "_" &amp; G18, "_") &amp; IF(B18&lt;&gt;"", "_" &amp; B18, "")</f>
        <v>Smaers_etal_2012</v>
      </c>
      <c r="I18" s="13" t="str">
        <f t="shared" ref="I18:I20" si="11">_xlfn.LET(
_xlpm.doi,IF(C18&lt;&gt;"",C18,_xlfn.TEXTAFTER(A18,"https://doi.org/")),
SUBSTITUTE(
SUBSTITUTE(
SUBSTITUTE(
SUBSTITUTE(
_xlpm.doi,
"/","%2F"),
":","%3A"),
"&lt;","%3C"),
"&gt;","%3E")
)</f>
        <v>10.1159%2F000336115</v>
      </c>
      <c r="J18" s="13" t="str">
        <f t="shared" ref="J18:J20" si="12">TRIM(_xlfn.TEXTJOIN("_",FALSE(),H18,(SUBSTITUTE(SUBSTITUTE(D18," ",""), "_", ""))))</f>
        <v>Smaers_etal_2012_</v>
      </c>
      <c r="K18" s="13" t="str">
        <f t="shared" ref="K18:K20" si="13">I18 &amp; "_" &amp; SUBSTITUTE(SUBSTITUTE(SUBSTITUTE(D18,CHAR(160),"")," ",""),"_","")</f>
        <v>10.1159%2F000336115_</v>
      </c>
      <c r="L18" s="13" t="str">
        <f t="array" ref="L18">IFERROR(INDEX(AUTO_Public_TSV_FileList!$A$1:$A$1000,MATCH(TRUE(),EXACT(K18,IFERROR(_xlfn.TEXTBEFORE(AUTO_Public_TSV_FileList!$A$1:$A$1000,".tsv"),"")),0)),"notfound")</f>
        <v>notfound</v>
      </c>
      <c r="O18" s="22" t="s">
        <v>2079</v>
      </c>
    </row>
    <row r="19" spans="1:16" ht="15.95" customHeight="1">
      <c r="A19" t="s">
        <v>2081</v>
      </c>
      <c r="E19" s="13" t="str">
        <f t="shared" si="7"/>
        <v>Armstrong</v>
      </c>
      <c r="F19" s="13" t="str">
        <f t="shared" si="8"/>
        <v>etal</v>
      </c>
      <c r="G19" s="13" t="str">
        <f t="shared" si="9"/>
        <v>1986</v>
      </c>
      <c r="H19" s="13" t="str">
        <f t="shared" si="10"/>
        <v>Armstrong_etal_1986</v>
      </c>
      <c r="I19" s="13" t="e">
        <f t="shared" si="11"/>
        <v>#N/A</v>
      </c>
      <c r="J19" s="13" t="str">
        <f t="shared" si="12"/>
        <v>Armstrong_etal_1986_</v>
      </c>
      <c r="K19" s="13" t="e">
        <f t="shared" si="13"/>
        <v>#N/A</v>
      </c>
      <c r="L19" s="13" t="str">
        <f t="array" ref="L19">IFERROR(INDEX(AUTO_Public_TSV_FileList!$A$1:$A$1000,MATCH(TRUE(),EXACT(K19,IFERROR(_xlfn.TEXTBEFORE(AUTO_Public_TSV_FileList!$A$1:$A$1000,".tsv"),"")),0)),"notfound")</f>
        <v>notfound</v>
      </c>
      <c r="O19" s="22" t="s">
        <v>2079</v>
      </c>
    </row>
    <row r="20" spans="1:16" ht="15.95" customHeight="1">
      <c r="A20" t="s">
        <v>2082</v>
      </c>
      <c r="E20" s="13" t="str">
        <f t="shared" si="7"/>
        <v>Pirlot</v>
      </c>
      <c r="F20" s="13" t="str">
        <f t="shared" si="8"/>
        <v/>
      </c>
      <c r="G20" s="13" t="str">
        <f t="shared" si="9"/>
        <v>1987</v>
      </c>
      <c r="H20" s="13" t="str">
        <f t="shared" si="10"/>
        <v>Pirlot__1987</v>
      </c>
      <c r="I20" s="13" t="e">
        <f t="shared" si="11"/>
        <v>#N/A</v>
      </c>
      <c r="J20" s="13" t="str">
        <f t="shared" si="12"/>
        <v>Pirlot__1987_</v>
      </c>
      <c r="K20" s="13" t="e">
        <f t="shared" si="13"/>
        <v>#N/A</v>
      </c>
      <c r="L20" s="13" t="str">
        <f t="array" ref="L20">IFERROR(INDEX(AUTO_Public_TSV_FileList!$A$1:$A$1000,MATCH(TRUE(),EXACT(K20,IFERROR(_xlfn.TEXTBEFORE(AUTO_Public_TSV_FileList!$A$1:$A$1000,".tsv"),"")),0)),"notfound")</f>
        <v>notfound</v>
      </c>
      <c r="O20" s="24" t="s">
        <v>2083</v>
      </c>
    </row>
    <row r="21" spans="1:16" ht="15.95" customHeight="1">
      <c r="A21" t="s">
        <v>2084</v>
      </c>
      <c r="E21" s="12" t="str">
        <f>SUBSTITUTE(SUBSTITUTE(_xlfn.TEXTBEFORE(A21,","), "-", ""), " ", "")</f>
        <v>Kamiya</v>
      </c>
      <c r="F21" s="13" t="str">
        <f t="array" ref="F21">_xlfn.LET(
 _xlpm.authors,_xlfn.TEXTBEFORE(A21," ("&amp;G21&amp;")"),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Pirlot</v>
      </c>
      <c r="G21" s="13" t="str">
        <f>_xlfn.TEXTBEFORE(_xlfn.TEXTAFTER(A21, "("), ")")</f>
        <v>1988</v>
      </c>
      <c r="H21" s="12" t="str">
        <f>E21 &amp; IF(F21&lt;&gt;"", "_" &amp; F21, "_") &amp; IF(G21&lt;&gt;"", "_" &amp; G21, "_") &amp; IF(B21&lt;&gt;"", "_" &amp; B21, "")</f>
        <v>Kamiya_Pirlot_1988</v>
      </c>
      <c r="I21" s="12" t="str">
        <f>_xlfn.LET(_xlpm.doi,IF(C21&lt;&gt;"",C21,_xlfn.TEXTAFTER(A21,"https://doi.org/")),SUBSTITUTE(SUBSTITUTE(SUBSTITUTE(SUBSTITUTE(_xlpm.doi,"/","%2F"),":","%3A"),"&lt;","%3C"),"&gt;","%3E"))</f>
        <v>10.1111%2Fj.1439-0469.1988.tb00312.x</v>
      </c>
      <c r="J21" s="12" t="str">
        <f>TRIM(_xlfn.TEXTJOIN("_",FALSE(),H21,(SUBSTITUTE(SUBSTITUTE(D21," ",""), "_", ""))))</f>
        <v>Kamiya_Pirlot_1988_</v>
      </c>
      <c r="K21" s="13" t="str">
        <f>I21 &amp; "_" &amp; SUBSTITUTE(SUBSTITUTE(SUBSTITUTE(D21,CHAR(160),"")," ",""),"_","")</f>
        <v>10.1111%2Fj.1439-0469.1988.tb00312.x_</v>
      </c>
      <c r="L21" s="13" t="str">
        <f t="array" ref="L21">IFERROR(INDEX(AUTO_Public_TSV_FileList!$A$1:$A$1000,MATCH(TRUE(),EXACT(K21,IFERROR(_xlfn.TEXTBEFORE(AUTO_Public_TSV_FileList!$A$1:$A$1000,".tsv"),"")),0)),"notfound")</f>
        <v>notfound</v>
      </c>
      <c r="O21" s="24" t="s">
        <v>2083</v>
      </c>
    </row>
    <row r="22" spans="1:16" ht="15.95" customHeight="1">
      <c r="A22" t="s">
        <v>2085</v>
      </c>
      <c r="E22" s="12" t="str">
        <f>SUBSTITUTE(SUBSTITUTE(_xlfn.TEXTBEFORE(A22,","), "-", ""), " ", "")</f>
        <v>Pirlot</v>
      </c>
      <c r="F22" s="13" t="str">
        <f t="array" ref="F22">_xlfn.LET(
 _xlpm.authors,_xlfn.TEXTBEFORE(A22," ("&amp;G22&amp;")"),
 _xlpm.hasAmp,ISNUMBER(SEARCH("&amp;",_xlpm.authors)),
 _xlpm.hasEllipsis,ISNUMBER(SEARCH(_xlfn.UNICHAR(8230),_xlpm.authors)),
 _xlpm.commasBeforeAmp,IF(
   _xlpm.hasAmp,
   LEN(_xlfn.TEXTBEFORE(_xlpm.authors,"&amp;"))-LEN(SUBSTITUTE(_xlfn.TEXTBEFORE(_xlpm.authors,"&amp;"),",","")),
   0
 ),
 IF(
   _xlpm.hasEllipsis,
   "etal",
   IF(
     NOT(_xlpm.hasAmp),
     "",
     IF(
       _xlpm.commasBeforeAmp&gt;2,
       "etal",
       TRIM(_xlfn.TEXTBEFORE(_xlfn.TEXTAFTER(_xlpm.authors,"&amp; "),","))
     )
   )
 )
)</f>
        <v/>
      </c>
      <c r="G22" s="13" t="str">
        <f>_xlfn.TEXTBEFORE(_xlfn.TEXTAFTER(A22, "("), ")")</f>
        <v>1974</v>
      </c>
      <c r="H22" s="12" t="str">
        <f>E22 &amp; IF(F22&lt;&gt;"", "_" &amp; F22, "_") &amp; IF(G22&lt;&gt;"", "_" &amp; G22, "_") &amp; IF(B22&lt;&gt;"", "_" &amp; B22, "")</f>
        <v>Pirlot__1974</v>
      </c>
      <c r="I22" s="12" t="str">
        <f>_xlfn.LET(_xlpm.doi,IF(C22&lt;&gt;"",C22,_xlfn.TEXTAFTER(A22,"https://doi.org/")),SUBSTITUTE(SUBSTITUTE(SUBSTITUTE(SUBSTITUTE(_xlpm.doi,"/","%2F"),":","%3A"),"&lt;","%3C"),"&gt;","%3E"))</f>
        <v>10.1111%2Fj.1439-0469.1974.tb00162.x</v>
      </c>
      <c r="J22" s="12" t="str">
        <f>TRIM(_xlfn.TEXTJOIN("_",FALSE(),H22,(SUBSTITUTE(SUBSTITUTE(D22," ",""), "_", ""))))</f>
        <v>Pirlot__1974_</v>
      </c>
      <c r="K22" s="13" t="str">
        <f>I22 &amp; "_" &amp; SUBSTITUTE(SUBSTITUTE(SUBSTITUTE(D22,CHAR(160),"")," ",""),"_","")</f>
        <v>10.1111%2Fj.1439-0469.1974.tb00162.x_</v>
      </c>
      <c r="L22" s="13" t="str">
        <f t="array" ref="L22">IFERROR(INDEX(AUTO_Public_TSV_FileList!$A$1:$A$1000,MATCH(TRUE(),EXACT(K22,IFERROR(_xlfn.TEXTBEFORE(AUTO_Public_TSV_FileList!$A$1:$A$1000,".tsv"),"")),0)),"notfound")</f>
        <v>notfound</v>
      </c>
      <c r="O22" s="24" t="s">
        <v>2086</v>
      </c>
    </row>
    <row r="23" spans="1:16" ht="15.95" customHeight="1">
      <c r="A23" t="s">
        <v>2087</v>
      </c>
      <c r="E23" s="13" t="str">
        <f t="shared" ref="E23" si="14">SUBSTITUTE(SUBSTITUTE(_xlfn.TEXTBEFORE(A23,","), "-", ""), " ", "")</f>
        <v>Jolicoeur</v>
      </c>
      <c r="F23" s="13" t="str">
        <f t="shared" ref="F23" si="15">_xlfn.LET(
_xlpm.authors,_xlfn.TEXTBEFORE(A23," ("&amp;G23&amp;")"),
_xlpm.hasAmp,ISNUMBER(SEARCH("&amp;",_xlpm.authors)),
_xlpm.commasBeforeAmp,IF(_xlpm.hasAmp,LEN(_xlfn.TEXTBEFORE(_xlpm.authors,"&amp;"))-LEN(SUBSTITUTE(_xlfn.TEXTBEFORE(_xlpm.authors,"&amp;"),",","")),0),
IF(NOT(_xlpm.hasAmp),"",IF(_xlpm.commasBeforeAmp&gt;2,"etal",TRIM(_xlfn.TEXTBEFORE(_xlfn.TEXTAFTER(_xlpm.authors,"&amp; "),","))))
)</f>
        <v>etal</v>
      </c>
      <c r="G23" s="13" t="str">
        <f t="shared" ref="G23" si="16">_xlfn.TEXTBEFORE(_xlfn.TEXTAFTER(A23, "("), ")")</f>
        <v>1984</v>
      </c>
      <c r="H23" s="13" t="str">
        <f t="shared" ref="H23" si="17">E23 &amp; IF(F23&lt;&gt;"", "_" &amp; F23, "_") &amp; IF(G23&lt;&gt;"", "_" &amp; G23, "_") &amp; IF(B23&lt;&gt;"", "_" &amp; B23, "")</f>
        <v>Jolicoeur_etal_1984</v>
      </c>
      <c r="I23" s="13" t="e">
        <f t="shared" ref="I23" si="18">_xlfn.LET(
_xlpm.doi,IF(C23&lt;&gt;"",C23,_xlfn.TEXTAFTER(A23,"https://doi.org/")),
SUBSTITUTE(
SUBSTITUTE(
SUBSTITUTE(
SUBSTITUTE(
_xlpm.doi,
"/","%2F"),
":","%3A"),
"&lt;","%3C"),
"&gt;","%3E")
)</f>
        <v>#N/A</v>
      </c>
      <c r="J23" s="13" t="str">
        <f t="shared" ref="J23" si="19">TRIM(_xlfn.TEXTJOIN("_",FALSE(),H23,(SUBSTITUTE(SUBSTITUTE(D23," ",""), "_", ""))))</f>
        <v>Jolicoeur_etal_1984_</v>
      </c>
      <c r="K23" s="13" t="e">
        <f t="shared" ref="K23" si="20">I23 &amp; "_" &amp; SUBSTITUTE(SUBSTITUTE(SUBSTITUTE(D23,CHAR(160),"")," ",""),"_","")</f>
        <v>#N/A</v>
      </c>
      <c r="L23" s="13" t="str">
        <f t="array" ref="L23">IFERROR(INDEX(AUTO_Public_TSV_FileList!$A$1:$A$1000,MATCH(TRUE(),EXACT(K23,IFERROR(_xlfn.TEXTBEFORE(AUTO_Public_TSV_FileList!$A$1:$A$1000,".tsv"),"")),0)),"notfound")</f>
        <v>notfound</v>
      </c>
      <c r="O23" s="24" t="s">
        <v>2083</v>
      </c>
    </row>
  </sheetData>
  <pageMargins left="0.7" right="0.7" top="0.75" bottom="0.75" header="0.3" footer="0.3"/>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03"/>
  <sheetViews>
    <sheetView workbookViewId="0"/>
  </sheetViews>
  <sheetFormatPr defaultColWidth="11.42578125" defaultRowHeight="12.95"/>
  <sheetData>
    <row r="1" spans="1:1">
      <c r="A1" t="s">
        <v>2088</v>
      </c>
    </row>
    <row r="2" spans="1:1">
      <c r="A2" t="s">
        <v>2089</v>
      </c>
    </row>
    <row r="3" spans="1:1">
      <c r="A3" t="s">
        <v>2090</v>
      </c>
    </row>
    <row r="4" spans="1:1">
      <c r="A4" t="s">
        <v>2091</v>
      </c>
    </row>
    <row r="5" spans="1:1">
      <c r="A5" t="s">
        <v>2092</v>
      </c>
    </row>
    <row r="6" spans="1:1">
      <c r="A6" t="s">
        <v>2093</v>
      </c>
    </row>
    <row r="7" spans="1:1">
      <c r="A7" t="s">
        <v>2094</v>
      </c>
    </row>
    <row r="8" spans="1:1">
      <c r="A8" t="s">
        <v>2095</v>
      </c>
    </row>
    <row r="9" spans="1:1">
      <c r="A9" t="s">
        <v>2096</v>
      </c>
    </row>
    <row r="10" spans="1:1">
      <c r="A10" t="s">
        <v>2097</v>
      </c>
    </row>
    <row r="11" spans="1:1">
      <c r="A11" t="s">
        <v>2098</v>
      </c>
    </row>
    <row r="12" spans="1:1">
      <c r="A12" t="s">
        <v>2099</v>
      </c>
    </row>
    <row r="13" spans="1:1">
      <c r="A13" t="s">
        <v>2100</v>
      </c>
    </row>
    <row r="14" spans="1:1">
      <c r="A14" t="s">
        <v>2101</v>
      </c>
    </row>
    <row r="15" spans="1:1">
      <c r="A15" t="s">
        <v>2102</v>
      </c>
    </row>
    <row r="16" spans="1:1">
      <c r="A16" t="s">
        <v>2103</v>
      </c>
    </row>
    <row r="17" spans="1:1">
      <c r="A17" t="s">
        <v>2104</v>
      </c>
    </row>
    <row r="18" spans="1:1">
      <c r="A18" t="s">
        <v>2105</v>
      </c>
    </row>
    <row r="19" spans="1:1">
      <c r="A19" t="s">
        <v>2106</v>
      </c>
    </row>
    <row r="20" spans="1:1">
      <c r="A20" t="s">
        <v>2107</v>
      </c>
    </row>
    <row r="21" spans="1:1">
      <c r="A21" t="s">
        <v>2108</v>
      </c>
    </row>
    <row r="22" spans="1:1">
      <c r="A22" t="s">
        <v>2109</v>
      </c>
    </row>
    <row r="23" spans="1:1">
      <c r="A23" t="s">
        <v>2110</v>
      </c>
    </row>
    <row r="24" spans="1:1">
      <c r="A24" t="s">
        <v>2111</v>
      </c>
    </row>
    <row r="25" spans="1:1">
      <c r="A25" t="s">
        <v>2112</v>
      </c>
    </row>
    <row r="26" spans="1:1">
      <c r="A26" t="s">
        <v>2113</v>
      </c>
    </row>
    <row r="27" spans="1:1">
      <c r="A27" t="s">
        <v>2114</v>
      </c>
    </row>
    <row r="28" spans="1:1">
      <c r="A28" t="s">
        <v>2115</v>
      </c>
    </row>
    <row r="29" spans="1:1">
      <c r="A29" t="s">
        <v>2116</v>
      </c>
    </row>
    <row r="30" spans="1:1">
      <c r="A30" t="s">
        <v>2117</v>
      </c>
    </row>
    <row r="31" spans="1:1">
      <c r="A31" t="s">
        <v>2118</v>
      </c>
    </row>
    <row r="32" spans="1:1">
      <c r="A32" t="s">
        <v>2119</v>
      </c>
    </row>
    <row r="33" spans="1:1">
      <c r="A33" t="s">
        <v>2120</v>
      </c>
    </row>
    <row r="34" spans="1:1">
      <c r="A34" t="s">
        <v>2121</v>
      </c>
    </row>
    <row r="35" spans="1:1">
      <c r="A35" t="s">
        <v>2122</v>
      </c>
    </row>
    <row r="36" spans="1:1">
      <c r="A36" t="s">
        <v>2123</v>
      </c>
    </row>
    <row r="37" spans="1:1">
      <c r="A37" t="s">
        <v>2124</v>
      </c>
    </row>
    <row r="38" spans="1:1">
      <c r="A38" t="s">
        <v>2125</v>
      </c>
    </row>
    <row r="39" spans="1:1">
      <c r="A39" t="s">
        <v>2126</v>
      </c>
    </row>
    <row r="40" spans="1:1">
      <c r="A40" t="s">
        <v>2127</v>
      </c>
    </row>
    <row r="41" spans="1:1">
      <c r="A41" t="s">
        <v>2128</v>
      </c>
    </row>
    <row r="42" spans="1:1">
      <c r="A42" t="s">
        <v>2129</v>
      </c>
    </row>
    <row r="43" spans="1:1">
      <c r="A43" t="s">
        <v>2130</v>
      </c>
    </row>
    <row r="44" spans="1:1">
      <c r="A44" t="s">
        <v>2131</v>
      </c>
    </row>
    <row r="45" spans="1:1">
      <c r="A45" t="s">
        <v>2132</v>
      </c>
    </row>
    <row r="46" spans="1:1">
      <c r="A46" t="s">
        <v>2133</v>
      </c>
    </row>
    <row r="47" spans="1:1">
      <c r="A47" t="s">
        <v>2134</v>
      </c>
    </row>
    <row r="48" spans="1:1">
      <c r="A48" t="s">
        <v>2135</v>
      </c>
    </row>
    <row r="49" spans="1:1">
      <c r="A49" t="s">
        <v>2136</v>
      </c>
    </row>
    <row r="50" spans="1:1">
      <c r="A50" t="s">
        <v>2137</v>
      </c>
    </row>
    <row r="51" spans="1:1">
      <c r="A51" t="s">
        <v>2138</v>
      </c>
    </row>
    <row r="52" spans="1:1">
      <c r="A52" t="s">
        <v>2139</v>
      </c>
    </row>
    <row r="53" spans="1:1">
      <c r="A53" t="s">
        <v>2140</v>
      </c>
    </row>
    <row r="54" spans="1:1">
      <c r="A54" t="s">
        <v>2141</v>
      </c>
    </row>
    <row r="55" spans="1:1">
      <c r="A55" t="s">
        <v>2142</v>
      </c>
    </row>
    <row r="56" spans="1:1">
      <c r="A56" t="s">
        <v>2143</v>
      </c>
    </row>
    <row r="57" spans="1:1">
      <c r="A57" t="s">
        <v>2144</v>
      </c>
    </row>
    <row r="58" spans="1:1">
      <c r="A58" t="s">
        <v>2145</v>
      </c>
    </row>
    <row r="59" spans="1:1">
      <c r="A59" t="s">
        <v>2146</v>
      </c>
    </row>
    <row r="60" spans="1:1">
      <c r="A60" t="s">
        <v>2147</v>
      </c>
    </row>
    <row r="61" spans="1:1">
      <c r="A61" t="s">
        <v>2148</v>
      </c>
    </row>
    <row r="62" spans="1:1">
      <c r="A62" t="s">
        <v>2149</v>
      </c>
    </row>
    <row r="63" spans="1:1">
      <c r="A63" t="s">
        <v>2150</v>
      </c>
    </row>
    <row r="64" spans="1:1">
      <c r="A64" t="s">
        <v>2151</v>
      </c>
    </row>
    <row r="65" spans="1:1">
      <c r="A65" t="s">
        <v>2152</v>
      </c>
    </row>
    <row r="66" spans="1:1">
      <c r="A66" t="s">
        <v>2153</v>
      </c>
    </row>
    <row r="67" spans="1:1">
      <c r="A67" t="s">
        <v>2154</v>
      </c>
    </row>
    <row r="68" spans="1:1">
      <c r="A68" t="s">
        <v>2155</v>
      </c>
    </row>
    <row r="69" spans="1:1">
      <c r="A69" t="s">
        <v>2156</v>
      </c>
    </row>
    <row r="70" spans="1:1">
      <c r="A70" t="s">
        <v>2157</v>
      </c>
    </row>
    <row r="71" spans="1:1">
      <c r="A71" t="s">
        <v>2158</v>
      </c>
    </row>
    <row r="72" spans="1:1">
      <c r="A72" t="s">
        <v>2159</v>
      </c>
    </row>
    <row r="73" spans="1:1">
      <c r="A73" t="s">
        <v>2160</v>
      </c>
    </row>
    <row r="74" spans="1:1">
      <c r="A74" t="s">
        <v>2161</v>
      </c>
    </row>
    <row r="75" spans="1:1">
      <c r="A75" t="s">
        <v>2162</v>
      </c>
    </row>
    <row r="76" spans="1:1">
      <c r="A76" t="s">
        <v>2163</v>
      </c>
    </row>
    <row r="77" spans="1:1">
      <c r="A77" t="s">
        <v>2164</v>
      </c>
    </row>
    <row r="78" spans="1:1">
      <c r="A78" t="s">
        <v>2165</v>
      </c>
    </row>
    <row r="79" spans="1:1">
      <c r="A79" t="s">
        <v>2166</v>
      </c>
    </row>
    <row r="80" spans="1:1">
      <c r="A80" t="s">
        <v>2167</v>
      </c>
    </row>
    <row r="81" spans="1:1">
      <c r="A81" t="s">
        <v>2168</v>
      </c>
    </row>
    <row r="82" spans="1:1">
      <c r="A82" t="s">
        <v>2169</v>
      </c>
    </row>
    <row r="83" spans="1:1">
      <c r="A83" t="s">
        <v>2170</v>
      </c>
    </row>
    <row r="84" spans="1:1">
      <c r="A84" t="s">
        <v>2171</v>
      </c>
    </row>
    <row r="85" spans="1:1">
      <c r="A85" t="s">
        <v>2172</v>
      </c>
    </row>
    <row r="86" spans="1:1">
      <c r="A86" t="s">
        <v>2173</v>
      </c>
    </row>
    <row r="87" spans="1:1">
      <c r="A87" t="s">
        <v>2174</v>
      </c>
    </row>
    <row r="88" spans="1:1">
      <c r="A88" t="s">
        <v>2175</v>
      </c>
    </row>
    <row r="89" spans="1:1">
      <c r="A89" t="s">
        <v>2176</v>
      </c>
    </row>
    <row r="90" spans="1:1">
      <c r="A90" t="s">
        <v>2177</v>
      </c>
    </row>
    <row r="91" spans="1:1">
      <c r="A91" t="s">
        <v>2178</v>
      </c>
    </row>
    <row r="92" spans="1:1">
      <c r="A92" t="s">
        <v>2179</v>
      </c>
    </row>
    <row r="93" spans="1:1">
      <c r="A93" t="s">
        <v>2180</v>
      </c>
    </row>
    <row r="94" spans="1:1">
      <c r="A94" t="s">
        <v>2181</v>
      </c>
    </row>
    <row r="95" spans="1:1">
      <c r="A95" t="s">
        <v>2182</v>
      </c>
    </row>
    <row r="96" spans="1:1">
      <c r="A96" t="s">
        <v>2183</v>
      </c>
    </row>
    <row r="97" spans="1:1">
      <c r="A97" t="s">
        <v>2184</v>
      </c>
    </row>
    <row r="98" spans="1:1">
      <c r="A98" t="s">
        <v>2185</v>
      </c>
    </row>
    <row r="99" spans="1:1">
      <c r="A99" t="s">
        <v>2186</v>
      </c>
    </row>
    <row r="100" spans="1:1">
      <c r="A100" t="s">
        <v>2187</v>
      </c>
    </row>
    <row r="101" spans="1:1">
      <c r="A101" t="s">
        <v>2188</v>
      </c>
    </row>
    <row r="102" spans="1:1">
      <c r="A102" t="s">
        <v>2189</v>
      </c>
    </row>
    <row r="103" spans="1:1">
      <c r="A103" t="s">
        <v>2190</v>
      </c>
    </row>
    <row r="104" spans="1:1">
      <c r="A104" t="s">
        <v>2191</v>
      </c>
    </row>
    <row r="105" spans="1:1">
      <c r="A105" t="s">
        <v>2192</v>
      </c>
    </row>
    <row r="106" spans="1:1">
      <c r="A106" t="s">
        <v>2193</v>
      </c>
    </row>
    <row r="107" spans="1:1">
      <c r="A107" t="s">
        <v>2194</v>
      </c>
    </row>
    <row r="108" spans="1:1">
      <c r="A108" t="s">
        <v>2195</v>
      </c>
    </row>
    <row r="109" spans="1:1">
      <c r="A109" t="s">
        <v>2196</v>
      </c>
    </row>
    <row r="110" spans="1:1">
      <c r="A110" t="s">
        <v>2197</v>
      </c>
    </row>
    <row r="111" spans="1:1">
      <c r="A111" t="s">
        <v>2198</v>
      </c>
    </row>
    <row r="112" spans="1:1">
      <c r="A112" t="s">
        <v>2199</v>
      </c>
    </row>
    <row r="113" spans="1:1">
      <c r="A113" t="s">
        <v>2200</v>
      </c>
    </row>
    <row r="114" spans="1:1">
      <c r="A114" t="s">
        <v>2201</v>
      </c>
    </row>
    <row r="115" spans="1:1">
      <c r="A115" t="s">
        <v>2202</v>
      </c>
    </row>
    <row r="116" spans="1:1">
      <c r="A116" t="s">
        <v>2203</v>
      </c>
    </row>
    <row r="117" spans="1:1">
      <c r="A117" t="s">
        <v>2204</v>
      </c>
    </row>
    <row r="118" spans="1:1">
      <c r="A118" t="s">
        <v>2205</v>
      </c>
    </row>
    <row r="119" spans="1:1">
      <c r="A119" t="s">
        <v>2206</v>
      </c>
    </row>
    <row r="120" spans="1:1">
      <c r="A120" t="s">
        <v>2207</v>
      </c>
    </row>
    <row r="121" spans="1:1">
      <c r="A121" t="s">
        <v>2208</v>
      </c>
    </row>
    <row r="122" spans="1:1">
      <c r="A122" t="s">
        <v>2209</v>
      </c>
    </row>
    <row r="123" spans="1:1">
      <c r="A123" t="s">
        <v>2210</v>
      </c>
    </row>
    <row r="124" spans="1:1">
      <c r="A124" t="s">
        <v>2211</v>
      </c>
    </row>
    <row r="125" spans="1:1">
      <c r="A125" t="s">
        <v>2212</v>
      </c>
    </row>
    <row r="126" spans="1:1">
      <c r="A126" t="s">
        <v>2213</v>
      </c>
    </row>
    <row r="127" spans="1:1">
      <c r="A127" t="s">
        <v>2214</v>
      </c>
    </row>
    <row r="128" spans="1:1">
      <c r="A128" t="s">
        <v>2215</v>
      </c>
    </row>
    <row r="129" spans="1:1">
      <c r="A129" t="s">
        <v>2216</v>
      </c>
    </row>
    <row r="130" spans="1:1">
      <c r="A130" t="s">
        <v>2217</v>
      </c>
    </row>
    <row r="131" spans="1:1">
      <c r="A131" t="s">
        <v>2218</v>
      </c>
    </row>
    <row r="132" spans="1:1">
      <c r="A132" t="s">
        <v>2219</v>
      </c>
    </row>
    <row r="133" spans="1:1">
      <c r="A133" t="s">
        <v>2220</v>
      </c>
    </row>
    <row r="134" spans="1:1">
      <c r="A134" t="s">
        <v>2221</v>
      </c>
    </row>
    <row r="135" spans="1:1">
      <c r="A135" t="s">
        <v>2222</v>
      </c>
    </row>
    <row r="136" spans="1:1">
      <c r="A136" t="s">
        <v>2223</v>
      </c>
    </row>
    <row r="137" spans="1:1">
      <c r="A137" t="s">
        <v>2224</v>
      </c>
    </row>
    <row r="138" spans="1:1">
      <c r="A138" t="s">
        <v>2225</v>
      </c>
    </row>
    <row r="139" spans="1:1">
      <c r="A139" t="s">
        <v>2226</v>
      </c>
    </row>
    <row r="140" spans="1:1">
      <c r="A140" t="s">
        <v>2227</v>
      </c>
    </row>
    <row r="141" spans="1:1">
      <c r="A141" t="s">
        <v>2228</v>
      </c>
    </row>
    <row r="142" spans="1:1">
      <c r="A142" t="s">
        <v>2229</v>
      </c>
    </row>
    <row r="143" spans="1:1">
      <c r="A143" t="s">
        <v>2230</v>
      </c>
    </row>
    <row r="144" spans="1:1">
      <c r="A144" t="s">
        <v>2231</v>
      </c>
    </row>
    <row r="145" spans="1:1">
      <c r="A145" t="s">
        <v>2232</v>
      </c>
    </row>
    <row r="146" spans="1:1">
      <c r="A146" t="s">
        <v>2233</v>
      </c>
    </row>
    <row r="147" spans="1:1">
      <c r="A147" t="s">
        <v>2234</v>
      </c>
    </row>
    <row r="148" spans="1:1">
      <c r="A148" t="s">
        <v>2235</v>
      </c>
    </row>
    <row r="149" spans="1:1">
      <c r="A149" t="s">
        <v>2236</v>
      </c>
    </row>
    <row r="150" spans="1:1">
      <c r="A150" t="s">
        <v>2237</v>
      </c>
    </row>
    <row r="151" spans="1:1">
      <c r="A151" t="s">
        <v>2238</v>
      </c>
    </row>
    <row r="152" spans="1:1">
      <c r="A152" t="s">
        <v>2239</v>
      </c>
    </row>
    <row r="153" spans="1:1">
      <c r="A153" t="s">
        <v>2240</v>
      </c>
    </row>
    <row r="154" spans="1:1">
      <c r="A154" t="s">
        <v>2241</v>
      </c>
    </row>
    <row r="155" spans="1:1">
      <c r="A155" t="s">
        <v>2242</v>
      </c>
    </row>
    <row r="156" spans="1:1">
      <c r="A156" t="s">
        <v>2243</v>
      </c>
    </row>
    <row r="157" spans="1:1">
      <c r="A157" t="s">
        <v>2244</v>
      </c>
    </row>
    <row r="158" spans="1:1">
      <c r="A158" t="s">
        <v>2245</v>
      </c>
    </row>
    <row r="159" spans="1:1">
      <c r="A159" t="s">
        <v>2246</v>
      </c>
    </row>
    <row r="160" spans="1:1">
      <c r="A160" t="s">
        <v>2247</v>
      </c>
    </row>
    <row r="161" spans="1:1">
      <c r="A161" t="s">
        <v>2248</v>
      </c>
    </row>
    <row r="162" spans="1:1">
      <c r="A162" t="s">
        <v>2249</v>
      </c>
    </row>
    <row r="163" spans="1:1">
      <c r="A163" t="s">
        <v>2250</v>
      </c>
    </row>
    <row r="164" spans="1:1">
      <c r="A164" t="s">
        <v>2251</v>
      </c>
    </row>
    <row r="165" spans="1:1">
      <c r="A165" t="s">
        <v>2252</v>
      </c>
    </row>
    <row r="166" spans="1:1">
      <c r="A166" t="s">
        <v>2253</v>
      </c>
    </row>
    <row r="167" spans="1:1">
      <c r="A167" t="s">
        <v>2254</v>
      </c>
    </row>
    <row r="168" spans="1:1">
      <c r="A168" t="s">
        <v>2255</v>
      </c>
    </row>
    <row r="169" spans="1:1">
      <c r="A169" t="s">
        <v>2256</v>
      </c>
    </row>
    <row r="170" spans="1:1">
      <c r="A170" t="s">
        <v>2257</v>
      </c>
    </row>
    <row r="171" spans="1:1">
      <c r="A171" t="s">
        <v>2258</v>
      </c>
    </row>
    <row r="172" spans="1:1">
      <c r="A172" t="s">
        <v>2259</v>
      </c>
    </row>
    <row r="173" spans="1:1">
      <c r="A173" t="s">
        <v>2260</v>
      </c>
    </row>
    <row r="174" spans="1:1">
      <c r="A174" t="s">
        <v>2261</v>
      </c>
    </row>
    <row r="175" spans="1:1">
      <c r="A175" t="s">
        <v>2262</v>
      </c>
    </row>
    <row r="176" spans="1:1">
      <c r="A176" t="s">
        <v>2263</v>
      </c>
    </row>
    <row r="177" spans="1:1">
      <c r="A177" t="s">
        <v>2264</v>
      </c>
    </row>
    <row r="178" spans="1:1">
      <c r="A178" t="s">
        <v>2265</v>
      </c>
    </row>
    <row r="179" spans="1:1">
      <c r="A179" t="s">
        <v>2266</v>
      </c>
    </row>
    <row r="180" spans="1:1">
      <c r="A180" t="s">
        <v>2267</v>
      </c>
    </row>
    <row r="181" spans="1:1">
      <c r="A181" t="s">
        <v>2268</v>
      </c>
    </row>
    <row r="182" spans="1:1">
      <c r="A182" t="s">
        <v>2269</v>
      </c>
    </row>
    <row r="183" spans="1:1">
      <c r="A183" t="s">
        <v>2270</v>
      </c>
    </row>
    <row r="184" spans="1:1">
      <c r="A184" t="s">
        <v>2271</v>
      </c>
    </row>
    <row r="185" spans="1:1">
      <c r="A185" t="s">
        <v>2272</v>
      </c>
    </row>
    <row r="186" spans="1:1">
      <c r="A186" t="s">
        <v>2273</v>
      </c>
    </row>
    <row r="187" spans="1:1">
      <c r="A187" t="s">
        <v>2274</v>
      </c>
    </row>
    <row r="188" spans="1:1">
      <c r="A188" t="s">
        <v>2275</v>
      </c>
    </row>
    <row r="189" spans="1:1">
      <c r="A189" t="s">
        <v>2276</v>
      </c>
    </row>
    <row r="190" spans="1:1">
      <c r="A190" t="s">
        <v>2277</v>
      </c>
    </row>
    <row r="191" spans="1:1">
      <c r="A191" t="s">
        <v>2278</v>
      </c>
    </row>
    <row r="192" spans="1:1">
      <c r="A192" t="s">
        <v>2279</v>
      </c>
    </row>
    <row r="193" spans="1:1">
      <c r="A193" t="s">
        <v>2280</v>
      </c>
    </row>
    <row r="194" spans="1:1">
      <c r="A194" t="s">
        <v>2281</v>
      </c>
    </row>
    <row r="195" spans="1:1">
      <c r="A195" t="s">
        <v>2282</v>
      </c>
    </row>
    <row r="196" spans="1:1">
      <c r="A196" t="s">
        <v>2283</v>
      </c>
    </row>
    <row r="197" spans="1:1">
      <c r="A197" t="s">
        <v>2284</v>
      </c>
    </row>
    <row r="198" spans="1:1">
      <c r="A198" t="s">
        <v>2285</v>
      </c>
    </row>
    <row r="199" spans="1:1">
      <c r="A199" t="s">
        <v>2286</v>
      </c>
    </row>
    <row r="200" spans="1:1">
      <c r="A200" t="s">
        <v>2287</v>
      </c>
    </row>
    <row r="201" spans="1:1">
      <c r="A201" t="s">
        <v>2288</v>
      </c>
    </row>
    <row r="202" spans="1:1">
      <c r="A202" t="s">
        <v>2289</v>
      </c>
    </row>
    <row r="203" spans="1:1">
      <c r="A203" t="s">
        <v>2290</v>
      </c>
    </row>
    <row r="204" spans="1:1">
      <c r="A204" t="s">
        <v>2291</v>
      </c>
    </row>
    <row r="205" spans="1:1">
      <c r="A205" t="s">
        <v>2292</v>
      </c>
    </row>
    <row r="206" spans="1:1">
      <c r="A206" t="s">
        <v>2293</v>
      </c>
    </row>
    <row r="207" spans="1:1">
      <c r="A207" t="s">
        <v>2294</v>
      </c>
    </row>
    <row r="208" spans="1:1">
      <c r="A208" t="s">
        <v>2295</v>
      </c>
    </row>
    <row r="209" spans="1:1">
      <c r="A209" t="s">
        <v>2296</v>
      </c>
    </row>
    <row r="210" spans="1:1">
      <c r="A210" t="s">
        <v>2297</v>
      </c>
    </row>
    <row r="211" spans="1:1">
      <c r="A211" t="s">
        <v>2298</v>
      </c>
    </row>
    <row r="212" spans="1:1">
      <c r="A212" t="s">
        <v>2299</v>
      </c>
    </row>
    <row r="213" spans="1:1">
      <c r="A213" t="s">
        <v>2300</v>
      </c>
    </row>
    <row r="214" spans="1:1">
      <c r="A214" t="s">
        <v>2301</v>
      </c>
    </row>
    <row r="215" spans="1:1">
      <c r="A215" t="s">
        <v>2302</v>
      </c>
    </row>
    <row r="216" spans="1:1">
      <c r="A216" t="s">
        <v>2303</v>
      </c>
    </row>
    <row r="217" spans="1:1">
      <c r="A217" t="s">
        <v>2304</v>
      </c>
    </row>
    <row r="218" spans="1:1">
      <c r="A218" t="s">
        <v>2305</v>
      </c>
    </row>
    <row r="219" spans="1:1">
      <c r="A219" t="s">
        <v>2306</v>
      </c>
    </row>
    <row r="220" spans="1:1">
      <c r="A220" t="s">
        <v>2307</v>
      </c>
    </row>
    <row r="221" spans="1:1">
      <c r="A221" t="s">
        <v>2308</v>
      </c>
    </row>
    <row r="222" spans="1:1">
      <c r="A222" t="s">
        <v>2309</v>
      </c>
    </row>
    <row r="223" spans="1:1">
      <c r="A223" t="s">
        <v>2310</v>
      </c>
    </row>
    <row r="224" spans="1:1">
      <c r="A224" t="s">
        <v>2311</v>
      </c>
    </row>
    <row r="225" spans="1:1">
      <c r="A225" t="s">
        <v>2312</v>
      </c>
    </row>
    <row r="226" spans="1:1">
      <c r="A226" t="s">
        <v>2313</v>
      </c>
    </row>
    <row r="227" spans="1:1">
      <c r="A227" t="s">
        <v>2314</v>
      </c>
    </row>
    <row r="228" spans="1:1">
      <c r="A228" t="s">
        <v>2315</v>
      </c>
    </row>
    <row r="229" spans="1:1">
      <c r="A229" t="s">
        <v>2316</v>
      </c>
    </row>
    <row r="230" spans="1:1">
      <c r="A230" t="s">
        <v>2317</v>
      </c>
    </row>
    <row r="231" spans="1:1">
      <c r="A231" t="s">
        <v>2318</v>
      </c>
    </row>
    <row r="232" spans="1:1">
      <c r="A232" t="s">
        <v>2319</v>
      </c>
    </row>
    <row r="233" spans="1:1">
      <c r="A233" t="s">
        <v>2320</v>
      </c>
    </row>
    <row r="234" spans="1:1">
      <c r="A234" t="s">
        <v>2321</v>
      </c>
    </row>
    <row r="235" spans="1:1">
      <c r="A235" t="s">
        <v>2322</v>
      </c>
    </row>
    <row r="236" spans="1:1">
      <c r="A236" t="s">
        <v>2323</v>
      </c>
    </row>
    <row r="237" spans="1:1">
      <c r="A237" t="s">
        <v>2324</v>
      </c>
    </row>
    <row r="238" spans="1:1">
      <c r="A238" t="s">
        <v>2325</v>
      </c>
    </row>
    <row r="239" spans="1:1">
      <c r="A239" t="s">
        <v>2326</v>
      </c>
    </row>
    <row r="240" spans="1:1">
      <c r="A240" t="s">
        <v>2327</v>
      </c>
    </row>
    <row r="241" spans="1:1">
      <c r="A241" t="s">
        <v>2328</v>
      </c>
    </row>
    <row r="242" spans="1:1">
      <c r="A242" t="s">
        <v>2329</v>
      </c>
    </row>
    <row r="243" spans="1:1">
      <c r="A243" t="s">
        <v>2330</v>
      </c>
    </row>
    <row r="244" spans="1:1">
      <c r="A244" t="s">
        <v>2331</v>
      </c>
    </row>
    <row r="245" spans="1:1">
      <c r="A245" t="s">
        <v>2332</v>
      </c>
    </row>
    <row r="246" spans="1:1">
      <c r="A246" t="s">
        <v>2333</v>
      </c>
    </row>
    <row r="247" spans="1:1">
      <c r="A247" t="s">
        <v>2334</v>
      </c>
    </row>
    <row r="248" spans="1:1">
      <c r="A248" t="s">
        <v>2335</v>
      </c>
    </row>
    <row r="249" spans="1:1">
      <c r="A249" t="s">
        <v>2336</v>
      </c>
    </row>
    <row r="250" spans="1:1">
      <c r="A250" t="s">
        <v>2337</v>
      </c>
    </row>
    <row r="251" spans="1:1">
      <c r="A251" t="s">
        <v>2338</v>
      </c>
    </row>
    <row r="252" spans="1:1">
      <c r="A252" t="s">
        <v>2339</v>
      </c>
    </row>
    <row r="253" spans="1:1">
      <c r="A253" t="s">
        <v>2340</v>
      </c>
    </row>
    <row r="254" spans="1:1">
      <c r="A254" t="s">
        <v>2341</v>
      </c>
    </row>
    <row r="255" spans="1:1">
      <c r="A255" t="s">
        <v>2342</v>
      </c>
    </row>
    <row r="256" spans="1:1">
      <c r="A256" t="s">
        <v>2343</v>
      </c>
    </row>
    <row r="257" spans="1:1">
      <c r="A257" t="s">
        <v>2344</v>
      </c>
    </row>
    <row r="258" spans="1:1">
      <c r="A258" t="s">
        <v>2345</v>
      </c>
    </row>
    <row r="259" spans="1:1">
      <c r="A259" t="s">
        <v>2346</v>
      </c>
    </row>
    <row r="260" spans="1:1">
      <c r="A260" t="s">
        <v>2347</v>
      </c>
    </row>
    <row r="261" spans="1:1">
      <c r="A261" t="s">
        <v>2348</v>
      </c>
    </row>
    <row r="262" spans="1:1">
      <c r="A262" t="s">
        <v>2349</v>
      </c>
    </row>
    <row r="263" spans="1:1">
      <c r="A263" t="s">
        <v>2350</v>
      </c>
    </row>
    <row r="264" spans="1:1">
      <c r="A264" t="s">
        <v>2351</v>
      </c>
    </row>
    <row r="265" spans="1:1">
      <c r="A265" t="s">
        <v>2352</v>
      </c>
    </row>
    <row r="266" spans="1:1">
      <c r="A266" t="s">
        <v>2353</v>
      </c>
    </row>
    <row r="267" spans="1:1">
      <c r="A267" t="s">
        <v>2354</v>
      </c>
    </row>
    <row r="268" spans="1:1">
      <c r="A268" t="s">
        <v>2355</v>
      </c>
    </row>
    <row r="269" spans="1:1">
      <c r="A269" t="s">
        <v>2356</v>
      </c>
    </row>
    <row r="270" spans="1:1">
      <c r="A270" t="s">
        <v>2357</v>
      </c>
    </row>
    <row r="271" spans="1:1">
      <c r="A271" t="s">
        <v>2358</v>
      </c>
    </row>
    <row r="272" spans="1:1">
      <c r="A272" t="s">
        <v>2359</v>
      </c>
    </row>
    <row r="273" spans="1:1">
      <c r="A273" t="s">
        <v>2360</v>
      </c>
    </row>
    <row r="274" spans="1:1">
      <c r="A274" t="s">
        <v>2361</v>
      </c>
    </row>
    <row r="275" spans="1:1">
      <c r="A275" t="s">
        <v>2362</v>
      </c>
    </row>
    <row r="276" spans="1:1">
      <c r="A276" t="s">
        <v>2363</v>
      </c>
    </row>
    <row r="277" spans="1:1">
      <c r="A277" t="s">
        <v>2364</v>
      </c>
    </row>
    <row r="278" spans="1:1">
      <c r="A278" t="s">
        <v>2365</v>
      </c>
    </row>
    <row r="279" spans="1:1">
      <c r="A279" t="s">
        <v>2366</v>
      </c>
    </row>
    <row r="280" spans="1:1">
      <c r="A280" t="s">
        <v>2367</v>
      </c>
    </row>
    <row r="281" spans="1:1">
      <c r="A281" t="s">
        <v>2368</v>
      </c>
    </row>
    <row r="282" spans="1:1">
      <c r="A282" t="s">
        <v>2369</v>
      </c>
    </row>
    <row r="283" spans="1:1">
      <c r="A283" t="s">
        <v>2370</v>
      </c>
    </row>
    <row r="284" spans="1:1">
      <c r="A284" t="s">
        <v>2371</v>
      </c>
    </row>
    <row r="285" spans="1:1">
      <c r="A285" t="s">
        <v>2372</v>
      </c>
    </row>
    <row r="286" spans="1:1">
      <c r="A286" t="s">
        <v>2373</v>
      </c>
    </row>
    <row r="287" spans="1:1">
      <c r="A287" t="s">
        <v>2374</v>
      </c>
    </row>
    <row r="288" spans="1:1">
      <c r="A288" t="s">
        <v>2375</v>
      </c>
    </row>
    <row r="289" spans="1:1">
      <c r="A289" t="s">
        <v>2376</v>
      </c>
    </row>
    <row r="290" spans="1:1">
      <c r="A290" t="s">
        <v>2377</v>
      </c>
    </row>
    <row r="291" spans="1:1">
      <c r="A291" t="s">
        <v>2378</v>
      </c>
    </row>
    <row r="292" spans="1:1">
      <c r="A292" t="s">
        <v>2379</v>
      </c>
    </row>
    <row r="293" spans="1:1">
      <c r="A293" t="s">
        <v>2380</v>
      </c>
    </row>
    <row r="294" spans="1:1">
      <c r="A294" t="s">
        <v>2381</v>
      </c>
    </row>
    <row r="295" spans="1:1">
      <c r="A295" t="s">
        <v>2382</v>
      </c>
    </row>
    <row r="296" spans="1:1">
      <c r="A296" t="s">
        <v>2383</v>
      </c>
    </row>
    <row r="297" spans="1:1">
      <c r="A297" t="s">
        <v>2384</v>
      </c>
    </row>
    <row r="298" spans="1:1">
      <c r="A298" t="s">
        <v>2385</v>
      </c>
    </row>
    <row r="299" spans="1:1">
      <c r="A299" t="s">
        <v>2386</v>
      </c>
    </row>
    <row r="300" spans="1:1">
      <c r="A300" t="s">
        <v>2387</v>
      </c>
    </row>
    <row r="301" spans="1:1">
      <c r="A301" t="s">
        <v>2388</v>
      </c>
    </row>
    <row r="302" spans="1:1">
      <c r="A302" t="s">
        <v>2389</v>
      </c>
    </row>
    <row r="303" spans="1:1">
      <c r="A303" t="s">
        <v>2390</v>
      </c>
    </row>
    <row r="304" spans="1:1">
      <c r="A304" t="s">
        <v>2391</v>
      </c>
    </row>
    <row r="305" spans="1:1">
      <c r="A305" t="s">
        <v>2392</v>
      </c>
    </row>
    <row r="306" spans="1:1">
      <c r="A306" t="s">
        <v>2393</v>
      </c>
    </row>
    <row r="307" spans="1:1">
      <c r="A307" t="s">
        <v>2394</v>
      </c>
    </row>
    <row r="308" spans="1:1">
      <c r="A308" t="s">
        <v>2395</v>
      </c>
    </row>
    <row r="309" spans="1:1">
      <c r="A309" t="s">
        <v>2396</v>
      </c>
    </row>
    <row r="310" spans="1:1">
      <c r="A310" t="s">
        <v>2397</v>
      </c>
    </row>
    <row r="311" spans="1:1">
      <c r="A311" t="s">
        <v>2398</v>
      </c>
    </row>
    <row r="312" spans="1:1">
      <c r="A312" t="s">
        <v>2399</v>
      </c>
    </row>
    <row r="313" spans="1:1">
      <c r="A313" t="s">
        <v>2400</v>
      </c>
    </row>
    <row r="314" spans="1:1">
      <c r="A314" t="s">
        <v>2401</v>
      </c>
    </row>
    <row r="315" spans="1:1">
      <c r="A315" t="s">
        <v>2402</v>
      </c>
    </row>
    <row r="316" spans="1:1">
      <c r="A316" t="s">
        <v>2403</v>
      </c>
    </row>
    <row r="317" spans="1:1">
      <c r="A317" t="s">
        <v>2404</v>
      </c>
    </row>
    <row r="318" spans="1:1">
      <c r="A318" t="s">
        <v>2405</v>
      </c>
    </row>
    <row r="319" spans="1:1">
      <c r="A319" t="s">
        <v>2406</v>
      </c>
    </row>
    <row r="320" spans="1:1">
      <c r="A320" t="s">
        <v>2407</v>
      </c>
    </row>
    <row r="321" spans="1:1">
      <c r="A321" t="s">
        <v>2408</v>
      </c>
    </row>
    <row r="322" spans="1:1">
      <c r="A322" t="s">
        <v>2409</v>
      </c>
    </row>
    <row r="323" spans="1:1">
      <c r="A323" t="s">
        <v>2410</v>
      </c>
    </row>
    <row r="324" spans="1:1">
      <c r="A324" t="s">
        <v>2411</v>
      </c>
    </row>
    <row r="325" spans="1:1">
      <c r="A325" t="s">
        <v>2412</v>
      </c>
    </row>
    <row r="326" spans="1:1">
      <c r="A326" t="s">
        <v>2413</v>
      </c>
    </row>
    <row r="327" spans="1:1">
      <c r="A327" t="s">
        <v>2414</v>
      </c>
    </row>
    <row r="328" spans="1:1">
      <c r="A328" t="s">
        <v>2415</v>
      </c>
    </row>
    <row r="329" spans="1:1">
      <c r="A329" t="s">
        <v>2416</v>
      </c>
    </row>
    <row r="330" spans="1:1">
      <c r="A330" t="s">
        <v>2417</v>
      </c>
    </row>
    <row r="331" spans="1:1">
      <c r="A331" t="s">
        <v>2418</v>
      </c>
    </row>
    <row r="332" spans="1:1">
      <c r="A332" t="s">
        <v>2419</v>
      </c>
    </row>
    <row r="333" spans="1:1">
      <c r="A333" t="s">
        <v>2420</v>
      </c>
    </row>
    <row r="334" spans="1:1">
      <c r="A334" t="s">
        <v>2421</v>
      </c>
    </row>
    <row r="335" spans="1:1">
      <c r="A335" t="s">
        <v>2422</v>
      </c>
    </row>
    <row r="336" spans="1:1">
      <c r="A336" t="s">
        <v>2423</v>
      </c>
    </row>
    <row r="337" spans="1:1">
      <c r="A337" t="s">
        <v>2424</v>
      </c>
    </row>
    <row r="338" spans="1:1">
      <c r="A338" t="s">
        <v>2425</v>
      </c>
    </row>
    <row r="339" spans="1:1">
      <c r="A339" t="s">
        <v>2426</v>
      </c>
    </row>
    <row r="340" spans="1:1">
      <c r="A340" t="s">
        <v>2427</v>
      </c>
    </row>
    <row r="341" spans="1:1">
      <c r="A341" t="s">
        <v>2428</v>
      </c>
    </row>
    <row r="342" spans="1:1">
      <c r="A342" t="s">
        <v>2429</v>
      </c>
    </row>
    <row r="343" spans="1:1">
      <c r="A343" t="s">
        <v>2430</v>
      </c>
    </row>
    <row r="344" spans="1:1">
      <c r="A344" t="s">
        <v>2431</v>
      </c>
    </row>
    <row r="345" spans="1:1">
      <c r="A345" t="s">
        <v>2432</v>
      </c>
    </row>
    <row r="346" spans="1:1">
      <c r="A346" t="s">
        <v>2433</v>
      </c>
    </row>
    <row r="347" spans="1:1">
      <c r="A347" t="s">
        <v>2434</v>
      </c>
    </row>
    <row r="348" spans="1:1">
      <c r="A348" t="s">
        <v>2435</v>
      </c>
    </row>
    <row r="349" spans="1:1">
      <c r="A349" t="s">
        <v>2436</v>
      </c>
    </row>
    <row r="350" spans="1:1">
      <c r="A350" t="s">
        <v>2437</v>
      </c>
    </row>
    <row r="351" spans="1:1">
      <c r="A351" t="s">
        <v>2438</v>
      </c>
    </row>
    <row r="352" spans="1:1">
      <c r="A352" t="s">
        <v>2439</v>
      </c>
    </row>
    <row r="353" spans="1:1">
      <c r="A353" t="s">
        <v>2440</v>
      </c>
    </row>
    <row r="354" spans="1:1">
      <c r="A354" t="s">
        <v>2441</v>
      </c>
    </row>
    <row r="355" spans="1:1">
      <c r="A355" t="s">
        <v>2442</v>
      </c>
    </row>
    <row r="356" spans="1:1">
      <c r="A356" t="s">
        <v>2443</v>
      </c>
    </row>
    <row r="357" spans="1:1">
      <c r="A357" t="s">
        <v>2444</v>
      </c>
    </row>
    <row r="358" spans="1:1">
      <c r="A358" t="s">
        <v>2445</v>
      </c>
    </row>
    <row r="359" spans="1:1">
      <c r="A359" t="s">
        <v>2446</v>
      </c>
    </row>
    <row r="360" spans="1:1">
      <c r="A360" t="s">
        <v>2447</v>
      </c>
    </row>
    <row r="361" spans="1:1">
      <c r="A361" t="s">
        <v>2448</v>
      </c>
    </row>
    <row r="362" spans="1:1">
      <c r="A362" t="s">
        <v>2449</v>
      </c>
    </row>
    <row r="363" spans="1:1">
      <c r="A363" t="s">
        <v>2450</v>
      </c>
    </row>
    <row r="364" spans="1:1">
      <c r="A364" t="s">
        <v>2451</v>
      </c>
    </row>
    <row r="365" spans="1:1">
      <c r="A365" t="s">
        <v>2452</v>
      </c>
    </row>
    <row r="366" spans="1:1">
      <c r="A366" t="s">
        <v>2453</v>
      </c>
    </row>
    <row r="367" spans="1:1">
      <c r="A367" t="s">
        <v>2454</v>
      </c>
    </row>
    <row r="368" spans="1:1">
      <c r="A368" t="s">
        <v>2455</v>
      </c>
    </row>
    <row r="369" spans="1:1">
      <c r="A369" t="s">
        <v>2456</v>
      </c>
    </row>
    <row r="370" spans="1:1">
      <c r="A370" t="s">
        <v>2457</v>
      </c>
    </row>
    <row r="371" spans="1:1">
      <c r="A371" t="s">
        <v>2458</v>
      </c>
    </row>
    <row r="372" spans="1:1">
      <c r="A372" t="s">
        <v>2459</v>
      </c>
    </row>
    <row r="373" spans="1:1">
      <c r="A373" t="s">
        <v>2460</v>
      </c>
    </row>
    <row r="374" spans="1:1">
      <c r="A374" t="s">
        <v>2461</v>
      </c>
    </row>
    <row r="375" spans="1:1">
      <c r="A375" t="s">
        <v>2462</v>
      </c>
    </row>
    <row r="376" spans="1:1">
      <c r="A376" t="s">
        <v>2463</v>
      </c>
    </row>
    <row r="377" spans="1:1">
      <c r="A377" t="s">
        <v>2464</v>
      </c>
    </row>
    <row r="378" spans="1:1">
      <c r="A378" t="s">
        <v>2465</v>
      </c>
    </row>
    <row r="379" spans="1:1">
      <c r="A379" t="s">
        <v>2466</v>
      </c>
    </row>
    <row r="380" spans="1:1">
      <c r="A380" t="s">
        <v>2467</v>
      </c>
    </row>
    <row r="381" spans="1:1">
      <c r="A381" t="s">
        <v>2468</v>
      </c>
    </row>
    <row r="382" spans="1:1">
      <c r="A382" t="s">
        <v>2469</v>
      </c>
    </row>
    <row r="383" spans="1:1">
      <c r="A383" t="s">
        <v>2470</v>
      </c>
    </row>
    <row r="384" spans="1:1">
      <c r="A384" t="s">
        <v>2471</v>
      </c>
    </row>
    <row r="385" spans="1:1">
      <c r="A385" t="s">
        <v>2472</v>
      </c>
    </row>
    <row r="386" spans="1:1">
      <c r="A386" t="s">
        <v>2473</v>
      </c>
    </row>
    <row r="387" spans="1:1">
      <c r="A387" t="s">
        <v>2474</v>
      </c>
    </row>
    <row r="388" spans="1:1">
      <c r="A388" t="s">
        <v>2475</v>
      </c>
    </row>
    <row r="389" spans="1:1">
      <c r="A389" t="s">
        <v>2476</v>
      </c>
    </row>
    <row r="390" spans="1:1">
      <c r="A390" t="s">
        <v>2477</v>
      </c>
    </row>
    <row r="391" spans="1:1">
      <c r="A391" t="s">
        <v>2478</v>
      </c>
    </row>
    <row r="392" spans="1:1">
      <c r="A392" t="s">
        <v>2479</v>
      </c>
    </row>
    <row r="393" spans="1:1">
      <c r="A393" t="s">
        <v>2480</v>
      </c>
    </row>
    <row r="394" spans="1:1">
      <c r="A394" t="s">
        <v>2481</v>
      </c>
    </row>
    <row r="395" spans="1:1">
      <c r="A395" t="s">
        <v>2482</v>
      </c>
    </row>
    <row r="396" spans="1:1">
      <c r="A396" t="s">
        <v>2483</v>
      </c>
    </row>
    <row r="397" spans="1:1">
      <c r="A397" t="s">
        <v>2484</v>
      </c>
    </row>
    <row r="398" spans="1:1">
      <c r="A398" t="s">
        <v>2485</v>
      </c>
    </row>
    <row r="399" spans="1:1">
      <c r="A399" t="s">
        <v>2486</v>
      </c>
    </row>
    <row r="400" spans="1:1">
      <c r="A400" t="s">
        <v>2487</v>
      </c>
    </row>
    <row r="401" spans="1:1">
      <c r="A401" t="s">
        <v>2488</v>
      </c>
    </row>
    <row r="402" spans="1:1">
      <c r="A402" t="s">
        <v>2489</v>
      </c>
    </row>
    <row r="403" spans="1:1">
      <c r="A403" t="s">
        <v>2490</v>
      </c>
    </row>
  </sheetData>
  <pageMargins left="0.7" right="0.7" top="0.75" bottom="0.75" header="0.3" footer="0.3"/>
  <pageSetup paperSize="9" orientation="portrait" horizontalDpi="300" verticalDpi="30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B0162F312A93D41AE706303C1572F17" ma:contentTypeVersion="18" ma:contentTypeDescription="Create a new document." ma:contentTypeScope="" ma:versionID="3dd70bd28c77d4108edb5ca6812bb84f">
  <xsd:schema xmlns:xsd="http://www.w3.org/2001/XMLSchema" xmlns:xs="http://www.w3.org/2001/XMLSchema" xmlns:p="http://schemas.microsoft.com/office/2006/metadata/properties" xmlns:ns2="8e1efd23-f4ba-42d2-85fd-6a510437bae6" xmlns:ns3="3bad6c6a-329d-45e9-b8b0-1ebecc8a8764" targetNamespace="http://schemas.microsoft.com/office/2006/metadata/properties" ma:root="true" ma:fieldsID="4cd59d6f2988212fc297a6d404d3fed4" ns2:_="" ns3:_="">
    <xsd:import namespace="8e1efd23-f4ba-42d2-85fd-6a510437bae6"/>
    <xsd:import namespace="3bad6c6a-329d-45e9-b8b0-1ebecc8a8764"/>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e1efd23-f4ba-42d2-85fd-6a510437ba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2a91012f-191a-4297-80da-223551dc3c4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bad6c6a-329d-45e9-b8b0-1ebecc8a8764"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ec99e049-fb75-4c8f-a4b4-b132771b9bd6}" ma:internalName="TaxCatchAll" ma:showField="CatchAllData" ma:web="3bad6c6a-329d-45e9-b8b0-1ebecc8a876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e1efd23-f4ba-42d2-85fd-6a510437bae6">
      <Terms xmlns="http://schemas.microsoft.com/office/infopath/2007/PartnerControls"/>
    </lcf76f155ced4ddcb4097134ff3c332f>
    <TaxCatchAll xmlns="3bad6c6a-329d-45e9-b8b0-1ebecc8a8764" xsi:nil="true"/>
  </documentManagement>
</p:properties>
</file>

<file path=customXml/itemProps1.xml><?xml version="1.0" encoding="utf-8"?>
<ds:datastoreItem xmlns:ds="http://schemas.openxmlformats.org/officeDocument/2006/customXml" ds:itemID="{8EDDDE71-F6EC-4715-A2D1-C6B6331305A2}"/>
</file>

<file path=customXml/itemProps2.xml><?xml version="1.0" encoding="utf-8"?>
<ds:datastoreItem xmlns:ds="http://schemas.openxmlformats.org/officeDocument/2006/customXml" ds:itemID="{C674B9CC-5D80-478B-9C88-1EFD5F635C3C}"/>
</file>

<file path=customXml/itemProps3.xml><?xml version="1.0" encoding="utf-8"?>
<ds:datastoreItem xmlns:ds="http://schemas.openxmlformats.org/officeDocument/2006/customXml" ds:itemID="{EA8EC149-61AF-4B66-8CE7-FC1A1EC4882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i:0#.f|membership|alexandra.de.sousa@alleninstitute.org</cp:lastModifiedBy>
  <cp:revision>0</cp:revision>
  <dcterms:created xsi:type="dcterms:W3CDTF">2026-08-21T05:50:13Z</dcterms:created>
  <dcterms:modified xsi:type="dcterms:W3CDTF">2026-09-27T19:46:44Z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0x0101009B0162F312A93D41AE706303C1572F17</vt:lpwstr>
  </property>
</Properties>
</file>