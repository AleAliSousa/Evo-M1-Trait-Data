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2580" yWindow="660" windowWidth="11560" windowHeight="13380" tabRatio="500" activeTab="1"/>
  </bookViews>
  <sheets>
    <sheet name="Sheet1" sheetId="1" r:id="rId1"/>
    <sheet name="Sheet2" sheetId="2" r:id="rId2"/>
  </sheet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I49" i="1"/>
  <c r="I48"/>
  <c r="I47"/>
  <c r="I3"/>
  <c r="J3"/>
  <c r="I4"/>
  <c r="J4"/>
  <c r="I5"/>
  <c r="J5"/>
  <c r="I6"/>
  <c r="J6"/>
  <c r="I7"/>
  <c r="J7"/>
  <c r="I8"/>
  <c r="J8"/>
  <c r="I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H3"/>
  <c r="H4"/>
  <c r="H5"/>
  <c r="H6"/>
  <c r="H7"/>
  <c r="H8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</calcChain>
</file>

<file path=xl/sharedStrings.xml><?xml version="1.0" encoding="utf-8"?>
<sst xmlns="http://schemas.openxmlformats.org/spreadsheetml/2006/main" count="402" uniqueCount="134">
  <si>
    <t>Galagoides demidoff</t>
  </si>
  <si>
    <t>Tenrec ecaudatus</t>
  </si>
  <si>
    <t>Setifer setosus</t>
  </si>
  <si>
    <t>Echinops telfairi</t>
  </si>
  <si>
    <t>_</t>
    <phoneticPr fontId="3" type="noConversion"/>
  </si>
  <si>
    <t>_</t>
    <phoneticPr fontId="3" type="noConversion"/>
  </si>
  <si>
    <t>_</t>
    <phoneticPr fontId="3" type="noConversion"/>
  </si>
  <si>
    <t>Neo</t>
  </si>
  <si>
    <t>Neo</t>
    <phoneticPr fontId="3" type="noConversion"/>
  </si>
  <si>
    <t>V1</t>
  </si>
  <si>
    <t>V1</t>
    <phoneticPr fontId="3" type="noConversion"/>
  </si>
  <si>
    <t>LGN</t>
  </si>
  <si>
    <t>LGN</t>
    <phoneticPr fontId="3" type="noConversion"/>
  </si>
  <si>
    <t>Brain_vol</t>
  </si>
  <si>
    <t>Brain_vol</t>
    <phoneticPr fontId="3" type="noConversion"/>
  </si>
  <si>
    <t>12.9</t>
  </si>
  <si>
    <t>12.9</t>
    <phoneticPr fontId="3" type="noConversion"/>
  </si>
  <si>
    <t>_</t>
    <phoneticPr fontId="3" type="noConversion"/>
  </si>
  <si>
    <t>_</t>
    <phoneticPr fontId="3" type="noConversion"/>
  </si>
  <si>
    <t>_</t>
    <phoneticPr fontId="3" type="noConversion"/>
  </si>
  <si>
    <t>Species</t>
  </si>
  <si>
    <t>Simians</t>
  </si>
  <si>
    <t xml:space="preserve">Symphalangus syndactylus </t>
  </si>
  <si>
    <t>Lophocebus albigena</t>
  </si>
  <si>
    <t>Cercopithecus mitus</t>
  </si>
  <si>
    <t>Procolobus badius</t>
  </si>
  <si>
    <t>Cebus albifrons</t>
  </si>
  <si>
    <t>Alouatta seniculus</t>
  </si>
  <si>
    <t>Prosimians</t>
  </si>
  <si>
    <t>Tarsius syrichta</t>
  </si>
  <si>
    <t>Eulemur fulvus</t>
  </si>
  <si>
    <t>Daubentonia madagascariensis</t>
  </si>
  <si>
    <t>Scandentia</t>
  </si>
  <si>
    <t>Tupaia glis</t>
  </si>
  <si>
    <t>Tupaia minor</t>
  </si>
  <si>
    <t>Urogale everetti</t>
  </si>
  <si>
    <t>Code</t>
    <phoneticPr fontId="3" type="noConversion"/>
  </si>
  <si>
    <t>0577</t>
  </si>
  <si>
    <t>1.46</t>
  </si>
  <si>
    <t>0579</t>
  </si>
  <si>
    <t>1.05</t>
  </si>
  <si>
    <t>0581</t>
  </si>
  <si>
    <t>Hemicentetes semispin.</t>
  </si>
  <si>
    <t>0.37</t>
  </si>
  <si>
    <t>0585</t>
  </si>
  <si>
    <t>0689</t>
  </si>
  <si>
    <t>Erinaceus algirus</t>
  </si>
  <si>
    <t>5.02</t>
  </si>
  <si>
    <t>0695</t>
  </si>
  <si>
    <t>Erinaceus europaeus</t>
  </si>
  <si>
    <t>3.90</t>
  </si>
  <si>
    <t>0701</t>
  </si>
  <si>
    <t>Hemiechinus auritus</t>
  </si>
  <si>
    <t>_</t>
  </si>
  <si>
    <t>0715</t>
  </si>
  <si>
    <t>Sorex araneus</t>
  </si>
  <si>
    <t>0.07</t>
  </si>
  <si>
    <t>0769</t>
  </si>
  <si>
    <t>Sorex minutus</t>
  </si>
  <si>
    <t>0.06</t>
  </si>
  <si>
    <t>0839</t>
  </si>
  <si>
    <t>Neomys fodiens</t>
  </si>
  <si>
    <t>0943</t>
  </si>
  <si>
    <t>Crocidura flavescens</t>
  </si>
  <si>
    <t>0.28</t>
  </si>
  <si>
    <t>0952</t>
  </si>
  <si>
    <t>Crocidura giffardi</t>
  </si>
  <si>
    <t>1071</t>
  </si>
  <si>
    <t>Crocidura russula</t>
  </si>
  <si>
    <t>0.08</t>
  </si>
  <si>
    <t>1085</t>
  </si>
  <si>
    <t>Crocidura suaveolens</t>
  </si>
  <si>
    <t>1137</t>
  </si>
  <si>
    <t>Suncus murinus</t>
  </si>
  <si>
    <t>0.18</t>
  </si>
  <si>
    <t>1205</t>
  </si>
  <si>
    <t>Desmana moschata</t>
  </si>
  <si>
    <t>1207</t>
  </si>
  <si>
    <t>Galemys pyrenaicus</t>
  </si>
  <si>
    <t>1215</t>
  </si>
  <si>
    <t>Talpa europaea</t>
  </si>
  <si>
    <t>9.98</t>
  </si>
  <si>
    <t>9.88</t>
  </si>
  <si>
    <t>Tupaia glis</t>
    <phoneticPr fontId="3" type="noConversion"/>
  </si>
  <si>
    <t>Tupaia minor</t>
    <phoneticPr fontId="3" type="noConversion"/>
  </si>
  <si>
    <t>Urogale everetti</t>
    <phoneticPr fontId="3" type="noConversion"/>
  </si>
  <si>
    <t>Species</t>
    <phoneticPr fontId="3" type="noConversion"/>
  </si>
  <si>
    <t>Category</t>
    <phoneticPr fontId="3" type="noConversion"/>
  </si>
  <si>
    <t>Simians</t>
    <phoneticPr fontId="3" type="noConversion"/>
  </si>
  <si>
    <t>Prosimians</t>
    <phoneticPr fontId="3" type="noConversion"/>
  </si>
  <si>
    <t>Scandentia</t>
    <phoneticPr fontId="3" type="noConversion"/>
  </si>
  <si>
    <t>Homo sapiens</t>
  </si>
  <si>
    <t>Pan troglodytes</t>
  </si>
  <si>
    <t>Pan paniscus</t>
  </si>
  <si>
    <t>Gorilla gorilla</t>
  </si>
  <si>
    <t>Pongo pygmaeus</t>
  </si>
  <si>
    <t>Hylobates lar</t>
  </si>
  <si>
    <t xml:space="preserve">Symphalangus syndactylus </t>
    <phoneticPr fontId="3" type="noConversion"/>
  </si>
  <si>
    <t>Macaca fascicularis</t>
  </si>
  <si>
    <t>Macaca mulatta</t>
  </si>
  <si>
    <t>Lophocebus albigena</t>
    <phoneticPr fontId="3" type="noConversion"/>
  </si>
  <si>
    <t>Papio anubis</t>
  </si>
  <si>
    <t>Cercopithecus ascanius</t>
  </si>
  <si>
    <t>Cercopithecus mitus</t>
    <phoneticPr fontId="3" type="noConversion"/>
  </si>
  <si>
    <t>Miopithecus talapoin</t>
  </si>
  <si>
    <t>Procolobus badius</t>
    <phoneticPr fontId="3" type="noConversion"/>
  </si>
  <si>
    <t>Callithrix jacchus</t>
  </si>
  <si>
    <t>Cebuella pygmaea</t>
  </si>
  <si>
    <t>Sanguinus midas</t>
  </si>
  <si>
    <t>Sanguinus oedipus</t>
  </si>
  <si>
    <t>Cebus albifrons</t>
    <phoneticPr fontId="3" type="noConversion"/>
  </si>
  <si>
    <t>Aotus trivirgatus</t>
  </si>
  <si>
    <t>Callicebus moloch</t>
  </si>
  <si>
    <t>Saimiri sciureus</t>
  </si>
  <si>
    <t>Pithecus monachus</t>
  </si>
  <si>
    <t>Alouatta seniculus</t>
    <phoneticPr fontId="3" type="noConversion"/>
  </si>
  <si>
    <t>Ateles geoffroyi</t>
  </si>
  <si>
    <t>Lagothix lagathricha</t>
  </si>
  <si>
    <t>Tarsius syrichta</t>
    <phoneticPr fontId="3" type="noConversion"/>
  </si>
  <si>
    <t>Microcebus murinus</t>
  </si>
  <si>
    <t>Cheirogaleus major</t>
  </si>
  <si>
    <t>Cheirogaleus medius</t>
  </si>
  <si>
    <t>Eulemur fulvus</t>
    <phoneticPr fontId="3" type="noConversion"/>
  </si>
  <si>
    <t>Varecia variegata</t>
  </si>
  <si>
    <t>Lepilemur ruficaudatus</t>
  </si>
  <si>
    <t>Avahi laniger</t>
  </si>
  <si>
    <t>Propithecus verreauxi</t>
  </si>
  <si>
    <t>Indri indri</t>
  </si>
  <si>
    <t>Daubentonia madagascariensis</t>
    <phoneticPr fontId="3" type="noConversion"/>
  </si>
  <si>
    <t>Loris tardigradius</t>
  </si>
  <si>
    <t>Nycticebus coucang</t>
  </si>
  <si>
    <t>Perodicticus potto</t>
  </si>
  <si>
    <t>Galago senegalensis</t>
  </si>
  <si>
    <t>Otolemur crassicaudatus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</si>
</sst>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7" formatCode="#,##0"/>
  </numFmts>
  <fonts count="5">
    <font>
      <sz val="10"/>
      <name val="Verdana"/>
    </font>
    <font>
      <i/>
      <sz val="10"/>
      <name val="Verdana"/>
    </font>
    <font>
      <i/>
      <sz val="10"/>
      <name val="Times New Roman"/>
    </font>
    <font>
      <sz val="8"/>
      <name val="Verdana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1" xfId="0" applyNumberFormat="1" applyFont="1" applyFill="1" applyBorder="1" applyAlignment="1">
      <alignment wrapText="1"/>
    </xf>
    <xf numFmtId="165" fontId="4" fillId="0" borderId="1" xfId="0" applyNumberFormat="1" applyFont="1" applyFill="1" applyBorder="1" applyAlignment="1">
      <alignment wrapText="1"/>
    </xf>
    <xf numFmtId="165" fontId="4" fillId="0" borderId="0" xfId="0" applyNumberFormat="1" applyFont="1"/>
    <xf numFmtId="165" fontId="0" fillId="0" borderId="0" xfId="0" applyNumberFormat="1"/>
    <xf numFmtId="49" fontId="0" fillId="0" borderId="0" xfId="0" applyNumberFormat="1"/>
    <xf numFmtId="0" fontId="1" fillId="0" borderId="0" xfId="0" applyFont="1"/>
    <xf numFmtId="167" fontId="4" fillId="0" borderId="1" xfId="0" applyNumberFormat="1" applyFont="1" applyFill="1" applyBorder="1" applyAlignment="1">
      <alignment wrapText="1"/>
    </xf>
    <xf numFmtId="167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J67"/>
  <sheetViews>
    <sheetView workbookViewId="0">
      <pane xSplit="2" ySplit="2" topLeftCell="C41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RowHeight="13"/>
  <cols>
    <col min="2" max="2" width="19" customWidth="1"/>
    <col min="3" max="3" width="3" customWidth="1"/>
    <col min="4" max="4" width="4.42578125" customWidth="1"/>
    <col min="5" max="5" width="7.28515625" style="7" customWidth="1"/>
    <col min="6" max="6" width="4.7109375" customWidth="1"/>
    <col min="7" max="7" width="8" style="11" customWidth="1"/>
    <col min="8" max="8" width="8.28515625" customWidth="1"/>
    <col min="9" max="9" width="6.140625" customWidth="1"/>
  </cols>
  <sheetData>
    <row r="1" spans="1:10" ht="17" customHeight="1">
      <c r="A1" t="s">
        <v>87</v>
      </c>
      <c r="B1" t="s">
        <v>86</v>
      </c>
      <c r="C1" s="4" t="s">
        <v>14</v>
      </c>
      <c r="D1" s="4" t="s">
        <v>8</v>
      </c>
      <c r="E1" s="5" t="s">
        <v>10</v>
      </c>
      <c r="F1" s="4" t="s">
        <v>12</v>
      </c>
      <c r="G1" s="10" t="s">
        <v>14</v>
      </c>
      <c r="H1" s="4" t="s">
        <v>8</v>
      </c>
      <c r="I1" s="5" t="s">
        <v>10</v>
      </c>
      <c r="J1" s="4" t="s">
        <v>12</v>
      </c>
    </row>
    <row r="2" spans="1:10">
      <c r="C2">
        <v>991</v>
      </c>
      <c r="D2">
        <v>992</v>
      </c>
      <c r="E2" s="7">
        <v>993</v>
      </c>
      <c r="F2">
        <v>994</v>
      </c>
      <c r="G2" s="11">
        <v>991</v>
      </c>
      <c r="H2">
        <v>992</v>
      </c>
      <c r="I2" s="7">
        <v>993</v>
      </c>
      <c r="J2">
        <v>994</v>
      </c>
    </row>
    <row r="3" spans="1:10">
      <c r="A3" t="s">
        <v>88</v>
      </c>
      <c r="B3" s="1" t="s">
        <v>91</v>
      </c>
      <c r="C3" s="2">
        <v>1258.3976833976835</v>
      </c>
      <c r="D3" s="2">
        <v>991</v>
      </c>
      <c r="E3" s="6">
        <v>15.247501158301159</v>
      </c>
      <c r="F3" s="3">
        <v>0.33502192020267102</v>
      </c>
      <c r="G3" s="11">
        <f t="shared" ref="G3:H46" si="0">C3*1000</f>
        <v>1258397.6833976835</v>
      </c>
      <c r="H3" s="11">
        <f t="shared" ref="H3:J46" si="1">D3*1000</f>
        <v>991000</v>
      </c>
      <c r="I3" s="11">
        <f t="shared" ref="I3:I49" si="2">E3*1000</f>
        <v>15247.501158301158</v>
      </c>
      <c r="J3" s="11">
        <f t="shared" ref="J3:J46" si="3">F3*1000</f>
        <v>335.02192020267103</v>
      </c>
    </row>
    <row r="4" spans="1:10">
      <c r="A4" t="s">
        <v>88</v>
      </c>
      <c r="B4" s="1" t="s">
        <v>92</v>
      </c>
      <c r="C4" s="2">
        <v>319.67070914053659</v>
      </c>
      <c r="D4" s="2">
        <v>264.64999999999998</v>
      </c>
      <c r="E4" s="6">
        <v>8.2683032091306305</v>
      </c>
      <c r="F4" s="3">
        <v>0.25073850270002573</v>
      </c>
      <c r="G4" s="11">
        <f t="shared" si="0"/>
        <v>319670.70914053661</v>
      </c>
      <c r="H4">
        <f t="shared" si="1"/>
        <v>264650</v>
      </c>
      <c r="I4">
        <f t="shared" si="2"/>
        <v>8268.3032091306304</v>
      </c>
      <c r="J4">
        <f t="shared" si="3"/>
        <v>250.73850270002572</v>
      </c>
    </row>
    <row r="5" spans="1:10">
      <c r="A5" t="s">
        <v>88</v>
      </c>
      <c r="B5" s="1" t="s">
        <v>93</v>
      </c>
      <c r="C5" s="2">
        <v>338.80308880308883</v>
      </c>
      <c r="D5" s="2">
        <v>246.7</v>
      </c>
      <c r="E5" s="6">
        <v>11.606464341140198</v>
      </c>
      <c r="F5" s="3">
        <v>0.27514011905837837</v>
      </c>
      <c r="G5" s="11">
        <f t="shared" si="0"/>
        <v>338803.08880308882</v>
      </c>
      <c r="H5">
        <f t="shared" si="1"/>
        <v>246700</v>
      </c>
      <c r="I5">
        <f t="shared" si="2"/>
        <v>11606.464341140198</v>
      </c>
      <c r="J5">
        <f t="shared" si="3"/>
        <v>275.14011905837839</v>
      </c>
    </row>
    <row r="6" spans="1:10">
      <c r="A6" t="s">
        <v>88</v>
      </c>
      <c r="B6" s="1" t="s">
        <v>94</v>
      </c>
      <c r="C6" s="2">
        <v>398.64864864864865</v>
      </c>
      <c r="D6" s="2">
        <v>283.7</v>
      </c>
      <c r="E6" s="6">
        <v>9.1290213173328603</v>
      </c>
      <c r="F6" s="3">
        <v>0.30852476846310395</v>
      </c>
      <c r="G6" s="11">
        <f t="shared" si="0"/>
        <v>398648.64864864864</v>
      </c>
      <c r="H6">
        <f t="shared" si="1"/>
        <v>283700</v>
      </c>
      <c r="I6">
        <f t="shared" si="2"/>
        <v>9129.0213173328611</v>
      </c>
      <c r="J6">
        <f t="shared" si="3"/>
        <v>308.52476846310395</v>
      </c>
    </row>
    <row r="7" spans="1:10">
      <c r="A7" t="s">
        <v>88</v>
      </c>
      <c r="B7" s="1" t="s">
        <v>95</v>
      </c>
      <c r="C7" s="2">
        <v>371.29987129987131</v>
      </c>
      <c r="D7" s="2">
        <v>269.23333333333335</v>
      </c>
      <c r="E7" s="6">
        <v>8.2337106859079494</v>
      </c>
      <c r="F7" s="3">
        <v>0.25912109811283141</v>
      </c>
      <c r="G7" s="11">
        <f t="shared" si="0"/>
        <v>371299.8712998713</v>
      </c>
      <c r="H7">
        <f t="shared" si="1"/>
        <v>269233.33333333337</v>
      </c>
      <c r="I7">
        <f t="shared" si="2"/>
        <v>8233.7106859079486</v>
      </c>
      <c r="J7">
        <f t="shared" si="3"/>
        <v>259.12109811283142</v>
      </c>
    </row>
    <row r="8" spans="1:10">
      <c r="A8" t="s">
        <v>88</v>
      </c>
      <c r="B8" s="1" t="s">
        <v>96</v>
      </c>
      <c r="C8" s="2">
        <v>102.31660231660231</v>
      </c>
      <c r="D8" s="2">
        <v>68.3</v>
      </c>
      <c r="E8" s="6">
        <v>4.0866613080237553</v>
      </c>
      <c r="F8" s="3">
        <v>0.16623885567803015</v>
      </c>
      <c r="G8" s="11">
        <f t="shared" si="0"/>
        <v>102316.60231660231</v>
      </c>
      <c r="H8">
        <f t="shared" si="1"/>
        <v>68300</v>
      </c>
      <c r="I8">
        <f t="shared" si="2"/>
        <v>4086.6613080237553</v>
      </c>
      <c r="J8">
        <f t="shared" si="3"/>
        <v>166.23885567803015</v>
      </c>
    </row>
    <row r="9" spans="1:10">
      <c r="A9" t="s">
        <v>88</v>
      </c>
      <c r="B9" s="1" t="s">
        <v>97</v>
      </c>
      <c r="C9" s="2">
        <v>133.88030888030886</v>
      </c>
      <c r="D9" s="2" t="s">
        <v>4</v>
      </c>
      <c r="E9" s="6">
        <v>5.4689182747539329</v>
      </c>
      <c r="F9" s="6" t="s">
        <v>5</v>
      </c>
      <c r="G9" s="11">
        <f t="shared" si="0"/>
        <v>133880.30888030885</v>
      </c>
      <c r="H9" t="s">
        <v>17</v>
      </c>
      <c r="I9">
        <f t="shared" si="2"/>
        <v>5468.9182747539326</v>
      </c>
      <c r="J9" t="s">
        <v>19</v>
      </c>
    </row>
    <row r="10" spans="1:10">
      <c r="A10" t="s">
        <v>88</v>
      </c>
      <c r="B10" s="1" t="s">
        <v>98</v>
      </c>
      <c r="C10" s="2">
        <v>55.598455598455601</v>
      </c>
      <c r="D10" s="2" t="s">
        <v>5</v>
      </c>
      <c r="E10" s="6">
        <v>2.7133462286847085</v>
      </c>
      <c r="F10" s="3">
        <v>9.1886107649950491E-2</v>
      </c>
      <c r="G10" s="11">
        <f t="shared" si="0"/>
        <v>55598.455598455599</v>
      </c>
      <c r="H10" t="s">
        <v>18</v>
      </c>
      <c r="I10">
        <f t="shared" si="2"/>
        <v>2713.3462286847084</v>
      </c>
      <c r="J10">
        <f t="shared" si="3"/>
        <v>91.886107649950489</v>
      </c>
    </row>
    <row r="11" spans="1:10">
      <c r="A11" t="s">
        <v>88</v>
      </c>
      <c r="B11" s="1" t="s">
        <v>99</v>
      </c>
      <c r="C11" s="2">
        <v>89.768339768339771</v>
      </c>
      <c r="D11" s="2">
        <v>63.481999999999999</v>
      </c>
      <c r="E11" s="6">
        <v>5.343</v>
      </c>
      <c r="F11" s="3">
        <v>0.158</v>
      </c>
      <c r="G11" s="11">
        <f t="shared" si="0"/>
        <v>89768.339768339778</v>
      </c>
      <c r="H11">
        <f t="shared" si="1"/>
        <v>63482</v>
      </c>
      <c r="I11">
        <f t="shared" si="2"/>
        <v>5343</v>
      </c>
      <c r="J11">
        <f t="shared" si="3"/>
        <v>158</v>
      </c>
    </row>
    <row r="12" spans="1:10">
      <c r="A12" t="s">
        <v>88</v>
      </c>
      <c r="B12" s="1" t="s">
        <v>100</v>
      </c>
      <c r="C12" s="2">
        <v>100.38610038610038</v>
      </c>
      <c r="D12" s="2">
        <v>68.733000000000004</v>
      </c>
      <c r="E12" s="6">
        <v>5.42</v>
      </c>
      <c r="F12" s="3">
        <v>0.182</v>
      </c>
      <c r="G12" s="11">
        <f t="shared" si="0"/>
        <v>100386.10038610038</v>
      </c>
      <c r="H12">
        <f t="shared" si="1"/>
        <v>68733</v>
      </c>
      <c r="I12">
        <f t="shared" si="2"/>
        <v>5420</v>
      </c>
      <c r="J12">
        <f t="shared" si="3"/>
        <v>182</v>
      </c>
    </row>
    <row r="13" spans="1:10">
      <c r="A13" t="s">
        <v>88</v>
      </c>
      <c r="B13" s="1" t="s">
        <v>101</v>
      </c>
      <c r="C13" s="2">
        <v>194.01544401544402</v>
      </c>
      <c r="D13" s="2">
        <v>140.142</v>
      </c>
      <c r="E13" s="6">
        <v>10.000999999999999</v>
      </c>
      <c r="F13" s="3">
        <v>0.39500000000000002</v>
      </c>
      <c r="G13" s="11">
        <f t="shared" si="0"/>
        <v>194015.44401544402</v>
      </c>
      <c r="H13">
        <f t="shared" si="1"/>
        <v>140142</v>
      </c>
      <c r="I13">
        <f t="shared" si="2"/>
        <v>10001</v>
      </c>
      <c r="J13">
        <f t="shared" si="3"/>
        <v>395</v>
      </c>
    </row>
    <row r="14" spans="1:10">
      <c r="A14" t="s">
        <v>88</v>
      </c>
      <c r="B14" s="1" t="s">
        <v>102</v>
      </c>
      <c r="C14" s="2">
        <v>64.671814671814673</v>
      </c>
      <c r="D14" s="2">
        <v>45.165999999999997</v>
      </c>
      <c r="E14" s="6">
        <v>4.2720000000000002</v>
      </c>
      <c r="F14" s="3">
        <v>0.14699999999999999</v>
      </c>
      <c r="G14" s="11">
        <f t="shared" si="0"/>
        <v>64671.814671814675</v>
      </c>
      <c r="H14">
        <f t="shared" si="1"/>
        <v>45166</v>
      </c>
      <c r="I14">
        <f t="shared" si="2"/>
        <v>4272</v>
      </c>
      <c r="J14">
        <f t="shared" si="3"/>
        <v>147</v>
      </c>
    </row>
    <row r="15" spans="1:10">
      <c r="A15" t="s">
        <v>88</v>
      </c>
      <c r="B15" s="1" t="s">
        <v>103</v>
      </c>
      <c r="C15" s="2">
        <v>72.39382239382239</v>
      </c>
      <c r="D15" s="2">
        <v>49.933</v>
      </c>
      <c r="E15" s="6">
        <v>4.2320000000000002</v>
      </c>
      <c r="F15" s="3">
        <v>0.15</v>
      </c>
      <c r="G15" s="11">
        <f t="shared" si="0"/>
        <v>72393.822393822396</v>
      </c>
      <c r="H15">
        <f t="shared" si="1"/>
        <v>49933</v>
      </c>
      <c r="I15">
        <f t="shared" si="2"/>
        <v>4232</v>
      </c>
      <c r="J15">
        <f t="shared" si="3"/>
        <v>150</v>
      </c>
    </row>
    <row r="16" spans="1:10">
      <c r="A16" t="s">
        <v>88</v>
      </c>
      <c r="B16" s="1" t="s">
        <v>104</v>
      </c>
      <c r="C16" s="2">
        <v>38.610038610038607</v>
      </c>
      <c r="D16" s="2">
        <v>26.427</v>
      </c>
      <c r="E16" s="6">
        <v>2.339</v>
      </c>
      <c r="F16" s="3">
        <v>0.109</v>
      </c>
      <c r="G16" s="11">
        <f t="shared" si="0"/>
        <v>38610.038610038609</v>
      </c>
      <c r="H16">
        <f t="shared" si="1"/>
        <v>26427</v>
      </c>
      <c r="I16">
        <f t="shared" si="2"/>
        <v>2339</v>
      </c>
      <c r="J16">
        <f t="shared" si="3"/>
        <v>109</v>
      </c>
    </row>
    <row r="17" spans="1:10">
      <c r="A17" t="s">
        <v>88</v>
      </c>
      <c r="B17" s="1" t="s">
        <v>105</v>
      </c>
      <c r="C17" s="2">
        <v>75.289575289575282</v>
      </c>
      <c r="D17" s="2">
        <v>50.905999999999999</v>
      </c>
      <c r="E17" s="6">
        <v>3.0529999999999999</v>
      </c>
      <c r="F17" s="3">
        <v>0.128</v>
      </c>
      <c r="G17" s="11">
        <f t="shared" si="0"/>
        <v>75289.575289575281</v>
      </c>
      <c r="H17">
        <f t="shared" si="1"/>
        <v>50906</v>
      </c>
      <c r="I17">
        <f t="shared" si="2"/>
        <v>3053</v>
      </c>
      <c r="J17">
        <f t="shared" si="3"/>
        <v>128</v>
      </c>
    </row>
    <row r="18" spans="1:10">
      <c r="A18" t="s">
        <v>88</v>
      </c>
      <c r="B18" s="1" t="s">
        <v>106</v>
      </c>
      <c r="C18" s="2">
        <v>7.3359073359073355</v>
      </c>
      <c r="D18" s="2">
        <v>4.3710000000000004</v>
      </c>
      <c r="E18" s="6">
        <v>0.56599999999999995</v>
      </c>
      <c r="F18" s="3">
        <v>2.5100000000000001E-2</v>
      </c>
      <c r="G18" s="11">
        <f t="shared" si="0"/>
        <v>7335.9073359073354</v>
      </c>
      <c r="H18">
        <f t="shared" si="1"/>
        <v>4371</v>
      </c>
      <c r="I18">
        <f t="shared" si="2"/>
        <v>566</v>
      </c>
      <c r="J18">
        <f t="shared" si="3"/>
        <v>25.1</v>
      </c>
    </row>
    <row r="19" spans="1:10">
      <c r="A19" t="s">
        <v>88</v>
      </c>
      <c r="B19" s="1" t="s">
        <v>107</v>
      </c>
      <c r="C19" s="2">
        <v>4.3436293436293436</v>
      </c>
      <c r="D19" s="2">
        <v>2.5350000000000001</v>
      </c>
      <c r="E19" s="6">
        <v>0.36299999999999999</v>
      </c>
      <c r="F19" s="3">
        <v>1.6899999999999998E-2</v>
      </c>
      <c r="G19" s="11">
        <f t="shared" si="0"/>
        <v>4343.6293436293436</v>
      </c>
      <c r="H19">
        <f t="shared" si="1"/>
        <v>2535</v>
      </c>
      <c r="I19">
        <f t="shared" si="2"/>
        <v>363</v>
      </c>
      <c r="J19">
        <f t="shared" si="3"/>
        <v>16.899999999999999</v>
      </c>
    </row>
    <row r="20" spans="1:10">
      <c r="A20" t="s">
        <v>88</v>
      </c>
      <c r="B20" s="1" t="s">
        <v>108</v>
      </c>
      <c r="C20" s="2">
        <v>9.9420849420849429</v>
      </c>
      <c r="D20" s="2">
        <v>5.883</v>
      </c>
      <c r="E20" s="6">
        <v>0.84099999999999997</v>
      </c>
      <c r="F20" s="3">
        <v>3.5999999999999997E-2</v>
      </c>
      <c r="G20" s="11">
        <f t="shared" si="0"/>
        <v>9942.0849420849427</v>
      </c>
      <c r="H20">
        <f t="shared" si="1"/>
        <v>5883</v>
      </c>
      <c r="I20">
        <f t="shared" si="2"/>
        <v>841</v>
      </c>
      <c r="J20">
        <f t="shared" si="3"/>
        <v>36</v>
      </c>
    </row>
    <row r="21" spans="1:10">
      <c r="A21" t="s">
        <v>88</v>
      </c>
      <c r="B21" s="1" t="s">
        <v>109</v>
      </c>
      <c r="C21" s="2">
        <v>9.6525096525096519</v>
      </c>
      <c r="D21" s="2">
        <v>5.8940000000000001</v>
      </c>
      <c r="E21" s="6">
        <v>0.80700000000000005</v>
      </c>
      <c r="F21" s="3">
        <v>3.4200000000000001E-2</v>
      </c>
      <c r="G21" s="11">
        <f t="shared" si="0"/>
        <v>9652.5096525096524</v>
      </c>
      <c r="H21">
        <f t="shared" si="1"/>
        <v>5894</v>
      </c>
      <c r="I21">
        <f t="shared" si="2"/>
        <v>807</v>
      </c>
      <c r="J21">
        <f t="shared" si="3"/>
        <v>34.200000000000003</v>
      </c>
    </row>
    <row r="22" spans="1:10">
      <c r="A22" t="s">
        <v>88</v>
      </c>
      <c r="B22" s="1" t="s">
        <v>110</v>
      </c>
      <c r="C22" s="2">
        <v>68.532818532818524</v>
      </c>
      <c r="D22" s="2">
        <v>46.429000000000002</v>
      </c>
      <c r="E22" s="6">
        <v>3.7639999999999998</v>
      </c>
      <c r="F22" s="3">
        <v>0.13700000000000001</v>
      </c>
      <c r="G22" s="11">
        <f t="shared" si="0"/>
        <v>68532.818532818521</v>
      </c>
      <c r="H22">
        <f t="shared" si="1"/>
        <v>46429</v>
      </c>
      <c r="I22">
        <f t="shared" si="2"/>
        <v>3764</v>
      </c>
      <c r="J22">
        <f t="shared" si="3"/>
        <v>137</v>
      </c>
    </row>
    <row r="23" spans="1:10">
      <c r="A23" t="s">
        <v>88</v>
      </c>
      <c r="B23" s="1" t="s">
        <v>111</v>
      </c>
      <c r="C23" s="2">
        <v>16.505791505791507</v>
      </c>
      <c r="D23" s="2">
        <v>9.9499999999999993</v>
      </c>
      <c r="E23" s="6">
        <v>0.996</v>
      </c>
      <c r="F23" s="3">
        <v>3.2899999999999999E-2</v>
      </c>
      <c r="G23" s="11">
        <f t="shared" si="0"/>
        <v>16505.791505791505</v>
      </c>
      <c r="H23">
        <f t="shared" si="1"/>
        <v>9950</v>
      </c>
      <c r="I23">
        <f t="shared" si="2"/>
        <v>996</v>
      </c>
      <c r="J23">
        <f t="shared" si="3"/>
        <v>32.9</v>
      </c>
    </row>
    <row r="24" spans="1:10">
      <c r="A24" t="s">
        <v>88</v>
      </c>
      <c r="B24" s="1" t="s">
        <v>112</v>
      </c>
      <c r="C24" s="2">
        <v>18.339768339768341</v>
      </c>
      <c r="D24" s="2">
        <v>11.163</v>
      </c>
      <c r="E24" s="6">
        <v>1.2010000000000001</v>
      </c>
      <c r="F24" s="3">
        <v>5.4200000000000005E-2</v>
      </c>
      <c r="G24" s="11">
        <f t="shared" si="0"/>
        <v>18339.76833976834</v>
      </c>
      <c r="H24">
        <f t="shared" si="1"/>
        <v>11163</v>
      </c>
      <c r="I24">
        <f t="shared" si="2"/>
        <v>1201</v>
      </c>
      <c r="J24">
        <f t="shared" si="3"/>
        <v>54.2</v>
      </c>
    </row>
    <row r="25" spans="1:10">
      <c r="A25" t="s">
        <v>88</v>
      </c>
      <c r="B25" s="1" t="s">
        <v>113</v>
      </c>
      <c r="C25" s="2">
        <v>23.166023166023166</v>
      </c>
      <c r="D25" s="2">
        <v>15.541</v>
      </c>
      <c r="E25" s="6">
        <v>1.8839999999999999</v>
      </c>
      <c r="F25" s="3">
        <v>6.2899999999999998E-2</v>
      </c>
      <c r="G25" s="11">
        <f t="shared" si="0"/>
        <v>23166.023166023166</v>
      </c>
      <c r="H25">
        <f t="shared" si="1"/>
        <v>15541</v>
      </c>
      <c r="I25">
        <f t="shared" si="2"/>
        <v>1884</v>
      </c>
      <c r="J25">
        <f t="shared" si="3"/>
        <v>62.9</v>
      </c>
    </row>
    <row r="26" spans="1:10">
      <c r="A26" t="s">
        <v>88</v>
      </c>
      <c r="B26" s="1" t="s">
        <v>114</v>
      </c>
      <c r="C26" s="2">
        <v>33.783783783783782</v>
      </c>
      <c r="D26" s="2">
        <v>21.027999999999999</v>
      </c>
      <c r="E26" s="6">
        <v>1.679</v>
      </c>
      <c r="F26" s="3">
        <v>7.6299999999999993E-2</v>
      </c>
      <c r="G26" s="11">
        <f t="shared" si="0"/>
        <v>33783.78378378378</v>
      </c>
      <c r="H26">
        <f t="shared" si="1"/>
        <v>21028</v>
      </c>
      <c r="I26">
        <f t="shared" si="2"/>
        <v>1679</v>
      </c>
      <c r="J26">
        <f t="shared" si="3"/>
        <v>76.3</v>
      </c>
    </row>
    <row r="27" spans="1:10">
      <c r="A27" t="s">
        <v>88</v>
      </c>
      <c r="B27" s="1" t="s">
        <v>115</v>
      </c>
      <c r="C27" s="2">
        <v>50.19305019305019</v>
      </c>
      <c r="D27" s="2">
        <v>31.66</v>
      </c>
      <c r="E27" s="6">
        <v>1.9179999999999999</v>
      </c>
      <c r="F27" s="3">
        <v>8.7400000000000005E-2</v>
      </c>
      <c r="G27" s="11">
        <f t="shared" si="0"/>
        <v>50193.050193050192</v>
      </c>
      <c r="H27">
        <f t="shared" si="1"/>
        <v>31660</v>
      </c>
      <c r="I27">
        <f t="shared" si="2"/>
        <v>1918</v>
      </c>
      <c r="J27">
        <f t="shared" si="3"/>
        <v>87.4</v>
      </c>
    </row>
    <row r="28" spans="1:10">
      <c r="A28" t="s">
        <v>88</v>
      </c>
      <c r="B28" s="1" t="s">
        <v>116</v>
      </c>
      <c r="C28" s="2">
        <v>104.24710424710425</v>
      </c>
      <c r="D28" s="2">
        <v>70.855999999999995</v>
      </c>
      <c r="E28" s="6">
        <v>3.7530000000000001</v>
      </c>
      <c r="F28" s="3">
        <v>0.151</v>
      </c>
      <c r="G28" s="11">
        <f t="shared" si="0"/>
        <v>104247.10424710425</v>
      </c>
      <c r="H28">
        <f t="shared" si="1"/>
        <v>70856</v>
      </c>
      <c r="I28">
        <f t="shared" si="2"/>
        <v>3753</v>
      </c>
      <c r="J28">
        <f t="shared" si="3"/>
        <v>151</v>
      </c>
    </row>
    <row r="29" spans="1:10">
      <c r="A29" t="s">
        <v>88</v>
      </c>
      <c r="B29" s="1" t="s">
        <v>117</v>
      </c>
      <c r="C29" s="2">
        <v>97.490347490347489</v>
      </c>
      <c r="D29" s="2">
        <v>65.873000000000005</v>
      </c>
      <c r="E29" s="6">
        <v>4.8559999999999999</v>
      </c>
      <c r="F29" s="3">
        <v>0.16400000000000001</v>
      </c>
      <c r="G29" s="11">
        <f t="shared" si="0"/>
        <v>97490.347490347485</v>
      </c>
      <c r="H29">
        <f t="shared" si="1"/>
        <v>65873</v>
      </c>
      <c r="I29">
        <f t="shared" si="2"/>
        <v>4856</v>
      </c>
      <c r="J29">
        <f t="shared" si="3"/>
        <v>164</v>
      </c>
    </row>
    <row r="30" spans="1:10">
      <c r="A30" t="s">
        <v>89</v>
      </c>
      <c r="B30" s="1" t="s">
        <v>118</v>
      </c>
      <c r="C30" s="2">
        <v>3.4749034749034751</v>
      </c>
      <c r="D30" s="2">
        <v>23.1</v>
      </c>
      <c r="E30" s="6">
        <v>0.34899999999999998</v>
      </c>
      <c r="F30" s="3">
        <v>2.0799999999999999E-2</v>
      </c>
      <c r="G30" s="11">
        <f t="shared" si="0"/>
        <v>3474.9034749034749</v>
      </c>
      <c r="H30">
        <f t="shared" si="1"/>
        <v>23100</v>
      </c>
      <c r="I30">
        <f t="shared" si="2"/>
        <v>349</v>
      </c>
      <c r="J30">
        <f t="shared" si="3"/>
        <v>20.8</v>
      </c>
    </row>
    <row r="31" spans="1:10">
      <c r="A31" t="s">
        <v>89</v>
      </c>
      <c r="B31" s="1" t="s">
        <v>119</v>
      </c>
      <c r="C31" s="2">
        <v>1.718146718146718</v>
      </c>
      <c r="D31" s="2">
        <v>17</v>
      </c>
      <c r="E31" s="6">
        <v>0.13900000000000001</v>
      </c>
      <c r="F31" s="3">
        <v>7.0999999999999995E-3</v>
      </c>
      <c r="G31" s="11">
        <f t="shared" si="0"/>
        <v>1718.1467181467181</v>
      </c>
      <c r="H31">
        <f t="shared" si="1"/>
        <v>17000</v>
      </c>
      <c r="I31">
        <f t="shared" si="2"/>
        <v>139</v>
      </c>
      <c r="J31">
        <f t="shared" si="3"/>
        <v>7.1</v>
      </c>
    </row>
    <row r="32" spans="1:10">
      <c r="A32" t="s">
        <v>89</v>
      </c>
      <c r="B32" s="1" t="s">
        <v>120</v>
      </c>
      <c r="C32" s="2">
        <v>6.563706563706563</v>
      </c>
      <c r="D32" s="2">
        <v>16.3</v>
      </c>
      <c r="E32" s="6">
        <v>0.433</v>
      </c>
      <c r="F32" s="3">
        <v>2.1499999999999998E-2</v>
      </c>
      <c r="G32" s="11">
        <f t="shared" si="0"/>
        <v>6563.7065637065634</v>
      </c>
      <c r="H32">
        <f t="shared" si="1"/>
        <v>16300</v>
      </c>
      <c r="I32">
        <f t="shared" si="2"/>
        <v>433</v>
      </c>
      <c r="J32">
        <f t="shared" si="3"/>
        <v>21.5</v>
      </c>
    </row>
    <row r="33" spans="1:10">
      <c r="A33" t="s">
        <v>89</v>
      </c>
      <c r="B33" s="1" t="s">
        <v>121</v>
      </c>
      <c r="C33" s="2">
        <v>3.0308880308880308</v>
      </c>
      <c r="D33" s="2">
        <v>12.6</v>
      </c>
      <c r="E33" s="6">
        <v>0.19900000000000001</v>
      </c>
      <c r="F33" s="3">
        <v>1.0800000000000001E-2</v>
      </c>
      <c r="G33" s="11">
        <f t="shared" si="0"/>
        <v>3030.8880308880307</v>
      </c>
      <c r="H33">
        <f t="shared" si="1"/>
        <v>12600</v>
      </c>
      <c r="I33">
        <f t="shared" si="2"/>
        <v>199</v>
      </c>
      <c r="J33">
        <f t="shared" si="3"/>
        <v>10.8</v>
      </c>
    </row>
    <row r="34" spans="1:10">
      <c r="A34" t="s">
        <v>89</v>
      </c>
      <c r="B34" s="1" t="s">
        <v>122</v>
      </c>
      <c r="C34" s="2">
        <v>22.490347490347489</v>
      </c>
      <c r="D34" s="2">
        <v>31.6</v>
      </c>
      <c r="E34" s="6">
        <v>1.2529999999999999</v>
      </c>
      <c r="F34" s="3">
        <v>5.1799999999999999E-2</v>
      </c>
      <c r="G34" s="11">
        <f t="shared" si="0"/>
        <v>22490.347490347489</v>
      </c>
      <c r="H34">
        <f t="shared" si="1"/>
        <v>31600</v>
      </c>
      <c r="I34">
        <f t="shared" si="2"/>
        <v>1253</v>
      </c>
      <c r="J34">
        <f t="shared" si="3"/>
        <v>51.8</v>
      </c>
    </row>
    <row r="35" spans="1:10">
      <c r="A35" t="s">
        <v>89</v>
      </c>
      <c r="B35" s="1" t="s">
        <v>123</v>
      </c>
      <c r="C35" s="2">
        <v>30.405405405405403</v>
      </c>
      <c r="D35" s="2">
        <v>23.8</v>
      </c>
      <c r="E35" s="6">
        <v>1.7450000000000001</v>
      </c>
      <c r="F35" s="3">
        <v>6.8900000000000003E-2</v>
      </c>
      <c r="G35" s="11">
        <f t="shared" si="0"/>
        <v>30405.405405405403</v>
      </c>
      <c r="H35">
        <f t="shared" si="1"/>
        <v>23800</v>
      </c>
      <c r="I35">
        <f t="shared" si="2"/>
        <v>1745</v>
      </c>
      <c r="J35">
        <f t="shared" si="3"/>
        <v>68.900000000000006</v>
      </c>
    </row>
    <row r="36" spans="1:10">
      <c r="A36" t="s">
        <v>89</v>
      </c>
      <c r="B36" s="1" t="s">
        <v>124</v>
      </c>
      <c r="C36" s="2">
        <v>7.3359073359073355</v>
      </c>
      <c r="D36" s="2">
        <v>11.3</v>
      </c>
      <c r="E36" s="6">
        <v>0.32600000000000001</v>
      </c>
      <c r="F36" s="3">
        <v>1.5599999999999999E-2</v>
      </c>
      <c r="G36" s="11">
        <f t="shared" si="0"/>
        <v>7335.9073359073354</v>
      </c>
      <c r="H36">
        <f t="shared" si="1"/>
        <v>11300</v>
      </c>
      <c r="I36">
        <f t="shared" si="2"/>
        <v>326</v>
      </c>
      <c r="J36">
        <f t="shared" si="3"/>
        <v>15.6</v>
      </c>
    </row>
    <row r="37" spans="1:10">
      <c r="A37" t="s">
        <v>89</v>
      </c>
      <c r="B37" s="1" t="s">
        <v>125</v>
      </c>
      <c r="C37" s="2">
        <v>9.5978120978120973</v>
      </c>
      <c r="D37" s="2">
        <v>15</v>
      </c>
      <c r="E37" s="6">
        <v>0.45833333333333331</v>
      </c>
      <c r="F37" s="3">
        <v>2.8733333333333333E-2</v>
      </c>
      <c r="G37" s="11">
        <f t="shared" si="0"/>
        <v>9597.8120978120969</v>
      </c>
      <c r="H37">
        <f t="shared" si="1"/>
        <v>15000</v>
      </c>
      <c r="I37">
        <f t="shared" si="2"/>
        <v>458.33333333333331</v>
      </c>
      <c r="J37">
        <f t="shared" si="3"/>
        <v>28.733333333333334</v>
      </c>
    </row>
    <row r="38" spans="1:10">
      <c r="A38" t="s">
        <v>89</v>
      </c>
      <c r="B38" s="1" t="s">
        <v>126</v>
      </c>
      <c r="C38" s="2">
        <v>25.772200772200772</v>
      </c>
      <c r="D38" s="2">
        <v>18.5</v>
      </c>
      <c r="E38" s="6">
        <v>1.1060000000000001</v>
      </c>
      <c r="F38" s="3">
        <v>6.4500000000000002E-2</v>
      </c>
      <c r="G38" s="11">
        <f t="shared" si="0"/>
        <v>25772.200772200773</v>
      </c>
      <c r="H38">
        <f t="shared" si="1"/>
        <v>18500</v>
      </c>
      <c r="I38">
        <f t="shared" si="2"/>
        <v>1106</v>
      </c>
      <c r="J38">
        <f t="shared" si="3"/>
        <v>64.5</v>
      </c>
    </row>
    <row r="39" spans="1:10">
      <c r="A39" t="s">
        <v>89</v>
      </c>
      <c r="B39" s="1" t="s">
        <v>127</v>
      </c>
      <c r="C39" s="2">
        <v>36.969111969111964</v>
      </c>
      <c r="D39" s="2">
        <v>19.100000000000001</v>
      </c>
      <c r="E39" s="6">
        <v>1.6479999999999999</v>
      </c>
      <c r="F39" s="3">
        <v>9.4500000000000001E-2</v>
      </c>
      <c r="G39" s="11">
        <f t="shared" si="0"/>
        <v>36969.111969111967</v>
      </c>
      <c r="H39">
        <f t="shared" si="1"/>
        <v>19100</v>
      </c>
      <c r="I39">
        <f t="shared" si="2"/>
        <v>1648</v>
      </c>
      <c r="J39">
        <f t="shared" si="3"/>
        <v>94.5</v>
      </c>
    </row>
    <row r="40" spans="1:10">
      <c r="A40" t="s">
        <v>89</v>
      </c>
      <c r="B40" s="1" t="s">
        <v>128</v>
      </c>
      <c r="C40" s="2">
        <v>43.581081081081081</v>
      </c>
      <c r="D40" s="2">
        <v>36</v>
      </c>
      <c r="E40" s="6">
        <v>1.113</v>
      </c>
      <c r="F40" s="3">
        <v>5.8500000000000003E-2</v>
      </c>
      <c r="G40" s="11">
        <f t="shared" si="0"/>
        <v>43581.08108108108</v>
      </c>
      <c r="H40">
        <f t="shared" si="1"/>
        <v>36000</v>
      </c>
      <c r="I40">
        <f t="shared" si="2"/>
        <v>1113</v>
      </c>
      <c r="J40">
        <f t="shared" si="3"/>
        <v>58.5</v>
      </c>
    </row>
    <row r="41" spans="1:10">
      <c r="A41" t="s">
        <v>89</v>
      </c>
      <c r="B41" s="1" t="s">
        <v>129</v>
      </c>
      <c r="C41" s="2">
        <v>6.3706563706563699</v>
      </c>
      <c r="D41" s="2">
        <v>24.4</v>
      </c>
      <c r="E41" s="6">
        <v>0.52900000000000003</v>
      </c>
      <c r="F41" s="3">
        <v>2.46E-2</v>
      </c>
      <c r="G41" s="11">
        <f t="shared" si="0"/>
        <v>6370.6563706563702</v>
      </c>
      <c r="H41">
        <f t="shared" si="1"/>
        <v>24400</v>
      </c>
      <c r="I41">
        <f t="shared" si="2"/>
        <v>529</v>
      </c>
      <c r="J41">
        <f t="shared" si="3"/>
        <v>24.6</v>
      </c>
    </row>
    <row r="42" spans="1:10">
      <c r="A42" t="s">
        <v>89</v>
      </c>
      <c r="B42" s="1" t="s">
        <v>130</v>
      </c>
      <c r="C42" s="2">
        <v>12.065637065637064</v>
      </c>
      <c r="D42" s="2">
        <v>23.3</v>
      </c>
      <c r="E42" s="6">
        <v>0.69599999999999995</v>
      </c>
      <c r="F42" s="3">
        <v>3.5900000000000001E-2</v>
      </c>
      <c r="G42" s="11">
        <f t="shared" si="0"/>
        <v>12065.637065637064</v>
      </c>
      <c r="H42">
        <f t="shared" si="1"/>
        <v>23300</v>
      </c>
      <c r="I42">
        <f t="shared" si="2"/>
        <v>696</v>
      </c>
      <c r="J42">
        <f t="shared" si="3"/>
        <v>35.9</v>
      </c>
    </row>
    <row r="43" spans="1:10">
      <c r="A43" t="s">
        <v>89</v>
      </c>
      <c r="B43" s="1" t="s">
        <v>131</v>
      </c>
      <c r="C43" s="2">
        <v>13.513513513513512</v>
      </c>
      <c r="D43" s="2">
        <v>19.7</v>
      </c>
      <c r="E43" s="6">
        <v>0.495</v>
      </c>
      <c r="F43" s="3">
        <v>2.4300000000000002E-2</v>
      </c>
      <c r="G43" s="11">
        <f t="shared" si="0"/>
        <v>13513.513513513511</v>
      </c>
      <c r="H43">
        <f t="shared" si="1"/>
        <v>19700</v>
      </c>
      <c r="I43">
        <f t="shared" si="2"/>
        <v>495</v>
      </c>
      <c r="J43">
        <f t="shared" si="3"/>
        <v>24.3</v>
      </c>
    </row>
    <row r="44" spans="1:10">
      <c r="A44" t="s">
        <v>89</v>
      </c>
      <c r="B44" s="1" t="s">
        <v>132</v>
      </c>
      <c r="C44" s="2">
        <v>4.6332046332046328</v>
      </c>
      <c r="D44" s="2">
        <v>21.4</v>
      </c>
      <c r="E44" s="6">
        <v>0.30099999999999999</v>
      </c>
      <c r="F44" s="3">
        <v>1.6E-2</v>
      </c>
      <c r="G44" s="11">
        <f t="shared" si="0"/>
        <v>4633.204633204633</v>
      </c>
      <c r="H44">
        <f t="shared" si="1"/>
        <v>21400</v>
      </c>
      <c r="I44">
        <f t="shared" si="2"/>
        <v>301</v>
      </c>
      <c r="J44">
        <f t="shared" si="3"/>
        <v>16</v>
      </c>
    </row>
    <row r="45" spans="1:10">
      <c r="A45" t="s">
        <v>89</v>
      </c>
      <c r="B45" s="1" t="s">
        <v>133</v>
      </c>
      <c r="C45" s="2">
        <v>9.9420849420849429</v>
      </c>
      <c r="D45" s="2">
        <v>17.100000000000001</v>
      </c>
      <c r="E45" s="6">
        <v>0.47899999999999998</v>
      </c>
      <c r="F45" s="3">
        <v>2.3199999999999998E-2</v>
      </c>
      <c r="G45" s="11">
        <f t="shared" si="0"/>
        <v>9942.0849420849427</v>
      </c>
      <c r="H45">
        <f t="shared" si="1"/>
        <v>17100</v>
      </c>
      <c r="I45">
        <f t="shared" si="2"/>
        <v>479</v>
      </c>
      <c r="J45">
        <f t="shared" si="3"/>
        <v>23.2</v>
      </c>
    </row>
    <row r="46" spans="1:10">
      <c r="A46" t="s">
        <v>89</v>
      </c>
      <c r="B46" s="1" t="s">
        <v>0</v>
      </c>
      <c r="C46" s="2">
        <v>3.2625482625482625</v>
      </c>
      <c r="D46" s="2">
        <v>27.4</v>
      </c>
      <c r="E46" s="6">
        <v>0.214</v>
      </c>
      <c r="F46" s="3">
        <v>1.09E-2</v>
      </c>
      <c r="G46" s="11">
        <f t="shared" si="0"/>
        <v>3262.5482625482623</v>
      </c>
      <c r="H46">
        <f t="shared" si="1"/>
        <v>27400</v>
      </c>
      <c r="I46">
        <f t="shared" si="2"/>
        <v>214</v>
      </c>
      <c r="J46">
        <f t="shared" si="3"/>
        <v>10.9</v>
      </c>
    </row>
    <row r="47" spans="1:10">
      <c r="A47" t="s">
        <v>90</v>
      </c>
      <c r="B47" s="1" t="s">
        <v>83</v>
      </c>
      <c r="E47" s="6">
        <v>0.10199999999999999</v>
      </c>
      <c r="F47" s="8" t="s">
        <v>16</v>
      </c>
      <c r="I47">
        <f t="shared" si="2"/>
        <v>102</v>
      </c>
      <c r="J47" s="8" t="s">
        <v>16</v>
      </c>
    </row>
    <row r="48" spans="1:10">
      <c r="A48" t="s">
        <v>90</v>
      </c>
      <c r="B48" s="1" t="s">
        <v>84</v>
      </c>
      <c r="E48" s="6">
        <v>0.125</v>
      </c>
      <c r="F48" s="8" t="s">
        <v>82</v>
      </c>
      <c r="I48">
        <f t="shared" si="2"/>
        <v>125</v>
      </c>
      <c r="J48" s="8" t="s">
        <v>82</v>
      </c>
    </row>
    <row r="49" spans="1:10">
      <c r="A49" t="s">
        <v>90</v>
      </c>
      <c r="B49" s="1" t="s">
        <v>85</v>
      </c>
      <c r="E49" s="6">
        <v>0.127</v>
      </c>
      <c r="F49" s="8" t="s">
        <v>81</v>
      </c>
      <c r="I49">
        <f t="shared" si="2"/>
        <v>127</v>
      </c>
      <c r="J49" s="8" t="s">
        <v>81</v>
      </c>
    </row>
    <row r="50" spans="1:10">
      <c r="A50" s="8" t="s">
        <v>37</v>
      </c>
      <c r="B50" s="9" t="s">
        <v>1</v>
      </c>
      <c r="E50" s="7" t="s">
        <v>6</v>
      </c>
      <c r="F50" s="8" t="s">
        <v>38</v>
      </c>
      <c r="I50" s="7" t="s">
        <v>6</v>
      </c>
      <c r="J50" s="8" t="s">
        <v>38</v>
      </c>
    </row>
    <row r="51" spans="1:10">
      <c r="A51" s="8" t="s">
        <v>39</v>
      </c>
      <c r="B51" s="9" t="s">
        <v>2</v>
      </c>
      <c r="E51" s="7" t="s">
        <v>6</v>
      </c>
      <c r="F51" s="8" t="s">
        <v>40</v>
      </c>
      <c r="I51" s="7" t="s">
        <v>6</v>
      </c>
      <c r="J51" s="8" t="s">
        <v>40</v>
      </c>
    </row>
    <row r="52" spans="1:10">
      <c r="A52" s="8" t="s">
        <v>41</v>
      </c>
      <c r="B52" s="9" t="s">
        <v>42</v>
      </c>
      <c r="E52" s="7" t="s">
        <v>6</v>
      </c>
      <c r="F52" s="8" t="s">
        <v>43</v>
      </c>
      <c r="I52" s="7" t="s">
        <v>6</v>
      </c>
      <c r="J52" s="8" t="s">
        <v>43</v>
      </c>
    </row>
    <row r="53" spans="1:10">
      <c r="A53" s="8" t="s">
        <v>44</v>
      </c>
      <c r="B53" s="9" t="s">
        <v>3</v>
      </c>
      <c r="E53" s="7" t="s">
        <v>6</v>
      </c>
      <c r="F53" s="8" t="s">
        <v>43</v>
      </c>
      <c r="I53" s="7" t="s">
        <v>6</v>
      </c>
      <c r="J53" s="8" t="s">
        <v>43</v>
      </c>
    </row>
    <row r="54" spans="1:10">
      <c r="A54" s="8" t="s">
        <v>45</v>
      </c>
      <c r="B54" s="9" t="s">
        <v>46</v>
      </c>
      <c r="E54" s="7" t="s">
        <v>6</v>
      </c>
      <c r="F54" s="8" t="s">
        <v>47</v>
      </c>
      <c r="I54" s="7" t="s">
        <v>6</v>
      </c>
      <c r="J54" s="8" t="s">
        <v>47</v>
      </c>
    </row>
    <row r="55" spans="1:10">
      <c r="A55" s="8" t="s">
        <v>48</v>
      </c>
      <c r="B55" s="9" t="s">
        <v>49</v>
      </c>
      <c r="E55" s="7" t="s">
        <v>6</v>
      </c>
      <c r="F55" s="8" t="s">
        <v>50</v>
      </c>
      <c r="I55" s="7" t="s">
        <v>6</v>
      </c>
      <c r="J55" s="8" t="s">
        <v>50</v>
      </c>
    </row>
    <row r="56" spans="1:10">
      <c r="A56" s="8" t="s">
        <v>51</v>
      </c>
      <c r="B56" s="9" t="s">
        <v>52</v>
      </c>
      <c r="E56" s="7" t="s">
        <v>6</v>
      </c>
      <c r="F56" s="8" t="s">
        <v>53</v>
      </c>
      <c r="I56" s="7" t="s">
        <v>6</v>
      </c>
      <c r="J56" s="8" t="s">
        <v>53</v>
      </c>
    </row>
    <row r="57" spans="1:10">
      <c r="A57" s="8" t="s">
        <v>54</v>
      </c>
      <c r="B57" s="9" t="s">
        <v>55</v>
      </c>
      <c r="E57" s="7" t="s">
        <v>6</v>
      </c>
      <c r="F57" s="8" t="s">
        <v>56</v>
      </c>
      <c r="I57" s="7" t="s">
        <v>6</v>
      </c>
      <c r="J57" s="8" t="s">
        <v>56</v>
      </c>
    </row>
    <row r="58" spans="1:10">
      <c r="A58" s="8" t="s">
        <v>57</v>
      </c>
      <c r="B58" s="9" t="s">
        <v>58</v>
      </c>
      <c r="E58" s="7" t="s">
        <v>6</v>
      </c>
      <c r="F58" s="8" t="s">
        <v>59</v>
      </c>
      <c r="I58" s="7" t="s">
        <v>6</v>
      </c>
      <c r="J58" s="8" t="s">
        <v>59</v>
      </c>
    </row>
    <row r="59" spans="1:10">
      <c r="A59" s="8" t="s">
        <v>60</v>
      </c>
      <c r="B59" s="9" t="s">
        <v>61</v>
      </c>
      <c r="E59" s="7" t="s">
        <v>6</v>
      </c>
      <c r="F59" s="8" t="s">
        <v>53</v>
      </c>
      <c r="I59" s="7" t="s">
        <v>6</v>
      </c>
      <c r="J59" s="8" t="s">
        <v>53</v>
      </c>
    </row>
    <row r="60" spans="1:10">
      <c r="A60" s="8" t="s">
        <v>62</v>
      </c>
      <c r="B60" s="9" t="s">
        <v>63</v>
      </c>
      <c r="E60" s="7" t="s">
        <v>6</v>
      </c>
      <c r="F60" s="8" t="s">
        <v>64</v>
      </c>
      <c r="I60" s="7" t="s">
        <v>6</v>
      </c>
      <c r="J60" s="8" t="s">
        <v>64</v>
      </c>
    </row>
    <row r="61" spans="1:10">
      <c r="A61" s="8" t="s">
        <v>65</v>
      </c>
      <c r="B61" s="9" t="s">
        <v>66</v>
      </c>
      <c r="E61" s="7" t="s">
        <v>6</v>
      </c>
      <c r="F61" s="8" t="s">
        <v>53</v>
      </c>
      <c r="I61" s="7" t="s">
        <v>6</v>
      </c>
      <c r="J61" s="8" t="s">
        <v>53</v>
      </c>
    </row>
    <row r="62" spans="1:10">
      <c r="A62" s="8" t="s">
        <v>67</v>
      </c>
      <c r="B62" s="9" t="s">
        <v>68</v>
      </c>
      <c r="E62" s="7" t="s">
        <v>6</v>
      </c>
      <c r="F62" s="8" t="s">
        <v>69</v>
      </c>
      <c r="I62" s="7" t="s">
        <v>6</v>
      </c>
      <c r="J62" s="8" t="s">
        <v>69</v>
      </c>
    </row>
    <row r="63" spans="1:10">
      <c r="A63" s="8" t="s">
        <v>70</v>
      </c>
      <c r="B63" s="9" t="s">
        <v>71</v>
      </c>
      <c r="E63" s="7" t="s">
        <v>6</v>
      </c>
      <c r="F63" s="8" t="s">
        <v>53</v>
      </c>
      <c r="I63" s="7" t="s">
        <v>6</v>
      </c>
      <c r="J63" s="8" t="s">
        <v>53</v>
      </c>
    </row>
    <row r="64" spans="1:10">
      <c r="A64" s="8" t="s">
        <v>72</v>
      </c>
      <c r="B64" s="9" t="s">
        <v>73</v>
      </c>
      <c r="E64" s="7" t="s">
        <v>6</v>
      </c>
      <c r="F64" s="8" t="s">
        <v>74</v>
      </c>
      <c r="I64" s="7" t="s">
        <v>6</v>
      </c>
      <c r="J64" s="8" t="s">
        <v>74</v>
      </c>
    </row>
    <row r="65" spans="1:10">
      <c r="A65" s="8" t="s">
        <v>75</v>
      </c>
      <c r="B65" s="9" t="s">
        <v>76</v>
      </c>
      <c r="E65" s="7" t="s">
        <v>6</v>
      </c>
      <c r="F65" s="8" t="s">
        <v>53</v>
      </c>
      <c r="I65" s="7" t="s">
        <v>6</v>
      </c>
      <c r="J65" s="8" t="s">
        <v>53</v>
      </c>
    </row>
    <row r="66" spans="1:10">
      <c r="A66" s="8" t="s">
        <v>77</v>
      </c>
      <c r="B66" s="9" t="s">
        <v>78</v>
      </c>
      <c r="E66" s="7" t="s">
        <v>6</v>
      </c>
      <c r="F66" s="8" t="s">
        <v>53</v>
      </c>
      <c r="I66" s="7" t="s">
        <v>6</v>
      </c>
      <c r="J66" s="8" t="s">
        <v>53</v>
      </c>
    </row>
    <row r="67" spans="1:10">
      <c r="A67" s="8" t="s">
        <v>79</v>
      </c>
      <c r="B67" s="9" t="s">
        <v>80</v>
      </c>
      <c r="E67" s="7" t="s">
        <v>5</v>
      </c>
      <c r="F67" s="8" t="s">
        <v>53</v>
      </c>
      <c r="I67" s="7" t="s">
        <v>5</v>
      </c>
      <c r="J67" s="8" t="s">
        <v>53</v>
      </c>
    </row>
  </sheetData>
  <sheetCalcPr fullCalcOnLoad="1"/>
  <phoneticPr fontId="3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67"/>
  <sheetViews>
    <sheetView tabSelected="1" topLeftCell="A44" workbookViewId="0">
      <selection activeCell="E47" sqref="E47"/>
    </sheetView>
  </sheetViews>
  <sheetFormatPr baseColWidth="10" defaultRowHeight="13"/>
  <cols>
    <col min="1" max="1" width="10.7109375" style="14"/>
    <col min="2" max="2" width="10.7109375" style="12"/>
    <col min="3" max="6" width="10.85546875" style="13" bestFit="1" customWidth="1"/>
    <col min="7" max="16384" width="10.7109375" style="12"/>
  </cols>
  <sheetData>
    <row r="1" spans="1:6">
      <c r="A1" s="14" t="s">
        <v>36</v>
      </c>
      <c r="B1" s="12" t="s">
        <v>20</v>
      </c>
      <c r="C1" s="13" t="s">
        <v>13</v>
      </c>
      <c r="D1" s="13" t="s">
        <v>7</v>
      </c>
      <c r="E1" s="13" t="s">
        <v>9</v>
      </c>
      <c r="F1" s="13" t="s">
        <v>11</v>
      </c>
    </row>
    <row r="2" spans="1:6" s="14" customFormat="1">
      <c r="C2" s="14">
        <v>991</v>
      </c>
      <c r="D2" s="14">
        <v>992</v>
      </c>
      <c r="E2" s="14">
        <v>993</v>
      </c>
      <c r="F2" s="14">
        <v>994</v>
      </c>
    </row>
    <row r="3" spans="1:6">
      <c r="A3" s="14" t="s">
        <v>21</v>
      </c>
      <c r="B3" s="12" t="s">
        <v>91</v>
      </c>
      <c r="C3" s="13">
        <v>1258397.6833976835</v>
      </c>
      <c r="D3" s="13">
        <v>991000</v>
      </c>
      <c r="E3" s="13">
        <v>15247.501158301158</v>
      </c>
      <c r="F3" s="13">
        <v>335.02192020267103</v>
      </c>
    </row>
    <row r="4" spans="1:6">
      <c r="A4" s="14" t="s">
        <v>21</v>
      </c>
      <c r="B4" s="12" t="s">
        <v>92</v>
      </c>
      <c r="C4" s="13">
        <v>319670.70914053661</v>
      </c>
      <c r="D4" s="13">
        <v>264650</v>
      </c>
      <c r="E4" s="13">
        <v>8268.3032091306304</v>
      </c>
      <c r="F4" s="13">
        <v>250.73850270002572</v>
      </c>
    </row>
    <row r="5" spans="1:6">
      <c r="A5" s="14" t="s">
        <v>21</v>
      </c>
      <c r="B5" s="12" t="s">
        <v>93</v>
      </c>
      <c r="C5" s="13">
        <v>338803.08880308882</v>
      </c>
      <c r="D5" s="13">
        <v>246700</v>
      </c>
      <c r="E5" s="13">
        <v>11606.464341140198</v>
      </c>
      <c r="F5" s="13">
        <v>275.14011905837839</v>
      </c>
    </row>
    <row r="6" spans="1:6">
      <c r="A6" s="14" t="s">
        <v>21</v>
      </c>
      <c r="B6" s="12" t="s">
        <v>94</v>
      </c>
      <c r="C6" s="13">
        <v>398648.64864864864</v>
      </c>
      <c r="D6" s="13">
        <v>283700</v>
      </c>
      <c r="E6" s="13">
        <v>9129.0213173328611</v>
      </c>
      <c r="F6" s="13">
        <v>308.52476846310395</v>
      </c>
    </row>
    <row r="7" spans="1:6">
      <c r="A7" s="14" t="s">
        <v>21</v>
      </c>
      <c r="B7" s="12" t="s">
        <v>95</v>
      </c>
      <c r="C7" s="13">
        <v>371299.8712998713</v>
      </c>
      <c r="D7" s="13">
        <v>269233.33333333337</v>
      </c>
      <c r="E7" s="13">
        <v>8233.7106859079486</v>
      </c>
      <c r="F7" s="13">
        <v>259.12109811283142</v>
      </c>
    </row>
    <row r="8" spans="1:6">
      <c r="A8" s="14" t="s">
        <v>21</v>
      </c>
      <c r="B8" s="12" t="s">
        <v>96</v>
      </c>
      <c r="C8" s="13">
        <v>102316.60231660231</v>
      </c>
      <c r="D8" s="13">
        <v>68300</v>
      </c>
      <c r="E8" s="13">
        <v>4086.6613080237553</v>
      </c>
      <c r="F8" s="13">
        <v>166.23885567803015</v>
      </c>
    </row>
    <row r="9" spans="1:6">
      <c r="A9" s="14" t="s">
        <v>21</v>
      </c>
      <c r="B9" s="12" t="s">
        <v>22</v>
      </c>
      <c r="C9" s="13">
        <v>133880.30888030885</v>
      </c>
      <c r="D9" s="13" t="s">
        <v>53</v>
      </c>
      <c r="E9" s="13">
        <v>5468.9182747539326</v>
      </c>
      <c r="F9" s="13" t="s">
        <v>53</v>
      </c>
    </row>
    <row r="10" spans="1:6">
      <c r="A10" s="14" t="s">
        <v>21</v>
      </c>
      <c r="B10" s="12" t="s">
        <v>98</v>
      </c>
      <c r="C10" s="13">
        <v>55598.455598455599</v>
      </c>
      <c r="D10" s="13" t="s">
        <v>53</v>
      </c>
      <c r="E10" s="13">
        <v>2713.3462286847084</v>
      </c>
      <c r="F10" s="13">
        <v>91.886107649950489</v>
      </c>
    </row>
    <row r="11" spans="1:6">
      <c r="A11" s="14" t="s">
        <v>21</v>
      </c>
      <c r="B11" s="12" t="s">
        <v>99</v>
      </c>
      <c r="C11" s="13">
        <v>89768.339768339778</v>
      </c>
      <c r="D11" s="13">
        <v>63482</v>
      </c>
      <c r="E11" s="13">
        <v>5343</v>
      </c>
      <c r="F11" s="13">
        <v>158</v>
      </c>
    </row>
    <row r="12" spans="1:6">
      <c r="A12" s="14" t="s">
        <v>21</v>
      </c>
      <c r="B12" s="12" t="s">
        <v>23</v>
      </c>
      <c r="C12" s="13">
        <v>100386.10038610038</v>
      </c>
      <c r="D12" s="13">
        <v>68733</v>
      </c>
      <c r="E12" s="13">
        <v>5420</v>
      </c>
      <c r="F12" s="13">
        <v>182</v>
      </c>
    </row>
    <row r="13" spans="1:6">
      <c r="A13" s="14" t="s">
        <v>21</v>
      </c>
      <c r="B13" s="12" t="s">
        <v>101</v>
      </c>
      <c r="C13" s="13">
        <v>194015.44401544402</v>
      </c>
      <c r="D13" s="13">
        <v>140142</v>
      </c>
      <c r="E13" s="13">
        <v>10001</v>
      </c>
      <c r="F13" s="13">
        <v>395</v>
      </c>
    </row>
    <row r="14" spans="1:6">
      <c r="A14" s="14" t="s">
        <v>21</v>
      </c>
      <c r="B14" s="12" t="s">
        <v>102</v>
      </c>
      <c r="C14" s="13">
        <v>64671.814671814675</v>
      </c>
      <c r="D14" s="13">
        <v>45166</v>
      </c>
      <c r="E14" s="13">
        <v>4272</v>
      </c>
      <c r="F14" s="13">
        <v>147</v>
      </c>
    </row>
    <row r="15" spans="1:6">
      <c r="A15" s="14" t="s">
        <v>21</v>
      </c>
      <c r="B15" s="12" t="s">
        <v>24</v>
      </c>
      <c r="C15" s="13">
        <v>72393.822393822396</v>
      </c>
      <c r="D15" s="13">
        <v>49933</v>
      </c>
      <c r="E15" s="13">
        <v>4232</v>
      </c>
      <c r="F15" s="13">
        <v>150</v>
      </c>
    </row>
    <row r="16" spans="1:6">
      <c r="A16" s="14" t="s">
        <v>21</v>
      </c>
      <c r="B16" s="12" t="s">
        <v>104</v>
      </c>
      <c r="C16" s="13">
        <v>38610.038610038609</v>
      </c>
      <c r="D16" s="13">
        <v>26427</v>
      </c>
      <c r="E16" s="13">
        <v>2339</v>
      </c>
      <c r="F16" s="13">
        <v>109</v>
      </c>
    </row>
    <row r="17" spans="1:6">
      <c r="A17" s="14" t="s">
        <v>21</v>
      </c>
      <c r="B17" s="12" t="s">
        <v>25</v>
      </c>
      <c r="C17" s="13">
        <v>75289.575289575281</v>
      </c>
      <c r="D17" s="13">
        <v>50906</v>
      </c>
      <c r="E17" s="13">
        <v>3053</v>
      </c>
      <c r="F17" s="13">
        <v>128</v>
      </c>
    </row>
    <row r="18" spans="1:6">
      <c r="A18" s="14" t="s">
        <v>21</v>
      </c>
      <c r="B18" s="12" t="s">
        <v>106</v>
      </c>
      <c r="C18" s="13">
        <v>7335.9073359073354</v>
      </c>
      <c r="D18" s="13">
        <v>4371</v>
      </c>
      <c r="E18" s="13">
        <v>566</v>
      </c>
      <c r="F18" s="13">
        <v>25.1</v>
      </c>
    </row>
    <row r="19" spans="1:6">
      <c r="A19" s="14" t="s">
        <v>21</v>
      </c>
      <c r="B19" s="12" t="s">
        <v>107</v>
      </c>
      <c r="C19" s="13">
        <v>4343.6293436293436</v>
      </c>
      <c r="D19" s="13">
        <v>2535</v>
      </c>
      <c r="E19" s="13">
        <v>363</v>
      </c>
      <c r="F19" s="13">
        <v>16.899999999999999</v>
      </c>
    </row>
    <row r="20" spans="1:6">
      <c r="A20" s="14" t="s">
        <v>21</v>
      </c>
      <c r="B20" s="12" t="s">
        <v>108</v>
      </c>
      <c r="C20" s="13">
        <v>9942.0849420849427</v>
      </c>
      <c r="D20" s="13">
        <v>5883</v>
      </c>
      <c r="E20" s="13">
        <v>841</v>
      </c>
      <c r="F20" s="13">
        <v>36</v>
      </c>
    </row>
    <row r="21" spans="1:6">
      <c r="A21" s="14" t="s">
        <v>21</v>
      </c>
      <c r="B21" s="12" t="s">
        <v>109</v>
      </c>
      <c r="C21" s="13">
        <v>9652.5096525096524</v>
      </c>
      <c r="D21" s="13">
        <v>5894</v>
      </c>
      <c r="E21" s="13">
        <v>807</v>
      </c>
      <c r="F21" s="13">
        <v>34.200000000000003</v>
      </c>
    </row>
    <row r="22" spans="1:6">
      <c r="A22" s="14" t="s">
        <v>21</v>
      </c>
      <c r="B22" s="12" t="s">
        <v>26</v>
      </c>
      <c r="C22" s="13">
        <v>68532.818532818521</v>
      </c>
      <c r="D22" s="13">
        <v>46429</v>
      </c>
      <c r="E22" s="13">
        <v>3764</v>
      </c>
      <c r="F22" s="13">
        <v>137</v>
      </c>
    </row>
    <row r="23" spans="1:6">
      <c r="A23" s="14" t="s">
        <v>21</v>
      </c>
      <c r="B23" s="12" t="s">
        <v>111</v>
      </c>
      <c r="C23" s="13">
        <v>16505.791505791505</v>
      </c>
      <c r="D23" s="13">
        <v>9950</v>
      </c>
      <c r="E23" s="13">
        <v>996</v>
      </c>
      <c r="F23" s="13">
        <v>32.9</v>
      </c>
    </row>
    <row r="24" spans="1:6">
      <c r="A24" s="14" t="s">
        <v>21</v>
      </c>
      <c r="B24" s="12" t="s">
        <v>112</v>
      </c>
      <c r="C24" s="13">
        <v>18339.76833976834</v>
      </c>
      <c r="D24" s="13">
        <v>11163</v>
      </c>
      <c r="E24" s="13">
        <v>1201</v>
      </c>
      <c r="F24" s="13">
        <v>54.2</v>
      </c>
    </row>
    <row r="25" spans="1:6">
      <c r="A25" s="14" t="s">
        <v>21</v>
      </c>
      <c r="B25" s="12" t="s">
        <v>113</v>
      </c>
      <c r="C25" s="13">
        <v>23166.023166023166</v>
      </c>
      <c r="D25" s="13">
        <v>15541</v>
      </c>
      <c r="E25" s="13">
        <v>1884</v>
      </c>
      <c r="F25" s="13">
        <v>62.9</v>
      </c>
    </row>
    <row r="26" spans="1:6">
      <c r="A26" s="14" t="s">
        <v>21</v>
      </c>
      <c r="B26" s="12" t="s">
        <v>114</v>
      </c>
      <c r="C26" s="13">
        <v>33783.78378378378</v>
      </c>
      <c r="D26" s="13">
        <v>21028</v>
      </c>
      <c r="E26" s="13">
        <v>1679</v>
      </c>
      <c r="F26" s="13">
        <v>76.3</v>
      </c>
    </row>
    <row r="27" spans="1:6">
      <c r="A27" s="14" t="s">
        <v>21</v>
      </c>
      <c r="B27" s="12" t="s">
        <v>27</v>
      </c>
      <c r="C27" s="13">
        <v>50193.050193050192</v>
      </c>
      <c r="D27" s="13">
        <v>31660</v>
      </c>
      <c r="E27" s="13">
        <v>1918</v>
      </c>
      <c r="F27" s="13">
        <v>87.4</v>
      </c>
    </row>
    <row r="28" spans="1:6">
      <c r="A28" s="14" t="s">
        <v>21</v>
      </c>
      <c r="B28" s="12" t="s">
        <v>116</v>
      </c>
      <c r="C28" s="13">
        <v>104247.10424710425</v>
      </c>
      <c r="D28" s="13">
        <v>70856</v>
      </c>
      <c r="E28" s="13">
        <v>3753</v>
      </c>
      <c r="F28" s="13">
        <v>151</v>
      </c>
    </row>
    <row r="29" spans="1:6">
      <c r="A29" s="14" t="s">
        <v>21</v>
      </c>
      <c r="B29" s="12" t="s">
        <v>117</v>
      </c>
      <c r="C29" s="13">
        <v>97490.347490347485</v>
      </c>
      <c r="D29" s="13">
        <v>65873</v>
      </c>
      <c r="E29" s="13">
        <v>4856</v>
      </c>
      <c r="F29" s="13">
        <v>164</v>
      </c>
    </row>
    <row r="30" spans="1:6">
      <c r="A30" s="14" t="s">
        <v>28</v>
      </c>
      <c r="B30" s="12" t="s">
        <v>29</v>
      </c>
      <c r="C30" s="13">
        <v>3474.9034749034749</v>
      </c>
      <c r="D30" s="13">
        <v>23100</v>
      </c>
      <c r="E30" s="13">
        <v>349</v>
      </c>
      <c r="F30" s="13">
        <v>20.8</v>
      </c>
    </row>
    <row r="31" spans="1:6">
      <c r="A31" s="14" t="s">
        <v>28</v>
      </c>
      <c r="B31" s="12" t="s">
        <v>119</v>
      </c>
      <c r="C31" s="13">
        <v>1718.1467181467181</v>
      </c>
      <c r="D31" s="13">
        <v>17000</v>
      </c>
      <c r="E31" s="13">
        <v>139</v>
      </c>
      <c r="F31" s="13">
        <v>7.1</v>
      </c>
    </row>
    <row r="32" spans="1:6">
      <c r="A32" s="14" t="s">
        <v>28</v>
      </c>
      <c r="B32" s="12" t="s">
        <v>120</v>
      </c>
      <c r="C32" s="13">
        <v>6563.7065637065634</v>
      </c>
      <c r="D32" s="13">
        <v>16300</v>
      </c>
      <c r="E32" s="13">
        <v>433</v>
      </c>
      <c r="F32" s="13">
        <v>21.5</v>
      </c>
    </row>
    <row r="33" spans="1:6">
      <c r="A33" s="14" t="s">
        <v>28</v>
      </c>
      <c r="B33" s="12" t="s">
        <v>121</v>
      </c>
      <c r="C33" s="13">
        <v>3030.8880308880307</v>
      </c>
      <c r="D33" s="13">
        <v>12600</v>
      </c>
      <c r="E33" s="13">
        <v>199</v>
      </c>
      <c r="F33" s="13">
        <v>10.8</v>
      </c>
    </row>
    <row r="34" spans="1:6">
      <c r="A34" s="14" t="s">
        <v>28</v>
      </c>
      <c r="B34" s="12" t="s">
        <v>30</v>
      </c>
      <c r="C34" s="13">
        <v>22490.347490347489</v>
      </c>
      <c r="D34" s="13">
        <v>31600</v>
      </c>
      <c r="E34" s="13">
        <v>1253</v>
      </c>
      <c r="F34" s="13">
        <v>51.8</v>
      </c>
    </row>
    <row r="35" spans="1:6">
      <c r="A35" s="14" t="s">
        <v>28</v>
      </c>
      <c r="B35" s="12" t="s">
        <v>123</v>
      </c>
      <c r="C35" s="13">
        <v>30405.405405405403</v>
      </c>
      <c r="D35" s="13">
        <v>23800</v>
      </c>
      <c r="E35" s="13">
        <v>1745</v>
      </c>
      <c r="F35" s="13">
        <v>68.900000000000006</v>
      </c>
    </row>
    <row r="36" spans="1:6">
      <c r="A36" s="14" t="s">
        <v>28</v>
      </c>
      <c r="B36" s="12" t="s">
        <v>124</v>
      </c>
      <c r="C36" s="13">
        <v>7335.9073359073354</v>
      </c>
      <c r="D36" s="13">
        <v>11300</v>
      </c>
      <c r="E36" s="13">
        <v>326</v>
      </c>
      <c r="F36" s="13">
        <v>15.6</v>
      </c>
    </row>
    <row r="37" spans="1:6">
      <c r="A37" s="14" t="s">
        <v>28</v>
      </c>
      <c r="B37" s="12" t="s">
        <v>125</v>
      </c>
      <c r="C37" s="13">
        <v>9597.8120978120969</v>
      </c>
      <c r="D37" s="13">
        <v>15000</v>
      </c>
      <c r="E37" s="13">
        <v>458.33333333333331</v>
      </c>
      <c r="F37" s="13">
        <v>28.733333333333334</v>
      </c>
    </row>
    <row r="38" spans="1:6">
      <c r="A38" s="14" t="s">
        <v>28</v>
      </c>
      <c r="B38" s="12" t="s">
        <v>126</v>
      </c>
      <c r="C38" s="13">
        <v>25772.200772200773</v>
      </c>
      <c r="D38" s="13">
        <v>18500</v>
      </c>
      <c r="E38" s="13">
        <v>1106</v>
      </c>
      <c r="F38" s="13">
        <v>64.5</v>
      </c>
    </row>
    <row r="39" spans="1:6">
      <c r="A39" s="14" t="s">
        <v>28</v>
      </c>
      <c r="B39" s="12" t="s">
        <v>127</v>
      </c>
      <c r="C39" s="13">
        <v>36969.111969111967</v>
      </c>
      <c r="D39" s="13">
        <v>19100</v>
      </c>
      <c r="E39" s="13">
        <v>1648</v>
      </c>
      <c r="F39" s="13">
        <v>94.5</v>
      </c>
    </row>
    <row r="40" spans="1:6">
      <c r="A40" s="14" t="s">
        <v>28</v>
      </c>
      <c r="B40" s="12" t="s">
        <v>31</v>
      </c>
      <c r="C40" s="13">
        <v>43581.08108108108</v>
      </c>
      <c r="D40" s="13">
        <v>36000</v>
      </c>
      <c r="E40" s="13">
        <v>1113</v>
      </c>
      <c r="F40" s="13">
        <v>58.5</v>
      </c>
    </row>
    <row r="41" spans="1:6">
      <c r="A41" s="14" t="s">
        <v>28</v>
      </c>
      <c r="B41" s="12" t="s">
        <v>129</v>
      </c>
      <c r="C41" s="13">
        <v>6370.6563706563702</v>
      </c>
      <c r="D41" s="13">
        <v>24400</v>
      </c>
      <c r="E41" s="13">
        <v>529</v>
      </c>
      <c r="F41" s="13">
        <v>24.6</v>
      </c>
    </row>
    <row r="42" spans="1:6">
      <c r="A42" s="14" t="s">
        <v>28</v>
      </c>
      <c r="B42" s="12" t="s">
        <v>130</v>
      </c>
      <c r="C42" s="13">
        <v>12065.637065637064</v>
      </c>
      <c r="D42" s="13">
        <v>23300</v>
      </c>
      <c r="E42" s="13">
        <v>696</v>
      </c>
      <c r="F42" s="13">
        <v>35.9</v>
      </c>
    </row>
    <row r="43" spans="1:6">
      <c r="A43" s="14" t="s">
        <v>28</v>
      </c>
      <c r="B43" s="12" t="s">
        <v>131</v>
      </c>
      <c r="C43" s="13">
        <v>13513.513513513511</v>
      </c>
      <c r="D43" s="13">
        <v>19700</v>
      </c>
      <c r="E43" s="13">
        <v>495</v>
      </c>
      <c r="F43" s="13">
        <v>24.3</v>
      </c>
    </row>
    <row r="44" spans="1:6">
      <c r="A44" s="14" t="s">
        <v>28</v>
      </c>
      <c r="B44" s="12" t="s">
        <v>132</v>
      </c>
      <c r="C44" s="13">
        <v>4633.204633204633</v>
      </c>
      <c r="D44" s="13">
        <v>21400</v>
      </c>
      <c r="E44" s="13">
        <v>301</v>
      </c>
      <c r="F44" s="13">
        <v>16</v>
      </c>
    </row>
    <row r="45" spans="1:6">
      <c r="A45" s="14" t="s">
        <v>28</v>
      </c>
      <c r="B45" s="12" t="s">
        <v>133</v>
      </c>
      <c r="C45" s="13">
        <v>9942.0849420849427</v>
      </c>
      <c r="D45" s="13">
        <v>17100</v>
      </c>
      <c r="E45" s="13">
        <v>479</v>
      </c>
      <c r="F45" s="13">
        <v>23.2</v>
      </c>
    </row>
    <row r="46" spans="1:6">
      <c r="A46" s="14" t="s">
        <v>28</v>
      </c>
      <c r="B46" s="12" t="s">
        <v>0</v>
      </c>
      <c r="C46" s="13">
        <v>3262.5482625482623</v>
      </c>
      <c r="D46" s="13">
        <v>27400</v>
      </c>
      <c r="E46" s="13">
        <v>214</v>
      </c>
      <c r="F46" s="13">
        <v>10.9</v>
      </c>
    </row>
    <row r="47" spans="1:6">
      <c r="A47" s="14" t="s">
        <v>32</v>
      </c>
      <c r="B47" s="12" t="s">
        <v>33</v>
      </c>
      <c r="E47" s="13">
        <v>169</v>
      </c>
      <c r="F47" s="13" t="s">
        <v>15</v>
      </c>
    </row>
    <row r="48" spans="1:6">
      <c r="A48" s="14" t="s">
        <v>32</v>
      </c>
      <c r="B48" s="12" t="s">
        <v>34</v>
      </c>
      <c r="E48" s="13">
        <v>152</v>
      </c>
      <c r="F48" s="13" t="s">
        <v>82</v>
      </c>
    </row>
    <row r="49" spans="1:6">
      <c r="A49" s="14" t="s">
        <v>32</v>
      </c>
      <c r="B49" s="12" t="s">
        <v>35</v>
      </c>
      <c r="E49" s="13">
        <v>123</v>
      </c>
      <c r="F49" s="13" t="s">
        <v>81</v>
      </c>
    </row>
    <row r="50" spans="1:6">
      <c r="A50" s="14" t="s">
        <v>37</v>
      </c>
      <c r="B50" s="12" t="s">
        <v>1</v>
      </c>
      <c r="E50" s="13" t="s">
        <v>53</v>
      </c>
      <c r="F50" s="13" t="s">
        <v>38</v>
      </c>
    </row>
    <row r="51" spans="1:6">
      <c r="A51" s="14" t="s">
        <v>39</v>
      </c>
      <c r="B51" s="12" t="s">
        <v>2</v>
      </c>
      <c r="E51" s="13" t="s">
        <v>53</v>
      </c>
      <c r="F51" s="13" t="s">
        <v>40</v>
      </c>
    </row>
    <row r="52" spans="1:6">
      <c r="A52" s="14" t="s">
        <v>41</v>
      </c>
      <c r="B52" s="12" t="s">
        <v>42</v>
      </c>
      <c r="E52" s="13" t="s">
        <v>53</v>
      </c>
      <c r="F52" s="13" t="s">
        <v>43</v>
      </c>
    </row>
    <row r="53" spans="1:6">
      <c r="A53" s="14" t="s">
        <v>44</v>
      </c>
      <c r="B53" s="12" t="s">
        <v>3</v>
      </c>
      <c r="E53" s="13" t="s">
        <v>53</v>
      </c>
      <c r="F53" s="13" t="s">
        <v>43</v>
      </c>
    </row>
    <row r="54" spans="1:6">
      <c r="A54" s="14" t="s">
        <v>45</v>
      </c>
      <c r="B54" s="12" t="s">
        <v>46</v>
      </c>
      <c r="E54" s="13" t="s">
        <v>53</v>
      </c>
      <c r="F54" s="13" t="s">
        <v>47</v>
      </c>
    </row>
    <row r="55" spans="1:6">
      <c r="A55" s="14" t="s">
        <v>48</v>
      </c>
      <c r="B55" s="12" t="s">
        <v>49</v>
      </c>
      <c r="E55" s="13" t="s">
        <v>53</v>
      </c>
      <c r="F55" s="13" t="s">
        <v>50</v>
      </c>
    </row>
    <row r="56" spans="1:6">
      <c r="A56" s="14" t="s">
        <v>51</v>
      </c>
      <c r="B56" s="12" t="s">
        <v>52</v>
      </c>
      <c r="E56" s="13" t="s">
        <v>53</v>
      </c>
      <c r="F56" s="13" t="s">
        <v>53</v>
      </c>
    </row>
    <row r="57" spans="1:6">
      <c r="A57" s="14" t="s">
        <v>54</v>
      </c>
      <c r="B57" s="12" t="s">
        <v>55</v>
      </c>
      <c r="E57" s="13" t="s">
        <v>53</v>
      </c>
      <c r="F57" s="13" t="s">
        <v>56</v>
      </c>
    </row>
    <row r="58" spans="1:6">
      <c r="A58" s="14" t="s">
        <v>57</v>
      </c>
      <c r="B58" s="12" t="s">
        <v>58</v>
      </c>
      <c r="E58" s="13" t="s">
        <v>53</v>
      </c>
      <c r="F58" s="13" t="s">
        <v>59</v>
      </c>
    </row>
    <row r="59" spans="1:6">
      <c r="A59" s="14" t="s">
        <v>60</v>
      </c>
      <c r="B59" s="12" t="s">
        <v>61</v>
      </c>
      <c r="E59" s="13" t="s">
        <v>53</v>
      </c>
      <c r="F59" s="13" t="s">
        <v>53</v>
      </c>
    </row>
    <row r="60" spans="1:6">
      <c r="A60" s="14" t="s">
        <v>62</v>
      </c>
      <c r="B60" s="12" t="s">
        <v>63</v>
      </c>
      <c r="E60" s="13" t="s">
        <v>53</v>
      </c>
      <c r="F60" s="13" t="s">
        <v>64</v>
      </c>
    </row>
    <row r="61" spans="1:6">
      <c r="A61" s="14" t="s">
        <v>65</v>
      </c>
      <c r="B61" s="12" t="s">
        <v>66</v>
      </c>
      <c r="E61" s="13" t="s">
        <v>53</v>
      </c>
      <c r="F61" s="13" t="s">
        <v>53</v>
      </c>
    </row>
    <row r="62" spans="1:6">
      <c r="A62" s="14" t="s">
        <v>67</v>
      </c>
      <c r="B62" s="12" t="s">
        <v>68</v>
      </c>
      <c r="E62" s="13" t="s">
        <v>53</v>
      </c>
      <c r="F62" s="13" t="s">
        <v>69</v>
      </c>
    </row>
    <row r="63" spans="1:6">
      <c r="A63" s="14" t="s">
        <v>70</v>
      </c>
      <c r="B63" s="12" t="s">
        <v>71</v>
      </c>
      <c r="E63" s="13" t="s">
        <v>53</v>
      </c>
      <c r="F63" s="13" t="s">
        <v>53</v>
      </c>
    </row>
    <row r="64" spans="1:6">
      <c r="A64" s="14" t="s">
        <v>72</v>
      </c>
      <c r="B64" s="12" t="s">
        <v>73</v>
      </c>
      <c r="E64" s="13" t="s">
        <v>53</v>
      </c>
      <c r="F64" s="13" t="s">
        <v>74</v>
      </c>
    </row>
    <row r="65" spans="1:6">
      <c r="A65" s="14" t="s">
        <v>75</v>
      </c>
      <c r="B65" s="12" t="s">
        <v>76</v>
      </c>
      <c r="E65" s="13" t="s">
        <v>53</v>
      </c>
      <c r="F65" s="13" t="s">
        <v>53</v>
      </c>
    </row>
    <row r="66" spans="1:6">
      <c r="A66" s="14" t="s">
        <v>77</v>
      </c>
      <c r="B66" s="12" t="s">
        <v>78</v>
      </c>
      <c r="E66" s="13" t="s">
        <v>53</v>
      </c>
      <c r="F66" s="13" t="s">
        <v>53</v>
      </c>
    </row>
    <row r="67" spans="1:6">
      <c r="A67" s="14" t="s">
        <v>79</v>
      </c>
      <c r="B67" s="12" t="s">
        <v>80</v>
      </c>
      <c r="E67" s="13" t="s">
        <v>53</v>
      </c>
      <c r="F67" s="13" t="s">
        <v>53</v>
      </c>
    </row>
  </sheetData>
  <sheetCalcPr fullCalcOnLoad="1"/>
  <phoneticPr fontId="3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29EAB-08FE-4C79-B3DD-3DC8FC0D065B}"/>
</file>

<file path=customXml/itemProps2.xml><?xml version="1.0" encoding="utf-8"?>
<ds:datastoreItem xmlns:ds="http://schemas.openxmlformats.org/officeDocument/2006/customXml" ds:itemID="{9D9B1C1C-103E-4F30-A84E-943C470348B3}"/>
</file>

<file path=customXml/itemProps3.xml><?xml version="1.0" encoding="utf-8"?>
<ds:datastoreItem xmlns:ds="http://schemas.openxmlformats.org/officeDocument/2006/customXml" ds:itemID="{8160DEF9-751F-4A21-B9D4-1ED38E7BE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QMUL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2010-07-13T09:24:18Z</dcterms:created>
  <dcterms:modified xsi:type="dcterms:W3CDTF">2010-07-15T14:20:28Z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