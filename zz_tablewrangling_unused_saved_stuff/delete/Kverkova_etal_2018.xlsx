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Cell_Counts_Isotropic_Fractionator/"/>
    </mc:Choice>
  </mc:AlternateContent>
  <xr:revisionPtr revIDLastSave="18" documentId="8_{935BF898-185B-9C48-8CBB-8CCCDEDC9B96}" xr6:coauthVersionLast="47" xr6:coauthVersionMax="47" xr10:uidLastSave="{61CFD6CC-72CA-7346-8592-5B51E5475EE4}"/>
  <bookViews>
    <workbookView xWindow="49600" yWindow="-5960" windowWidth="35580" windowHeight="12620" activeTab="2" xr2:uid="{065461EA-3C72-7E4E-AD13-57535685DB09}"/>
  </bookViews>
  <sheets>
    <sheet name="publishedTableS5" sheetId="2" r:id="rId1"/>
    <sheet name="reformattedTableS5" sheetId="1" r:id="rId2"/>
    <sheet name="TableS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2" i="3"/>
  <c r="E3" i="3"/>
  <c r="F3" i="3"/>
  <c r="G3" i="3"/>
  <c r="H3" i="3"/>
  <c r="I3" i="3"/>
  <c r="J3" i="3"/>
  <c r="K3" i="3"/>
  <c r="L3" i="3"/>
  <c r="M3" i="3"/>
  <c r="N3" i="3"/>
  <c r="O3" i="3"/>
  <c r="E4" i="3"/>
  <c r="F4" i="3"/>
  <c r="G4" i="3"/>
  <c r="H4" i="3"/>
  <c r="I4" i="3"/>
  <c r="J4" i="3"/>
  <c r="K4" i="3"/>
  <c r="L4" i="3"/>
  <c r="M4" i="3"/>
  <c r="N4" i="3"/>
  <c r="O4" i="3"/>
  <c r="E5" i="3"/>
  <c r="F5" i="3"/>
  <c r="G5" i="3"/>
  <c r="H5" i="3"/>
  <c r="I5" i="3"/>
  <c r="J5" i="3"/>
  <c r="K5" i="3"/>
  <c r="L5" i="3"/>
  <c r="M5" i="3"/>
  <c r="N5" i="3"/>
  <c r="O5" i="3"/>
  <c r="E6" i="3"/>
  <c r="F6" i="3"/>
  <c r="G6" i="3"/>
  <c r="H6" i="3"/>
  <c r="I6" i="3"/>
  <c r="J6" i="3"/>
  <c r="K6" i="3"/>
  <c r="L6" i="3"/>
  <c r="M6" i="3"/>
  <c r="N6" i="3"/>
  <c r="O6" i="3"/>
  <c r="E7" i="3"/>
  <c r="F7" i="3"/>
  <c r="G7" i="3"/>
  <c r="H7" i="3"/>
  <c r="I7" i="3"/>
  <c r="J7" i="3"/>
  <c r="K7" i="3"/>
  <c r="L7" i="3"/>
  <c r="M7" i="3"/>
  <c r="N7" i="3"/>
  <c r="O7" i="3"/>
  <c r="E8" i="3"/>
  <c r="F8" i="3"/>
  <c r="G8" i="3"/>
  <c r="H8" i="3"/>
  <c r="I8" i="3"/>
  <c r="J8" i="3"/>
  <c r="K8" i="3"/>
  <c r="L8" i="3"/>
  <c r="M8" i="3"/>
  <c r="N8" i="3"/>
  <c r="O8" i="3"/>
  <c r="E9" i="3"/>
  <c r="F9" i="3"/>
  <c r="G9" i="3"/>
  <c r="H9" i="3"/>
  <c r="I9" i="3"/>
  <c r="J9" i="3"/>
  <c r="K9" i="3"/>
  <c r="L9" i="3"/>
  <c r="M9" i="3"/>
  <c r="N9" i="3"/>
  <c r="O9" i="3"/>
  <c r="E10" i="3"/>
  <c r="F10" i="3"/>
  <c r="G10" i="3"/>
  <c r="H10" i="3"/>
  <c r="I10" i="3"/>
  <c r="J10" i="3"/>
  <c r="K10" i="3"/>
  <c r="L10" i="3"/>
  <c r="M10" i="3"/>
  <c r="N10" i="3"/>
  <c r="O10" i="3"/>
  <c r="E11" i="3"/>
  <c r="F11" i="3"/>
  <c r="G11" i="3"/>
  <c r="H11" i="3"/>
  <c r="I11" i="3"/>
  <c r="J11" i="3"/>
  <c r="K11" i="3"/>
  <c r="L11" i="3"/>
  <c r="M11" i="3"/>
  <c r="N11" i="3"/>
  <c r="O11" i="3"/>
  <c r="E12" i="3"/>
  <c r="F12" i="3"/>
  <c r="G12" i="3"/>
  <c r="H12" i="3"/>
  <c r="I12" i="3"/>
  <c r="J12" i="3"/>
  <c r="K12" i="3"/>
  <c r="L12" i="3"/>
  <c r="M12" i="3"/>
  <c r="N12" i="3"/>
  <c r="O12" i="3"/>
  <c r="E13" i="3"/>
  <c r="F13" i="3"/>
  <c r="G13" i="3"/>
  <c r="H13" i="3"/>
  <c r="I13" i="3"/>
  <c r="J13" i="3"/>
  <c r="K13" i="3"/>
  <c r="L13" i="3"/>
  <c r="M13" i="3"/>
  <c r="N13" i="3"/>
  <c r="O13" i="3"/>
  <c r="D4" i="3"/>
  <c r="D5" i="3"/>
  <c r="D6" i="3"/>
  <c r="D7" i="3"/>
  <c r="D8" i="3"/>
  <c r="D9" i="3"/>
  <c r="D10" i="3"/>
  <c r="D11" i="3"/>
  <c r="D12" i="3"/>
  <c r="D13" i="3"/>
  <c r="D3" i="3"/>
</calcChain>
</file>

<file path=xl/sharedStrings.xml><?xml version="1.0" encoding="utf-8"?>
<sst xmlns="http://schemas.openxmlformats.org/spreadsheetml/2006/main" count="165" uniqueCount="124">
  <si>
    <t>Table S5. Numbers of neurons in the whole brain and the major brain divisions</t>
  </si>
  <si>
    <t>Species</t>
  </si>
  <si>
    <t>Whole brain,</t>
  </si>
  <si>
    <r>
      <t>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</si>
  <si>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Olfactory bulbs, × 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</si>
  <si>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t xml:space="preserve">Cortex, </t>
  </si>
  <si>
    <r>
      <t>Subcortical forebrain,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    </t>
    </r>
  </si>
  <si>
    <t xml:space="preserve">Cerebellum, </t>
  </si>
  <si>
    <t>Brain stem,</t>
  </si>
  <si>
    <r>
      <t xml:space="preserve">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</si>
  <si>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t>Heterocephalus glaber</t>
  </si>
  <si>
    <t>33.62 ± 3.66</t>
  </si>
  <si>
    <t>3.01 ± 0.33</t>
  </si>
  <si>
    <t>5.31 ± 0.31</t>
  </si>
  <si>
    <t>2.86 ± 0.50</t>
  </si>
  <si>
    <t>20.52 ± 3.01</t>
  </si>
  <si>
    <t>1.91 ± 0.28</t>
  </si>
  <si>
    <t>Cryptomys hottentotus</t>
  </si>
  <si>
    <t>96.24 ± 9.65</t>
  </si>
  <si>
    <t>7.99 ± 0.46</t>
  </si>
  <si>
    <t>11.73 ± 0.22</t>
  </si>
  <si>
    <t>4.55 ± 0.69</t>
  </si>
  <si>
    <t>68.81 ± 9.02</t>
  </si>
  <si>
    <t>3.17 ± 0.36</t>
  </si>
  <si>
    <t>Fukomys darlingi</t>
  </si>
  <si>
    <t>113.35 ± 3.79</t>
  </si>
  <si>
    <t>7.60 ± 1.25</t>
  </si>
  <si>
    <t>12.49 ± 0.53</t>
  </si>
  <si>
    <t>5.19 ± 0.81</t>
  </si>
  <si>
    <t>84.91± 3.95</t>
  </si>
  <si>
    <t>3.14 ± 0.15</t>
  </si>
  <si>
    <t>Cryptomys natalensis</t>
  </si>
  <si>
    <t>149.98 ± 8.50</t>
  </si>
  <si>
    <t>11.85 ± 0.29</t>
  </si>
  <si>
    <t>17.46 ± 1.39</t>
  </si>
  <si>
    <t>6.82 ± 0.81</t>
  </si>
  <si>
    <t>109.75 ± 8.75</t>
  </si>
  <si>
    <t>4.11 ± 0.14</t>
  </si>
  <si>
    <t>Fukomys anselli</t>
  </si>
  <si>
    <t>102.82 ± 12.28</t>
  </si>
  <si>
    <t>8.88 ± 0.64</t>
  </si>
  <si>
    <t>9.73 ± 2.23</t>
  </si>
  <si>
    <t>4.86 ± 0.90</t>
  </si>
  <si>
    <t>75.44 ± 8.90</t>
  </si>
  <si>
    <t>3.90 ± 1.16</t>
  </si>
  <si>
    <t>Cryptomys pretoriae</t>
  </si>
  <si>
    <t>169.16 ± 16.23</t>
  </si>
  <si>
    <t>12.07 ± 1.41</t>
  </si>
  <si>
    <t>20.56 ± 0.90</t>
  </si>
  <si>
    <t>9.92 ± 0.62</t>
  </si>
  <si>
    <t>120.58 ± 16.69</t>
  </si>
  <si>
    <t>6.03 ± 0.35</t>
  </si>
  <si>
    <t>Fukomys damarensis</t>
  </si>
  <si>
    <t>178.3 ± 19.08</t>
  </si>
  <si>
    <t>12.55 ± 1.82</t>
  </si>
  <si>
    <t>21.27 ± 0.59</t>
  </si>
  <si>
    <t>9.58 ± 1.69</t>
  </si>
  <si>
    <t>129.96 ± 18.15</t>
  </si>
  <si>
    <t>4.94 ± 1.10</t>
  </si>
  <si>
    <t>Heliophobius argent.</t>
  </si>
  <si>
    <t>147.94 ± 6.80</t>
  </si>
  <si>
    <t>10.30 ± 2.15</t>
  </si>
  <si>
    <t>25.44 ± 2.23</t>
  </si>
  <si>
    <t>11.92 ± 1.13</t>
  </si>
  <si>
    <t>94.82 ± 1.97</t>
  </si>
  <si>
    <t>5.46 ± 0.84</t>
  </si>
  <si>
    <t>Georychus capensis</t>
  </si>
  <si>
    <t>169.67 ± 11.42</t>
  </si>
  <si>
    <t>12.46 ± 1.42</t>
  </si>
  <si>
    <t>25.60 ± 2.09</t>
  </si>
  <si>
    <t>9.06 ± 1.13</t>
  </si>
  <si>
    <t>116.74 ± 10.31</t>
  </si>
  <si>
    <t>5.81 ± 0.34</t>
  </si>
  <si>
    <t>Fukomys mechowii</t>
  </si>
  <si>
    <t>174.24 ± 14.60</t>
  </si>
  <si>
    <t>14.11 ± 2.13</t>
  </si>
  <si>
    <t>23.32 ± 0.94</t>
  </si>
  <si>
    <t>9.42 ± 0.88</t>
  </si>
  <si>
    <t>122.64 ± 14.34</t>
  </si>
  <si>
    <t>4.75 ± 0.98</t>
  </si>
  <si>
    <t>Bathyergus suillus</t>
  </si>
  <si>
    <t>361.29 ± 24.4</t>
  </si>
  <si>
    <t>23.81 ± 2.96</t>
  </si>
  <si>
    <t>43.48 ± 5.11</t>
  </si>
  <si>
    <t>16.42 ± 0.75</t>
  </si>
  <si>
    <t>268.89 ± 17.47</t>
  </si>
  <si>
    <t>8.67 ± 0.60</t>
  </si>
  <si>
    <t>Species ordered by increasing brain size. All values are given as mean ± SD.</t>
  </si>
  <si>
    <r>
      <t>Whole brain,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</si>
  <si>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Cortex,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</si>
  <si>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Cerebellum,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</si>
  <si>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Brain stem,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</si>
  <si>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Whole brain,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</si>
  <si>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Olfactory bulbs, × 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</si>
  <si>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Cortex,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</si>
  <si>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Subcortical forebrain,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</si>
  <si>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Cerebellum,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</si>
  <si>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Subcortical forebrain,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</si>
  <si>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Brain stem,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</si>
  <si>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t>Cerebellum_N,_n</t>
  </si>
  <si>
    <t>Whole brain</t>
  </si>
  <si>
    <t>Whole brain SD</t>
  </si>
  <si>
    <t>Olfactory bulbs</t>
  </si>
  <si>
    <t>Olfactory bulbs SD</t>
  </si>
  <si>
    <t>Cortex</t>
  </si>
  <si>
    <t>Cortex SD</t>
  </si>
  <si>
    <t>Subcortical forebrain</t>
  </si>
  <si>
    <t>Subcortical forebrain SD</t>
  </si>
  <si>
    <t>Cerebellum</t>
  </si>
  <si>
    <t>Cerebellum SD</t>
  </si>
  <si>
    <t>Brain stem</t>
  </si>
  <si>
    <t>Brain stem SD</t>
  </si>
  <si>
    <t>Heliophobius argenteocinereus</t>
  </si>
  <si>
    <t>Order</t>
  </si>
  <si>
    <t>whole_brain_Neurons</t>
  </si>
  <si>
    <t>whole_brain_Neurons_SD_</t>
  </si>
  <si>
    <t>Olfactory_bulb_N,_n</t>
  </si>
  <si>
    <t>Olfactory_bulb_N,_n_SD_</t>
  </si>
  <si>
    <t>Cerebral_Cortex_N,_n</t>
  </si>
  <si>
    <t>Cerebellum_N,_n_SD_</t>
  </si>
  <si>
    <t>Cerebral_Cortex_N,_n_SD_</t>
  </si>
  <si>
    <t>Kverkova2018_Species</t>
  </si>
  <si>
    <t>Rodentia</t>
  </si>
  <si>
    <t>Kverkova2018_Order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</si>
</sst>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vertAlign val="superscript"/>
      <sz val="9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2" borderId="2" xfId="0" applyFont="1" applyFill="1" applyBorder="1" applyAlignment="1">
      <alignment vertical="center"/>
    </xf>
    <xf numFmtId="2" fontId="6" fillId="2" borderId="0" xfId="0" applyNumberFormat="1" applyFont="1" applyFill="1" applyAlignment="1">
      <alignment vertical="center"/>
    </xf>
    <xf numFmtId="2" fontId="5" fillId="2" borderId="0" xfId="0" applyNumberFormat="1" applyFont="1" applyFill="1" applyAlignment="1">
      <alignment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6" fillId="2" borderId="2" xfId="0" applyNumberFormat="1" applyFont="1" applyFill="1" applyBorder="1" applyAlignment="1">
      <alignment vertical="center"/>
    </xf>
    <xf numFmtId="2" fontId="5" fillId="2" borderId="2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" fontId="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6B99-89B3-4944-A198-EB73975F4201}">
  <dimension ref="A1:G15"/>
  <sheetViews>
    <sheetView workbookViewId="0">
      <selection activeCell="B32" sqref="B32"/>
    </sheetView>
  </sheetViews>
  <sheetFormatPr baseColWidth="10" defaultRowHeight="16" x14ac:dyDescent="0.2"/>
  <sheetData>
    <row r="1" spans="1:7" ht="17" thickBot="1" x14ac:dyDescent="0.25">
      <c r="A1" s="1" t="s">
        <v>0</v>
      </c>
    </row>
    <row r="2" spans="1:7" x14ac:dyDescent="0.2">
      <c r="A2" s="25" t="s">
        <v>1</v>
      </c>
      <c r="B2" s="2" t="s">
        <v>2</v>
      </c>
      <c r="C2" s="25" t="s">
        <v>4</v>
      </c>
      <c r="D2" s="2" t="s">
        <v>5</v>
      </c>
      <c r="E2" s="25" t="s">
        <v>6</v>
      </c>
      <c r="F2" s="2" t="s">
        <v>7</v>
      </c>
      <c r="G2" s="2" t="s">
        <v>8</v>
      </c>
    </row>
    <row r="3" spans="1:7" ht="17" thickBot="1" x14ac:dyDescent="0.25">
      <c r="A3" s="26"/>
      <c r="B3" s="3" t="s">
        <v>3</v>
      </c>
      <c r="C3" s="26"/>
      <c r="D3" s="3" t="s">
        <v>3</v>
      </c>
      <c r="E3" s="26"/>
      <c r="F3" s="3" t="s">
        <v>3</v>
      </c>
      <c r="G3" s="3" t="s">
        <v>9</v>
      </c>
    </row>
    <row r="4" spans="1:7" ht="26" x14ac:dyDescent="0.2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</row>
    <row r="5" spans="1:7" ht="26" x14ac:dyDescent="0.2">
      <c r="A5" s="6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</row>
    <row r="6" spans="1:7" ht="26" x14ac:dyDescent="0.2">
      <c r="A6" s="4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30</v>
      </c>
    </row>
    <row r="7" spans="1:7" ht="26" x14ac:dyDescent="0.2">
      <c r="A7" s="6" t="s">
        <v>31</v>
      </c>
      <c r="B7" s="7" t="s">
        <v>32</v>
      </c>
      <c r="C7" s="7" t="s">
        <v>33</v>
      </c>
      <c r="D7" s="7" t="s">
        <v>34</v>
      </c>
      <c r="E7" s="7" t="s">
        <v>35</v>
      </c>
      <c r="F7" s="7" t="s">
        <v>36</v>
      </c>
      <c r="G7" s="7" t="s">
        <v>37</v>
      </c>
    </row>
    <row r="8" spans="1:7" ht="26" x14ac:dyDescent="0.2">
      <c r="A8" s="4" t="s">
        <v>38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</row>
    <row r="9" spans="1:7" ht="26" x14ac:dyDescent="0.2">
      <c r="A9" s="6" t="s">
        <v>45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50</v>
      </c>
      <c r="G9" s="7" t="s">
        <v>51</v>
      </c>
    </row>
    <row r="10" spans="1:7" ht="26" x14ac:dyDescent="0.2">
      <c r="A10" s="4" t="s">
        <v>52</v>
      </c>
      <c r="B10" s="5" t="s">
        <v>53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58</v>
      </c>
    </row>
    <row r="11" spans="1:7" ht="26" x14ac:dyDescent="0.2">
      <c r="A11" s="6" t="s">
        <v>59</v>
      </c>
      <c r="B11" s="7" t="s">
        <v>60</v>
      </c>
      <c r="C11" s="7" t="s">
        <v>61</v>
      </c>
      <c r="D11" s="7" t="s">
        <v>62</v>
      </c>
      <c r="E11" s="7" t="s">
        <v>63</v>
      </c>
      <c r="F11" s="7" t="s">
        <v>64</v>
      </c>
      <c r="G11" s="7" t="s">
        <v>65</v>
      </c>
    </row>
    <row r="12" spans="1:7" ht="26" x14ac:dyDescent="0.2">
      <c r="A12" s="4" t="s">
        <v>66</v>
      </c>
      <c r="B12" s="5" t="s">
        <v>67</v>
      </c>
      <c r="C12" s="5" t="s">
        <v>68</v>
      </c>
      <c r="D12" s="5" t="s">
        <v>69</v>
      </c>
      <c r="E12" s="5" t="s">
        <v>70</v>
      </c>
      <c r="F12" s="5" t="s">
        <v>71</v>
      </c>
      <c r="G12" s="5" t="s">
        <v>72</v>
      </c>
    </row>
    <row r="13" spans="1:7" ht="26" x14ac:dyDescent="0.2">
      <c r="A13" s="6" t="s">
        <v>73</v>
      </c>
      <c r="B13" s="7" t="s">
        <v>74</v>
      </c>
      <c r="C13" s="7" t="s">
        <v>75</v>
      </c>
      <c r="D13" s="7" t="s">
        <v>76</v>
      </c>
      <c r="E13" s="7" t="s">
        <v>77</v>
      </c>
      <c r="F13" s="7" t="s">
        <v>78</v>
      </c>
      <c r="G13" s="7" t="s">
        <v>79</v>
      </c>
    </row>
    <row r="14" spans="1:7" ht="27" thickBot="1" x14ac:dyDescent="0.25">
      <c r="A14" s="8" t="s">
        <v>80</v>
      </c>
      <c r="B14" s="9" t="s">
        <v>81</v>
      </c>
      <c r="C14" s="9" t="s">
        <v>82</v>
      </c>
      <c r="D14" s="9" t="s">
        <v>83</v>
      </c>
      <c r="E14" s="9" t="s">
        <v>84</v>
      </c>
      <c r="F14" s="9" t="s">
        <v>85</v>
      </c>
      <c r="G14" s="9" t="s">
        <v>86</v>
      </c>
    </row>
    <row r="15" spans="1:7" x14ac:dyDescent="0.2">
      <c r="A15" s="10" t="s">
        <v>87</v>
      </c>
    </row>
  </sheetData>
  <mergeCells count="3">
    <mergeCell ref="A2:A3"/>
    <mergeCell ref="C2:C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1F5C-F400-984E-A9A0-A7FD6AD50503}">
  <dimension ref="A1:M13"/>
  <sheetViews>
    <sheetView zoomScale="255" zoomScaleNormal="255" workbookViewId="0"/>
  </sheetViews>
  <sheetFormatPr baseColWidth="10" defaultRowHeight="16" x14ac:dyDescent="0.2"/>
  <cols>
    <col min="1" max="1" width="17" customWidth="1"/>
    <col min="9" max="9" width="9.33203125" customWidth="1"/>
  </cols>
  <sheetData>
    <row r="1" spans="1:13" ht="64" customHeight="1" thickBot="1" x14ac:dyDescent="0.25">
      <c r="A1" s="11" t="s">
        <v>1</v>
      </c>
      <c r="B1" s="12" t="s">
        <v>88</v>
      </c>
      <c r="C1" s="12" t="s">
        <v>92</v>
      </c>
      <c r="D1" s="11" t="s">
        <v>4</v>
      </c>
      <c r="E1" s="11" t="s">
        <v>93</v>
      </c>
      <c r="F1" s="12" t="s">
        <v>89</v>
      </c>
      <c r="G1" s="12" t="s">
        <v>94</v>
      </c>
      <c r="H1" s="11" t="s">
        <v>97</v>
      </c>
      <c r="I1" s="11" t="s">
        <v>95</v>
      </c>
      <c r="J1" s="12" t="s">
        <v>90</v>
      </c>
      <c r="K1" s="12" t="s">
        <v>96</v>
      </c>
      <c r="L1" s="12" t="s">
        <v>91</v>
      </c>
      <c r="M1" s="12" t="s">
        <v>98</v>
      </c>
    </row>
    <row r="2" spans="1:13" x14ac:dyDescent="0.2">
      <c r="A2" s="13" t="s">
        <v>10</v>
      </c>
      <c r="B2" s="16">
        <v>33.619999999999997</v>
      </c>
      <c r="C2" s="16">
        <v>3.66</v>
      </c>
      <c r="D2" s="16">
        <v>3.01</v>
      </c>
      <c r="E2" s="16">
        <v>0.33</v>
      </c>
      <c r="F2" s="16">
        <v>5.31</v>
      </c>
      <c r="G2" s="16">
        <v>0.31</v>
      </c>
      <c r="H2" s="16">
        <v>2.86</v>
      </c>
      <c r="I2" s="16">
        <v>0.5</v>
      </c>
      <c r="J2" s="16">
        <v>20.52</v>
      </c>
      <c r="K2" s="16">
        <v>3.01</v>
      </c>
      <c r="L2" s="16">
        <v>1.91</v>
      </c>
      <c r="M2" s="17">
        <v>0.28000000000000003</v>
      </c>
    </row>
    <row r="3" spans="1:13" x14ac:dyDescent="0.2">
      <c r="A3" s="14" t="s">
        <v>17</v>
      </c>
      <c r="B3" s="18">
        <v>96.24</v>
      </c>
      <c r="C3" s="18">
        <v>9.65</v>
      </c>
      <c r="D3" s="18">
        <v>7.99</v>
      </c>
      <c r="E3" s="18">
        <v>0.46</v>
      </c>
      <c r="F3" s="18">
        <v>11.73</v>
      </c>
      <c r="G3" s="18">
        <v>0.22</v>
      </c>
      <c r="H3" s="18">
        <v>4.55</v>
      </c>
      <c r="I3" s="18">
        <v>0.69</v>
      </c>
      <c r="J3" s="18">
        <v>68.81</v>
      </c>
      <c r="K3" s="18">
        <v>9.02</v>
      </c>
      <c r="L3" s="18">
        <v>3.17</v>
      </c>
      <c r="M3" s="19">
        <v>0.36</v>
      </c>
    </row>
    <row r="4" spans="1:13" x14ac:dyDescent="0.2">
      <c r="A4" s="13" t="s">
        <v>24</v>
      </c>
      <c r="B4" s="16">
        <v>113.35</v>
      </c>
      <c r="C4" s="16">
        <v>3.79</v>
      </c>
      <c r="D4" s="16">
        <v>7.6</v>
      </c>
      <c r="E4" s="16">
        <v>1.25</v>
      </c>
      <c r="F4" s="16">
        <v>12.49</v>
      </c>
      <c r="G4" s="16">
        <v>0.53</v>
      </c>
      <c r="H4" s="16">
        <v>5.19</v>
      </c>
      <c r="I4" s="16">
        <v>0.81</v>
      </c>
      <c r="J4" s="16">
        <v>84.91</v>
      </c>
      <c r="K4" s="16">
        <v>3.95</v>
      </c>
      <c r="L4" s="16">
        <v>3.14</v>
      </c>
      <c r="M4" s="17">
        <v>0.15</v>
      </c>
    </row>
    <row r="5" spans="1:13" x14ac:dyDescent="0.2">
      <c r="A5" s="14" t="s">
        <v>31</v>
      </c>
      <c r="B5" s="18">
        <v>149.97999999999999</v>
      </c>
      <c r="C5" s="18">
        <v>8.5</v>
      </c>
      <c r="D5" s="18">
        <v>11.85</v>
      </c>
      <c r="E5" s="18">
        <v>0.28999999999999998</v>
      </c>
      <c r="F5" s="18">
        <v>17.46</v>
      </c>
      <c r="G5" s="18">
        <v>1.39</v>
      </c>
      <c r="H5" s="18">
        <v>6.82</v>
      </c>
      <c r="I5" s="18">
        <v>0.81</v>
      </c>
      <c r="J5" s="18">
        <v>109.75</v>
      </c>
      <c r="K5" s="18">
        <v>8.75</v>
      </c>
      <c r="L5" s="18">
        <v>4.1100000000000003</v>
      </c>
      <c r="M5" s="19">
        <v>0.14000000000000001</v>
      </c>
    </row>
    <row r="6" spans="1:13" x14ac:dyDescent="0.2">
      <c r="A6" s="13" t="s">
        <v>38</v>
      </c>
      <c r="B6" s="16">
        <v>102.82</v>
      </c>
      <c r="C6" s="16">
        <v>12.28</v>
      </c>
      <c r="D6" s="16">
        <v>8.8800000000000008</v>
      </c>
      <c r="E6" s="16">
        <v>0.64</v>
      </c>
      <c r="F6" s="16">
        <v>9.73</v>
      </c>
      <c r="G6" s="16">
        <v>2.23</v>
      </c>
      <c r="H6" s="16">
        <v>4.8600000000000003</v>
      </c>
      <c r="I6" s="16">
        <v>0.9</v>
      </c>
      <c r="J6" s="16">
        <v>75.44</v>
      </c>
      <c r="K6" s="16">
        <v>8.9</v>
      </c>
      <c r="L6" s="16">
        <v>3.9</v>
      </c>
      <c r="M6" s="17">
        <v>1.1599999999999999</v>
      </c>
    </row>
    <row r="7" spans="1:13" x14ac:dyDescent="0.2">
      <c r="A7" s="14" t="s">
        <v>45</v>
      </c>
      <c r="B7" s="18">
        <v>169.16</v>
      </c>
      <c r="C7" s="18">
        <v>16.23</v>
      </c>
      <c r="D7" s="18">
        <v>12.07</v>
      </c>
      <c r="E7" s="18">
        <v>1.41</v>
      </c>
      <c r="F7" s="18">
        <v>20.56</v>
      </c>
      <c r="G7" s="18">
        <v>0.9</v>
      </c>
      <c r="H7" s="18">
        <v>9.92</v>
      </c>
      <c r="I7" s="18">
        <v>0.62</v>
      </c>
      <c r="J7" s="18">
        <v>120.58</v>
      </c>
      <c r="K7" s="18">
        <v>16.690000000000001</v>
      </c>
      <c r="L7" s="18">
        <v>6.03</v>
      </c>
      <c r="M7" s="19">
        <v>0.35</v>
      </c>
    </row>
    <row r="8" spans="1:13" x14ac:dyDescent="0.2">
      <c r="A8" s="13" t="s">
        <v>52</v>
      </c>
      <c r="B8" s="16">
        <v>178.3</v>
      </c>
      <c r="C8" s="16">
        <v>19.079999999999998</v>
      </c>
      <c r="D8" s="16">
        <v>12.55</v>
      </c>
      <c r="E8" s="16">
        <v>1.82</v>
      </c>
      <c r="F8" s="16">
        <v>21.27</v>
      </c>
      <c r="G8" s="16">
        <v>0.59</v>
      </c>
      <c r="H8" s="16">
        <v>9.58</v>
      </c>
      <c r="I8" s="16">
        <v>1.69</v>
      </c>
      <c r="J8" s="16">
        <v>129.96</v>
      </c>
      <c r="K8" s="16">
        <v>18.149999999999999</v>
      </c>
      <c r="L8" s="16">
        <v>4.9400000000000004</v>
      </c>
      <c r="M8" s="17">
        <v>1.1000000000000001</v>
      </c>
    </row>
    <row r="9" spans="1:13" x14ac:dyDescent="0.2">
      <c r="A9" s="14" t="s">
        <v>59</v>
      </c>
      <c r="B9" s="18">
        <v>147.94</v>
      </c>
      <c r="C9" s="18">
        <v>6.8</v>
      </c>
      <c r="D9" s="18">
        <v>10.3</v>
      </c>
      <c r="E9" s="18">
        <v>2.15</v>
      </c>
      <c r="F9" s="18">
        <v>25.44</v>
      </c>
      <c r="G9" s="18">
        <v>2.23</v>
      </c>
      <c r="H9" s="18">
        <v>11.92</v>
      </c>
      <c r="I9" s="18">
        <v>1.1299999999999999</v>
      </c>
      <c r="J9" s="18">
        <v>94.82</v>
      </c>
      <c r="K9" s="18">
        <v>1.97</v>
      </c>
      <c r="L9" s="18">
        <v>5.46</v>
      </c>
      <c r="M9" s="19">
        <v>0.84</v>
      </c>
    </row>
    <row r="10" spans="1:13" x14ac:dyDescent="0.2">
      <c r="A10" s="13" t="s">
        <v>66</v>
      </c>
      <c r="B10" s="16">
        <v>169.67</v>
      </c>
      <c r="C10" s="16">
        <v>11.42</v>
      </c>
      <c r="D10" s="16">
        <v>12.46</v>
      </c>
      <c r="E10" s="16">
        <v>1.42</v>
      </c>
      <c r="F10" s="16">
        <v>25.6</v>
      </c>
      <c r="G10" s="16">
        <v>2.09</v>
      </c>
      <c r="H10" s="16">
        <v>9.06</v>
      </c>
      <c r="I10" s="16">
        <v>1.1299999999999999</v>
      </c>
      <c r="J10" s="16">
        <v>116.74</v>
      </c>
      <c r="K10" s="16">
        <v>10.31</v>
      </c>
      <c r="L10" s="16">
        <v>5.81</v>
      </c>
      <c r="M10" s="17">
        <v>0.34</v>
      </c>
    </row>
    <row r="11" spans="1:13" x14ac:dyDescent="0.2">
      <c r="A11" s="14" t="s">
        <v>73</v>
      </c>
      <c r="B11" s="18">
        <v>174.24</v>
      </c>
      <c r="C11" s="18">
        <v>14.6</v>
      </c>
      <c r="D11" s="18">
        <v>14.11</v>
      </c>
      <c r="E11" s="18">
        <v>2.13</v>
      </c>
      <c r="F11" s="18">
        <v>23.32</v>
      </c>
      <c r="G11" s="18">
        <v>0.94</v>
      </c>
      <c r="H11" s="18">
        <v>9.42</v>
      </c>
      <c r="I11" s="18">
        <v>0.88</v>
      </c>
      <c r="J11" s="18">
        <v>122.64</v>
      </c>
      <c r="K11" s="18">
        <v>14.34</v>
      </c>
      <c r="L11" s="18">
        <v>4.75</v>
      </c>
      <c r="M11" s="19">
        <v>0.98</v>
      </c>
    </row>
    <row r="12" spans="1:13" ht="17" thickBot="1" x14ac:dyDescent="0.25">
      <c r="A12" s="15" t="s">
        <v>80</v>
      </c>
      <c r="B12" s="20">
        <v>361.29</v>
      </c>
      <c r="C12" s="20">
        <v>24.4</v>
      </c>
      <c r="D12" s="20">
        <v>23.81</v>
      </c>
      <c r="E12" s="20">
        <v>2.96</v>
      </c>
      <c r="F12" s="20">
        <v>43.48</v>
      </c>
      <c r="G12" s="20">
        <v>5.1100000000000003</v>
      </c>
      <c r="H12" s="20">
        <v>16.420000000000002</v>
      </c>
      <c r="I12" s="20">
        <v>0.75</v>
      </c>
      <c r="J12" s="20">
        <v>268.89</v>
      </c>
      <c r="K12" s="20">
        <v>17.47</v>
      </c>
      <c r="L12" s="20">
        <v>8.67</v>
      </c>
      <c r="M12" s="21">
        <v>0.6</v>
      </c>
    </row>
    <row r="13" spans="1:13" x14ac:dyDescent="0.2">
      <c r="A13" s="10"/>
      <c r="M1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7E63-B56A-2C40-84AD-C11F3DD5F5F7}">
  <dimension ref="A1:O14"/>
  <sheetViews>
    <sheetView tabSelected="1" zoomScale="126" zoomScaleNormal="126" workbookViewId="0">
      <selection activeCell="C1" sqref="C1"/>
    </sheetView>
  </sheetViews>
  <sheetFormatPr baseColWidth="10" defaultRowHeight="16" x14ac:dyDescent="0.2"/>
  <cols>
    <col min="1" max="1" width="25.5" customWidth="1"/>
    <col min="2" max="2" width="9.83203125" customWidth="1"/>
    <col min="3" max="3" width="20.6640625" customWidth="1"/>
    <col min="4" max="4" width="22.1640625" customWidth="1"/>
    <col min="5" max="5" width="13.33203125" customWidth="1"/>
    <col min="6" max="7" width="11" bestFit="1" customWidth="1"/>
    <col min="8" max="8" width="19.33203125" customWidth="1"/>
    <col min="9" max="9" width="15.6640625" customWidth="1"/>
    <col min="10" max="10" width="11" bestFit="1" customWidth="1"/>
    <col min="11" max="11" width="9.33203125" customWidth="1"/>
    <col min="12" max="12" width="12.5" customWidth="1"/>
    <col min="13" max="13" width="9.6640625" customWidth="1"/>
    <col min="14" max="14" width="8.33203125" customWidth="1"/>
    <col min="15" max="15" width="11.33203125" customWidth="1"/>
  </cols>
  <sheetData>
    <row r="1" spans="1:15" x14ac:dyDescent="0.2">
      <c r="A1" s="22" t="s">
        <v>1</v>
      </c>
      <c r="B1" s="22" t="s">
        <v>123</v>
      </c>
      <c r="C1" s="22" t="s">
        <v>121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120</v>
      </c>
      <c r="J1" s="22" t="s">
        <v>106</v>
      </c>
      <c r="K1" s="22" t="s">
        <v>107</v>
      </c>
      <c r="L1" t="s">
        <v>99</v>
      </c>
      <c r="M1" t="s">
        <v>119</v>
      </c>
      <c r="N1" s="22" t="s">
        <v>110</v>
      </c>
      <c r="O1" s="22" t="s">
        <v>111</v>
      </c>
    </row>
    <row r="2" spans="1:15" ht="64" customHeight="1" x14ac:dyDescent="0.2">
      <c r="A2" s="22" t="s">
        <v>1</v>
      </c>
      <c r="B2" s="22" t="s">
        <v>113</v>
      </c>
      <c r="C2" s="23" t="str">
        <f>reformattedTableS5!A1</f>
        <v>Species</v>
      </c>
      <c r="D2" s="22" t="s">
        <v>100</v>
      </c>
      <c r="E2" s="22" t="s">
        <v>101</v>
      </c>
      <c r="F2" s="22" t="s">
        <v>102</v>
      </c>
      <c r="G2" s="22" t="s">
        <v>103</v>
      </c>
      <c r="H2" s="22" t="s">
        <v>104</v>
      </c>
      <c r="I2" s="22" t="s">
        <v>105</v>
      </c>
      <c r="J2" s="22" t="s">
        <v>106</v>
      </c>
      <c r="K2" s="22" t="s">
        <v>107</v>
      </c>
      <c r="L2" s="22" t="s">
        <v>108</v>
      </c>
      <c r="M2" s="22" t="s">
        <v>109</v>
      </c>
      <c r="N2" s="22" t="s">
        <v>110</v>
      </c>
      <c r="O2" s="22" t="s">
        <v>111</v>
      </c>
    </row>
    <row r="3" spans="1:15" x14ac:dyDescent="0.2">
      <c r="A3" s="22" t="s">
        <v>10</v>
      </c>
      <c r="B3" s="22" t="s">
        <v>122</v>
      </c>
      <c r="C3" s="23" t="str">
        <f>reformattedTableS5!A2</f>
        <v>Heterocephalus glaber</v>
      </c>
      <c r="D3" s="23">
        <f>reformattedTableS5!B2*10^6</f>
        <v>33620000</v>
      </c>
      <c r="E3" s="23">
        <f>reformattedTableS5!C2*10^6</f>
        <v>3660000</v>
      </c>
      <c r="F3" s="23">
        <f>reformattedTableS5!D2*10^6</f>
        <v>3010000</v>
      </c>
      <c r="G3" s="23">
        <f>reformattedTableS5!E2*10^6</f>
        <v>330000</v>
      </c>
      <c r="H3" s="23">
        <f>reformattedTableS5!F2*10^6</f>
        <v>5310000</v>
      </c>
      <c r="I3" s="23">
        <f>reformattedTableS5!G2*10^6</f>
        <v>310000</v>
      </c>
      <c r="J3" s="23">
        <f>reformattedTableS5!H2*10^6</f>
        <v>2860000</v>
      </c>
      <c r="K3" s="23">
        <f>reformattedTableS5!I2*10^6</f>
        <v>500000</v>
      </c>
      <c r="L3" s="23">
        <f>reformattedTableS5!J2*10^6</f>
        <v>20520000</v>
      </c>
      <c r="M3" s="23">
        <f>reformattedTableS5!K2*10^6</f>
        <v>3010000</v>
      </c>
      <c r="N3" s="23">
        <f>reformattedTableS5!L2*10^6</f>
        <v>1910000</v>
      </c>
      <c r="O3" s="23">
        <f>reformattedTableS5!M2*10^6</f>
        <v>280000</v>
      </c>
    </row>
    <row r="4" spans="1:15" x14ac:dyDescent="0.2">
      <c r="A4" s="22" t="s">
        <v>17</v>
      </c>
      <c r="B4" s="22" t="s">
        <v>122</v>
      </c>
      <c r="C4" s="23" t="str">
        <f>reformattedTableS5!A3</f>
        <v>Cryptomys hottentotus</v>
      </c>
      <c r="D4" s="23">
        <f>reformattedTableS5!B3*10^6</f>
        <v>96240000</v>
      </c>
      <c r="E4" s="23">
        <f>reformattedTableS5!C3*10^6</f>
        <v>9650000</v>
      </c>
      <c r="F4" s="23">
        <f>reformattedTableS5!D3*10^6</f>
        <v>7990000</v>
      </c>
      <c r="G4" s="23">
        <f>reformattedTableS5!E3*10^6</f>
        <v>460000</v>
      </c>
      <c r="H4" s="23">
        <f>reformattedTableS5!F3*10^6</f>
        <v>11730000</v>
      </c>
      <c r="I4" s="23">
        <f>reformattedTableS5!G3*10^6</f>
        <v>220000</v>
      </c>
      <c r="J4" s="23">
        <f>reformattedTableS5!H3*10^6</f>
        <v>4550000</v>
      </c>
      <c r="K4" s="23">
        <f>reformattedTableS5!I3*10^6</f>
        <v>690000</v>
      </c>
      <c r="L4" s="23">
        <f>reformattedTableS5!J3*10^6</f>
        <v>68810000</v>
      </c>
      <c r="M4" s="23">
        <f>reformattedTableS5!K3*10^6</f>
        <v>9020000</v>
      </c>
      <c r="N4" s="23">
        <f>reformattedTableS5!L3*10^6</f>
        <v>3170000</v>
      </c>
      <c r="O4" s="23">
        <f>reformattedTableS5!M3*10^6</f>
        <v>360000</v>
      </c>
    </row>
    <row r="5" spans="1:15" x14ac:dyDescent="0.2">
      <c r="A5" s="22" t="s">
        <v>24</v>
      </c>
      <c r="B5" s="22" t="s">
        <v>122</v>
      </c>
      <c r="C5" s="23" t="str">
        <f>reformattedTableS5!A4</f>
        <v>Fukomys darlingi</v>
      </c>
      <c r="D5" s="23">
        <f>reformattedTableS5!B4*10^6</f>
        <v>113350000</v>
      </c>
      <c r="E5" s="23">
        <f>reformattedTableS5!C4*10^6</f>
        <v>3790000</v>
      </c>
      <c r="F5" s="23">
        <f>reformattedTableS5!D4*10^6</f>
        <v>7600000</v>
      </c>
      <c r="G5" s="23">
        <f>reformattedTableS5!E4*10^6</f>
        <v>1250000</v>
      </c>
      <c r="H5" s="23">
        <f>reformattedTableS5!F4*10^6</f>
        <v>12490000</v>
      </c>
      <c r="I5" s="23">
        <f>reformattedTableS5!G4*10^6</f>
        <v>530000</v>
      </c>
      <c r="J5" s="23">
        <f>reformattedTableS5!H4*10^6</f>
        <v>5190000</v>
      </c>
      <c r="K5" s="23">
        <f>reformattedTableS5!I4*10^6</f>
        <v>810000</v>
      </c>
      <c r="L5" s="23">
        <f>reformattedTableS5!J4*10^6</f>
        <v>84910000</v>
      </c>
      <c r="M5" s="23">
        <f>reformattedTableS5!K4*10^6</f>
        <v>3950000</v>
      </c>
      <c r="N5" s="23">
        <f>reformattedTableS5!L4*10^6</f>
        <v>3140000</v>
      </c>
      <c r="O5" s="23">
        <f>reformattedTableS5!M4*10^6</f>
        <v>150000</v>
      </c>
    </row>
    <row r="6" spans="1:15" x14ac:dyDescent="0.2">
      <c r="A6" s="22" t="s">
        <v>31</v>
      </c>
      <c r="B6" s="22" t="s">
        <v>122</v>
      </c>
      <c r="C6" s="23" t="str">
        <f>reformattedTableS5!A5</f>
        <v>Cryptomys natalensis</v>
      </c>
      <c r="D6" s="23">
        <f>reformattedTableS5!B5*10^6</f>
        <v>149980000</v>
      </c>
      <c r="E6" s="23">
        <f>reformattedTableS5!C5*10^6</f>
        <v>8500000</v>
      </c>
      <c r="F6" s="23">
        <f>reformattedTableS5!D5*10^6</f>
        <v>11850000</v>
      </c>
      <c r="G6" s="23">
        <f>reformattedTableS5!E5*10^6</f>
        <v>290000</v>
      </c>
      <c r="H6" s="23">
        <f>reformattedTableS5!F5*10^6</f>
        <v>17460000</v>
      </c>
      <c r="I6" s="23">
        <f>reformattedTableS5!G5*10^6</f>
        <v>1390000</v>
      </c>
      <c r="J6" s="23">
        <f>reformattedTableS5!H5*10^6</f>
        <v>6820000</v>
      </c>
      <c r="K6" s="23">
        <f>reformattedTableS5!I5*10^6</f>
        <v>810000</v>
      </c>
      <c r="L6" s="23">
        <f>reformattedTableS5!J5*10^6</f>
        <v>109750000</v>
      </c>
      <c r="M6" s="23">
        <f>reformattedTableS5!K5*10^6</f>
        <v>8750000</v>
      </c>
      <c r="N6" s="23">
        <f>reformattedTableS5!L5*10^6</f>
        <v>4110000.0000000005</v>
      </c>
      <c r="O6" s="23">
        <f>reformattedTableS5!M5*10^6</f>
        <v>140000</v>
      </c>
    </row>
    <row r="7" spans="1:15" x14ac:dyDescent="0.2">
      <c r="A7" s="22" t="s">
        <v>38</v>
      </c>
      <c r="B7" s="22" t="s">
        <v>122</v>
      </c>
      <c r="C7" s="23" t="str">
        <f>reformattedTableS5!A6</f>
        <v>Fukomys anselli</v>
      </c>
      <c r="D7" s="23">
        <f>reformattedTableS5!B6*10^6</f>
        <v>102820000</v>
      </c>
      <c r="E7" s="23">
        <f>reformattedTableS5!C6*10^6</f>
        <v>12280000</v>
      </c>
      <c r="F7" s="23">
        <f>reformattedTableS5!D6*10^6</f>
        <v>8880000</v>
      </c>
      <c r="G7" s="23">
        <f>reformattedTableS5!E6*10^6</f>
        <v>640000</v>
      </c>
      <c r="H7" s="23">
        <f>reformattedTableS5!F6*10^6</f>
        <v>9730000</v>
      </c>
      <c r="I7" s="23">
        <f>reformattedTableS5!G6*10^6</f>
        <v>2230000</v>
      </c>
      <c r="J7" s="23">
        <f>reformattedTableS5!H6*10^6</f>
        <v>4860000</v>
      </c>
      <c r="K7" s="23">
        <f>reformattedTableS5!I6*10^6</f>
        <v>900000</v>
      </c>
      <c r="L7" s="23">
        <f>reformattedTableS5!J6*10^6</f>
        <v>75440000</v>
      </c>
      <c r="M7" s="23">
        <f>reformattedTableS5!K6*10^6</f>
        <v>8900000</v>
      </c>
      <c r="N7" s="23">
        <f>reformattedTableS5!L6*10^6</f>
        <v>3900000</v>
      </c>
      <c r="O7" s="23">
        <f>reformattedTableS5!M6*10^6</f>
        <v>1160000</v>
      </c>
    </row>
    <row r="8" spans="1:15" x14ac:dyDescent="0.2">
      <c r="A8" s="22" t="s">
        <v>45</v>
      </c>
      <c r="B8" s="22" t="s">
        <v>122</v>
      </c>
      <c r="C8" s="23" t="str">
        <f>reformattedTableS5!A7</f>
        <v>Cryptomys pretoriae</v>
      </c>
      <c r="D8" s="23">
        <f>reformattedTableS5!B7*10^6</f>
        <v>169160000</v>
      </c>
      <c r="E8" s="23">
        <f>reformattedTableS5!C7*10^6</f>
        <v>16230000</v>
      </c>
      <c r="F8" s="23">
        <f>reformattedTableS5!D7*10^6</f>
        <v>12070000</v>
      </c>
      <c r="G8" s="23">
        <f>reformattedTableS5!E7*10^6</f>
        <v>1410000</v>
      </c>
      <c r="H8" s="23">
        <f>reformattedTableS5!F7*10^6</f>
        <v>20560000</v>
      </c>
      <c r="I8" s="23">
        <f>reformattedTableS5!G7*10^6</f>
        <v>900000</v>
      </c>
      <c r="J8" s="23">
        <f>reformattedTableS5!H7*10^6</f>
        <v>9920000</v>
      </c>
      <c r="K8" s="23">
        <f>reformattedTableS5!I7*10^6</f>
        <v>620000</v>
      </c>
      <c r="L8" s="23">
        <f>reformattedTableS5!J7*10^6</f>
        <v>120580000</v>
      </c>
      <c r="M8" s="23">
        <f>reformattedTableS5!K7*10^6</f>
        <v>16690000.000000002</v>
      </c>
      <c r="N8" s="23">
        <f>reformattedTableS5!L7*10^6</f>
        <v>6030000</v>
      </c>
      <c r="O8" s="23">
        <f>reformattedTableS5!M7*10^6</f>
        <v>350000</v>
      </c>
    </row>
    <row r="9" spans="1:15" x14ac:dyDescent="0.2">
      <c r="A9" s="22" t="s">
        <v>52</v>
      </c>
      <c r="B9" s="22" t="s">
        <v>122</v>
      </c>
      <c r="C9" s="23" t="str">
        <f>reformattedTableS5!A8</f>
        <v>Fukomys damarensis</v>
      </c>
      <c r="D9" s="23">
        <f>reformattedTableS5!B8*10^6</f>
        <v>178300000</v>
      </c>
      <c r="E9" s="23">
        <f>reformattedTableS5!C8*10^6</f>
        <v>19080000</v>
      </c>
      <c r="F9" s="23">
        <f>reformattedTableS5!D8*10^6</f>
        <v>12550000</v>
      </c>
      <c r="G9" s="23">
        <f>reformattedTableS5!E8*10^6</f>
        <v>1820000</v>
      </c>
      <c r="H9" s="23">
        <f>reformattedTableS5!F8*10^6</f>
        <v>21270000</v>
      </c>
      <c r="I9" s="23">
        <f>reformattedTableS5!G8*10^6</f>
        <v>590000</v>
      </c>
      <c r="J9" s="23">
        <f>reformattedTableS5!H8*10^6</f>
        <v>9580000</v>
      </c>
      <c r="K9" s="23">
        <f>reformattedTableS5!I8*10^6</f>
        <v>1690000</v>
      </c>
      <c r="L9" s="23">
        <f>reformattedTableS5!J8*10^6</f>
        <v>129960000.00000001</v>
      </c>
      <c r="M9" s="23">
        <f>reformattedTableS5!K8*10^6</f>
        <v>18150000</v>
      </c>
      <c r="N9" s="23">
        <f>reformattedTableS5!L8*10^6</f>
        <v>4940000</v>
      </c>
      <c r="O9" s="23">
        <f>reformattedTableS5!M8*10^6</f>
        <v>1100000</v>
      </c>
    </row>
    <row r="10" spans="1:15" x14ac:dyDescent="0.2">
      <c r="A10" s="22" t="s">
        <v>112</v>
      </c>
      <c r="B10" s="22" t="s">
        <v>122</v>
      </c>
      <c r="C10" s="23" t="str">
        <f>reformattedTableS5!A9</f>
        <v>Heliophobius argent.</v>
      </c>
      <c r="D10" s="23">
        <f>reformattedTableS5!B9*10^6</f>
        <v>147940000</v>
      </c>
      <c r="E10" s="23">
        <f>reformattedTableS5!C9*10^6</f>
        <v>6800000</v>
      </c>
      <c r="F10" s="23">
        <f>reformattedTableS5!D9*10^6</f>
        <v>10300000</v>
      </c>
      <c r="G10" s="23">
        <f>reformattedTableS5!E9*10^6</f>
        <v>2150000</v>
      </c>
      <c r="H10" s="23">
        <f>reformattedTableS5!F9*10^6</f>
        <v>25440000</v>
      </c>
      <c r="I10" s="23">
        <f>reformattedTableS5!G9*10^6</f>
        <v>2230000</v>
      </c>
      <c r="J10" s="23">
        <f>reformattedTableS5!H9*10^6</f>
        <v>11920000</v>
      </c>
      <c r="K10" s="23">
        <f>reformattedTableS5!I9*10^6</f>
        <v>1130000</v>
      </c>
      <c r="L10" s="23">
        <f>reformattedTableS5!J9*10^6</f>
        <v>94820000</v>
      </c>
      <c r="M10" s="23">
        <f>reformattedTableS5!K9*10^6</f>
        <v>1970000</v>
      </c>
      <c r="N10" s="23">
        <f>reformattedTableS5!L9*10^6</f>
        <v>5460000</v>
      </c>
      <c r="O10" s="23">
        <f>reformattedTableS5!M9*10^6</f>
        <v>840000</v>
      </c>
    </row>
    <row r="11" spans="1:15" x14ac:dyDescent="0.2">
      <c r="A11" s="22" t="s">
        <v>66</v>
      </c>
      <c r="B11" s="22" t="s">
        <v>122</v>
      </c>
      <c r="C11" s="23" t="str">
        <f>reformattedTableS5!A10</f>
        <v>Georychus capensis</v>
      </c>
      <c r="D11" s="23">
        <f>reformattedTableS5!B10*10^6</f>
        <v>169670000</v>
      </c>
      <c r="E11" s="23">
        <f>reformattedTableS5!C10*10^6</f>
        <v>11420000</v>
      </c>
      <c r="F11" s="23">
        <f>reformattedTableS5!D10*10^6</f>
        <v>12460000</v>
      </c>
      <c r="G11" s="23">
        <f>reformattedTableS5!E10*10^6</f>
        <v>1420000</v>
      </c>
      <c r="H11" s="23">
        <f>reformattedTableS5!F10*10^6</f>
        <v>25600000</v>
      </c>
      <c r="I11" s="23">
        <f>reformattedTableS5!G10*10^6</f>
        <v>2089999.9999999998</v>
      </c>
      <c r="J11" s="23">
        <f>reformattedTableS5!H10*10^6</f>
        <v>9060000</v>
      </c>
      <c r="K11" s="23">
        <f>reformattedTableS5!I10*10^6</f>
        <v>1130000</v>
      </c>
      <c r="L11" s="23">
        <f>reformattedTableS5!J10*10^6</f>
        <v>116740000</v>
      </c>
      <c r="M11" s="23">
        <f>reformattedTableS5!K10*10^6</f>
        <v>10310000</v>
      </c>
      <c r="N11" s="23">
        <f>reformattedTableS5!L10*10^6</f>
        <v>5810000</v>
      </c>
      <c r="O11" s="23">
        <f>reformattedTableS5!M10*10^6</f>
        <v>340000</v>
      </c>
    </row>
    <row r="12" spans="1:15" x14ac:dyDescent="0.2">
      <c r="A12" s="22" t="s">
        <v>73</v>
      </c>
      <c r="B12" s="22" t="s">
        <v>122</v>
      </c>
      <c r="C12" s="23" t="str">
        <f>reformattedTableS5!A11</f>
        <v>Fukomys mechowii</v>
      </c>
      <c r="D12" s="23">
        <f>reformattedTableS5!B11*10^6</f>
        <v>174240000</v>
      </c>
      <c r="E12" s="23">
        <f>reformattedTableS5!C11*10^6</f>
        <v>14600000</v>
      </c>
      <c r="F12" s="23">
        <f>reformattedTableS5!D11*10^6</f>
        <v>14110000</v>
      </c>
      <c r="G12" s="23">
        <f>reformattedTableS5!E11*10^6</f>
        <v>2130000</v>
      </c>
      <c r="H12" s="23">
        <f>reformattedTableS5!F11*10^6</f>
        <v>23320000</v>
      </c>
      <c r="I12" s="23">
        <f>reformattedTableS5!G11*10^6</f>
        <v>940000</v>
      </c>
      <c r="J12" s="23">
        <f>reformattedTableS5!H11*10^6</f>
        <v>9420000</v>
      </c>
      <c r="K12" s="23">
        <f>reformattedTableS5!I11*10^6</f>
        <v>880000</v>
      </c>
      <c r="L12" s="23">
        <f>reformattedTableS5!J11*10^6</f>
        <v>122640000</v>
      </c>
      <c r="M12" s="23">
        <f>reformattedTableS5!K11*10^6</f>
        <v>14340000</v>
      </c>
      <c r="N12" s="23">
        <f>reformattedTableS5!L11*10^6</f>
        <v>4750000</v>
      </c>
      <c r="O12" s="23">
        <f>reformattedTableS5!M11*10^6</f>
        <v>980000</v>
      </c>
    </row>
    <row r="13" spans="1:15" x14ac:dyDescent="0.2">
      <c r="A13" s="22" t="s">
        <v>80</v>
      </c>
      <c r="B13" s="22" t="s">
        <v>122</v>
      </c>
      <c r="C13" s="23" t="str">
        <f>reformattedTableS5!A12</f>
        <v>Bathyergus suillus</v>
      </c>
      <c r="D13" s="23">
        <f>reformattedTableS5!B12*10^6</f>
        <v>361290000</v>
      </c>
      <c r="E13" s="23">
        <f>reformattedTableS5!C12*10^6</f>
        <v>24400000</v>
      </c>
      <c r="F13" s="23">
        <f>reformattedTableS5!D12*10^6</f>
        <v>23810000</v>
      </c>
      <c r="G13" s="23">
        <f>reformattedTableS5!E12*10^6</f>
        <v>2960000</v>
      </c>
      <c r="H13" s="23">
        <f>reformattedTableS5!F12*10^6</f>
        <v>43480000</v>
      </c>
      <c r="I13" s="23">
        <f>reformattedTableS5!G12*10^6</f>
        <v>5110000</v>
      </c>
      <c r="J13" s="23">
        <f>reformattedTableS5!H12*10^6</f>
        <v>16420000.000000002</v>
      </c>
      <c r="K13" s="23">
        <f>reformattedTableS5!I12*10^6</f>
        <v>750000</v>
      </c>
      <c r="L13" s="23">
        <f>reformattedTableS5!J12*10^6</f>
        <v>268890000</v>
      </c>
      <c r="M13" s="23">
        <f>reformattedTableS5!K12*10^6</f>
        <v>17470000</v>
      </c>
      <c r="N13" s="23">
        <f>reformattedTableS5!L12*10^6</f>
        <v>8670000</v>
      </c>
      <c r="O13" s="23">
        <f>reformattedTableS5!M12*10^6</f>
        <v>600000</v>
      </c>
    </row>
    <row r="14" spans="1:15" x14ac:dyDescent="0.2">
      <c r="A14" s="24"/>
      <c r="B14" s="24"/>
      <c r="C14" s="24"/>
      <c r="O14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E96979-F99C-46A7-9B4B-F752B4C1DEAA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8e1efd23-f4ba-42d2-85fd-6a510437bae6"/>
    <ds:schemaRef ds:uri="3bad6c6a-329d-45e9-b8b0-1ebecc8a8764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DFA93E7-54DE-48C6-9D27-17B9590A8E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54BA4D-C6D0-44C1-8464-F4EA7A7165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publishedTableS5</vt:lpstr>
      <vt:lpstr>reformattedTableS5</vt:lpstr>
      <vt:lpstr>TableS5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Alexandra de Sousa</cp:lastModifiedBy>
  <dcterms:created xsi:type="dcterms:W3CDTF">2023-05-23T22:19:51Z</dcterms:created>
  <dcterms:modified xsi:type="dcterms:W3CDTF">2023-05-25T21:03:00Z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